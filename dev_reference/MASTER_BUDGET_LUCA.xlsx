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omments2.xml" ContentType="application/vnd.openxmlformats-officedocument.spreadsheetml.comments+xml"/>
  <Override PartName="/xl/pivotTables/pivotTable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202300"/>
  <mc:AlternateContent xmlns:mc="http://schemas.openxmlformats.org/markup-compatibility/2006">
    <mc:Choice Requires="x15">
      <x15ac:absPath xmlns:x15ac="http://schemas.microsoft.com/office/spreadsheetml/2010/11/ac" url="/Users/lucazosso/Library/CloudStorage/GoogleDrive-lucazosso@gmail.com/My Drive/Perso/Budget_Luca_Master/"/>
    </mc:Choice>
  </mc:AlternateContent>
  <xr:revisionPtr revIDLastSave="0" documentId="13_ncr:1_{0D9C2640-1629-294A-849D-15B53DAAF56B}" xr6:coauthVersionLast="47" xr6:coauthVersionMax="47" xr10:uidLastSave="{00000000-0000-0000-0000-000000000000}"/>
  <bookViews>
    <workbookView xWindow="0" yWindow="760" windowWidth="34560" windowHeight="19980" activeTab="3" xr2:uid="{285E1E0C-E10E-7B4D-8E48-43ED901838B5}"/>
  </bookViews>
  <sheets>
    <sheet name="Notes &amp; Logs" sheetId="12" r:id="rId1"/>
    <sheet name="SOURCE" sheetId="8" r:id="rId2"/>
    <sheet name="Settings" sheetId="1" r:id="rId3"/>
    <sheet name="Budget Planning" sheetId="3" r:id="rId4"/>
    <sheet name="Budget Dashboard" sheetId="7" r:id="rId5"/>
    <sheet name="Budget Tracking" sheetId="2" r:id="rId6"/>
    <sheet name="Expenses_Agg" sheetId="10" r:id="rId7"/>
    <sheet name="Calculations" sheetId="5" r:id="rId8"/>
    <sheet name="Dropdown Data" sheetId="6" r:id="rId9"/>
  </sheets>
  <definedNames>
    <definedName name="_xlnm._FilterDatabase" localSheetId="1" hidden="1">SOURCE!$A$1:$E$1</definedName>
    <definedName name="budget" localSheetId="4">'Budget Dashboard'!$L1</definedName>
    <definedName name="budget_range" localSheetId="4">'Budget Dashboard'!$Q1</definedName>
    <definedName name="budget_rank" localSheetId="4">'Budget Dashboard'!$R1</definedName>
    <definedName name="categorized_transactions" localSheetId="1">SOURCE!$A$432:$D$531</definedName>
    <definedName name="categorized_transactions_1" localSheetId="1">SOURCE!$A$1:$D$217</definedName>
    <definedName name="categorized_transactions_2" localSheetId="1">SOURCE!$I$1:$L$219</definedName>
    <definedName name="categorized_transactions_3" localSheetId="1">SOURCE!$A$218:$D$302</definedName>
    <definedName name="categorized_transactions_4" localSheetId="1">SOURCE!$A$303:$D$431</definedName>
    <definedName name="cc_budget" localSheetId="7">Calculations!$K1</definedName>
    <definedName name="cc_delta" localSheetId="7">Calculations!$L1</definedName>
    <definedName name="cc_in_focus" localSheetId="7">Calculations!$G1</definedName>
    <definedName name="cc_month_number" localSheetId="7">Calculations!$F1</definedName>
    <definedName name="cc_show_remaining_budget" localSheetId="7">Calculations!$I1</definedName>
    <definedName name="cc_show_type" localSheetId="7">Calculations!$H1</definedName>
    <definedName name="cc_tracked" localSheetId="7">Calculations!$J1</definedName>
    <definedName name="cc_type" localSheetId="7">Calculations!$E1</definedName>
    <definedName name="comb_rank" localSheetId="4">'Budget Dashboard'!$S1</definedName>
    <definedName name="comb_rank_norm" localSheetId="4">'Budget Dashboard'!$U1</definedName>
    <definedName name="comb_rank_norm_run_range" localSheetId="4">'Budget Dashboard'!$V1</definedName>
    <definedName name="comb_rank_range" localSheetId="4">'Budget Dashboard'!$T1</definedName>
    <definedName name="comb_rank_unique" localSheetId="4">'Budget Dashboard'!$W1</definedName>
    <definedName name="current_date">DATE(2025,3,15)</definedName>
    <definedName name="expenses_header_row">ROW(Expenses[[#Headers],[Expenses]])</definedName>
    <definedName name="expenses_max_row">MAX(ROW(Expenses[]))</definedName>
    <definedName name="expenses_min_row">MIN(ROW(Expenses[]))</definedName>
    <definedName name="expenses_total_row">ROW('Budget Planning'!$C$52)</definedName>
    <definedName name="header_row_id" localSheetId="4">'Budget Dashboard'!$D1</definedName>
    <definedName name="income_header_row">ROW(Income[[#Headers],[Income]])</definedName>
    <definedName name="income_max_row">MAX(ROW(Income[]))</definedName>
    <definedName name="income_min_row">MIN(ROW(Income[]))</definedName>
    <definedName name="income_total_row">ROW('Budget Planning'!$C$24)</definedName>
    <definedName name="is_cat" localSheetId="4">'Budget Dashboard'!$F1</definedName>
    <definedName name="is_empty" localSheetId="4">'Budget Dashboard'!$H1</definedName>
    <definedName name="is_header" localSheetId="4">'Budget Dashboard'!$E1</definedName>
    <definedName name="is_total" localSheetId="4">'Budget Dashboard'!$G1</definedName>
    <definedName name="item" localSheetId="4">'Budget Dashboard'!$J1</definedName>
    <definedName name="out_budget" localSheetId="4">'Budget Dashboard'!$AA1</definedName>
    <definedName name="out_percentage_completed" localSheetId="4">'Budget Dashboard'!$AB1</definedName>
    <definedName name="out_tracked" localSheetId="4">'Budget Dashboard'!$Z1</definedName>
    <definedName name="row_id" localSheetId="4">'Budget Dashboard'!$C1</definedName>
    <definedName name="savings_header_row">ROW(Savings[[#Headers],[Savings]])</definedName>
    <definedName name="savings_max_row">MAX(ROW(Savings[]))</definedName>
    <definedName name="savings_min_row">MIN(ROW(Savings[]))</definedName>
    <definedName name="savings_total_row">ROW('Budget Planning'!$C$66)</definedName>
    <definedName name="selected_period">Calculations!$E$20</definedName>
    <definedName name="selected_period_display">Calculations!$E$21</definedName>
    <definedName name="selected_year">Calculations!$E$19</definedName>
    <definedName name="shift_late_income_starting_date">Settings!$E$18</definedName>
    <definedName name="shift_late_income_status">Settings!$E$16</definedName>
    <definedName name="Slicer_Category">#N/A</definedName>
    <definedName name="sort_max_row" localSheetId="4">'Budget Dashboard'!$N1</definedName>
    <definedName name="sort_min_row" localSheetId="4">'Budget Dashboard'!$M1</definedName>
    <definedName name="starting_year">Settings!$E$8</definedName>
    <definedName name="tracked" localSheetId="4">'Budget Dashboard'!$K1</definedName>
    <definedName name="tracked_range" localSheetId="4">'Budget Dashboard'!$O1</definedName>
    <definedName name="tracked_rank" localSheetId="4">'Budget Dashboard'!$P1</definedName>
    <definedName name="type" localSheetId="4">'Budget Dashboard'!$I1</definedName>
  </definedNames>
  <calcPr calcId="191029"/>
  <pivotCaches>
    <pivotCache cacheId="14"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7" i="3" l="1"/>
  <c r="AD44" i="3"/>
  <c r="AC44" i="3"/>
  <c r="AB44" i="3"/>
  <c r="AA44" i="3"/>
  <c r="Z44" i="3"/>
  <c r="Y44" i="3"/>
  <c r="X44" i="3"/>
  <c r="W44" i="3"/>
  <c r="V44" i="3"/>
  <c r="U44" i="3"/>
  <c r="T44" i="3"/>
  <c r="S44" i="3"/>
  <c r="S42" i="3"/>
  <c r="S41" i="3"/>
  <c r="S40" i="3"/>
  <c r="AE36" i="3"/>
  <c r="AE46" i="3"/>
  <c r="AE29" i="3"/>
  <c r="AE30" i="3"/>
  <c r="AE31" i="3"/>
  <c r="AE32" i="3"/>
  <c r="AE33" i="3"/>
  <c r="AE34" i="3"/>
  <c r="AE35" i="3"/>
  <c r="AE38" i="3"/>
  <c r="AE39" i="3"/>
  <c r="AE43" i="3"/>
  <c r="AE45" i="3"/>
  <c r="G65" i="10" a="1"/>
  <c r="G65" i="10" s="1"/>
  <c r="G67" i="10" a="1"/>
  <c r="G67" i="10" s="1"/>
  <c r="G69" i="10" a="1"/>
  <c r="G69" i="10" s="1"/>
  <c r="G70" i="10" a="1"/>
  <c r="G70" i="10" s="1"/>
  <c r="G72" i="10" a="1"/>
  <c r="G72" i="10" s="1"/>
  <c r="G73" i="10" a="1"/>
  <c r="G73" i="10" s="1"/>
  <c r="G74" i="10" a="1"/>
  <c r="G74" i="10" s="1"/>
  <c r="F62" i="10" a="1"/>
  <c r="F62" i="10" s="1"/>
  <c r="F63" i="10" a="1"/>
  <c r="F63" i="10" s="1"/>
  <c r="F64" i="10" a="1"/>
  <c r="F64" i="10" s="1"/>
  <c r="F65" i="10" a="1"/>
  <c r="F65" i="10" s="1"/>
  <c r="F66" i="10" a="1"/>
  <c r="F66" i="10" s="1"/>
  <c r="F67" i="10" a="1"/>
  <c r="F67" i="10" s="1"/>
  <c r="F68" i="10" a="1"/>
  <c r="F68" i="10" s="1"/>
  <c r="F69" i="10" a="1"/>
  <c r="F69" i="10" s="1"/>
  <c r="F70" i="10" a="1"/>
  <c r="F70" i="10" s="1"/>
  <c r="F71" i="10" a="1"/>
  <c r="F71" i="10" s="1"/>
  <c r="F72" i="10" a="1"/>
  <c r="F72" i="10" s="1"/>
  <c r="F73" i="10" a="1"/>
  <c r="F73" i="10" s="1"/>
  <c r="F74" i="10" a="1"/>
  <c r="F74" i="10" s="1"/>
  <c r="F75" i="10" a="1"/>
  <c r="F75" i="10" s="1"/>
  <c r="F76" i="10" a="1"/>
  <c r="F76" i="10" s="1"/>
  <c r="P13" i="3" a="1"/>
  <c r="P13" i="3" s="1"/>
  <c r="C534" i="2"/>
  <c r="D534" i="2"/>
  <c r="E534" i="2"/>
  <c r="C535" i="2"/>
  <c r="J535" i="2" s="1"/>
  <c r="D535" i="2"/>
  <c r="I535" i="2" s="1"/>
  <c r="E535" i="2"/>
  <c r="C536" i="2"/>
  <c r="J536" i="2" s="1"/>
  <c r="D536" i="2"/>
  <c r="E536" i="2"/>
  <c r="C537" i="2"/>
  <c r="I537" i="2" s="1"/>
  <c r="D537" i="2"/>
  <c r="E537" i="2"/>
  <c r="C538" i="2"/>
  <c r="D538" i="2"/>
  <c r="I538" i="2" s="1"/>
  <c r="E538" i="2"/>
  <c r="C539" i="2"/>
  <c r="K539" i="2" s="1"/>
  <c r="D539" i="2"/>
  <c r="I539" i="2" s="1"/>
  <c r="E539" i="2"/>
  <c r="C540" i="2"/>
  <c r="D540" i="2"/>
  <c r="E540" i="2"/>
  <c r="C541" i="2"/>
  <c r="J541" i="2" s="1"/>
  <c r="D541" i="2"/>
  <c r="E541" i="2"/>
  <c r="F535" i="2"/>
  <c r="F536" i="2"/>
  <c r="F537" i="2"/>
  <c r="F538" i="2"/>
  <c r="F539" i="2"/>
  <c r="F540" i="2"/>
  <c r="F541" i="2"/>
  <c r="I540" i="2"/>
  <c r="I541" i="2"/>
  <c r="J537" i="2"/>
  <c r="J538" i="2"/>
  <c r="J539" i="2"/>
  <c r="J540" i="2"/>
  <c r="K537" i="2"/>
  <c r="K538" i="2"/>
  <c r="K540" i="2"/>
  <c r="K541" i="2"/>
  <c r="C532" i="2"/>
  <c r="D532" i="2"/>
  <c r="I532" i="2" s="1"/>
  <c r="E532" i="2"/>
  <c r="C533" i="2"/>
  <c r="D533" i="2"/>
  <c r="I533" i="2" s="1"/>
  <c r="E533" i="2"/>
  <c r="C526" i="2"/>
  <c r="K526" i="2" s="1"/>
  <c r="D526" i="2"/>
  <c r="E526" i="2"/>
  <c r="C527" i="2"/>
  <c r="J527" i="2" s="1"/>
  <c r="D527" i="2"/>
  <c r="E527" i="2"/>
  <c r="C528" i="2"/>
  <c r="K528" i="2" s="1"/>
  <c r="D528" i="2"/>
  <c r="E528" i="2"/>
  <c r="C529" i="2"/>
  <c r="D529" i="2"/>
  <c r="I529" i="2" s="1"/>
  <c r="E529" i="2"/>
  <c r="C530" i="2"/>
  <c r="D530" i="2"/>
  <c r="E530" i="2"/>
  <c r="C531" i="2"/>
  <c r="K531" i="2" s="1"/>
  <c r="D531" i="2"/>
  <c r="E531" i="2"/>
  <c r="F528" i="2"/>
  <c r="F529" i="2"/>
  <c r="F530" i="2"/>
  <c r="F531" i="2"/>
  <c r="F532" i="2"/>
  <c r="F533" i="2"/>
  <c r="F534" i="2"/>
  <c r="I528" i="2"/>
  <c r="I534" i="2"/>
  <c r="J528" i="2"/>
  <c r="J529" i="2"/>
  <c r="J530" i="2"/>
  <c r="J531" i="2"/>
  <c r="J532" i="2"/>
  <c r="J533" i="2"/>
  <c r="J534" i="2"/>
  <c r="K529" i="2"/>
  <c r="K532" i="2"/>
  <c r="K533" i="2"/>
  <c r="K534" i="2"/>
  <c r="C515" i="2"/>
  <c r="K515" i="2" s="1"/>
  <c r="D515" i="2"/>
  <c r="I515" i="2" s="1"/>
  <c r="E515" i="2"/>
  <c r="C516" i="2"/>
  <c r="K516" i="2" s="1"/>
  <c r="D516" i="2"/>
  <c r="E516" i="2"/>
  <c r="C517" i="2"/>
  <c r="J517" i="2" s="1"/>
  <c r="D517" i="2"/>
  <c r="I517" i="2" s="1"/>
  <c r="E517" i="2"/>
  <c r="C518" i="2"/>
  <c r="I518" i="2" s="1"/>
  <c r="D518" i="2"/>
  <c r="E518" i="2"/>
  <c r="C519" i="2"/>
  <c r="J519" i="2" s="1"/>
  <c r="D519" i="2"/>
  <c r="E519" i="2"/>
  <c r="C520" i="2"/>
  <c r="D520" i="2"/>
  <c r="I520" i="2" s="1"/>
  <c r="E520" i="2"/>
  <c r="C521" i="2"/>
  <c r="K521" i="2" s="1"/>
  <c r="D521" i="2"/>
  <c r="I521" i="2" s="1"/>
  <c r="E521" i="2"/>
  <c r="C522" i="2"/>
  <c r="J522" i="2" s="1"/>
  <c r="D522" i="2"/>
  <c r="I522" i="2" s="1"/>
  <c r="E522" i="2"/>
  <c r="C523" i="2"/>
  <c r="D523" i="2"/>
  <c r="E523" i="2"/>
  <c r="C524" i="2"/>
  <c r="K524" i="2" s="1"/>
  <c r="D524" i="2"/>
  <c r="E524" i="2"/>
  <c r="C525" i="2"/>
  <c r="K525" i="2" s="1"/>
  <c r="D525" i="2"/>
  <c r="I525" i="2" s="1"/>
  <c r="E525" i="2"/>
  <c r="F515" i="2"/>
  <c r="F516" i="2"/>
  <c r="F517" i="2"/>
  <c r="F518" i="2"/>
  <c r="F519" i="2"/>
  <c r="F520" i="2"/>
  <c r="F521" i="2"/>
  <c r="F522" i="2"/>
  <c r="F523" i="2"/>
  <c r="F524" i="2"/>
  <c r="F525" i="2"/>
  <c r="F526" i="2"/>
  <c r="F527" i="2"/>
  <c r="I516" i="2"/>
  <c r="I519" i="2"/>
  <c r="I523" i="2"/>
  <c r="I524" i="2"/>
  <c r="I526" i="2"/>
  <c r="J515" i="2"/>
  <c r="J516" i="2"/>
  <c r="J520" i="2"/>
  <c r="J521" i="2"/>
  <c r="J523" i="2"/>
  <c r="J525" i="2"/>
  <c r="K517" i="2"/>
  <c r="K519" i="2"/>
  <c r="K520" i="2"/>
  <c r="K522" i="2"/>
  <c r="K523" i="2"/>
  <c r="C496" i="2"/>
  <c r="H496" i="2" s="1" a="1"/>
  <c r="H496" i="2" s="1"/>
  <c r="D496" i="2"/>
  <c r="I496" i="2" s="1"/>
  <c r="E496" i="2"/>
  <c r="C497" i="2"/>
  <c r="D497" i="2"/>
  <c r="I497" i="2" s="1"/>
  <c r="E497" i="2"/>
  <c r="C498" i="2"/>
  <c r="D498" i="2"/>
  <c r="I498" i="2" s="1"/>
  <c r="E498" i="2"/>
  <c r="C499" i="2"/>
  <c r="D499" i="2"/>
  <c r="E499" i="2"/>
  <c r="C500" i="2"/>
  <c r="K500" i="2" s="1"/>
  <c r="D500" i="2"/>
  <c r="E500" i="2"/>
  <c r="C501" i="2"/>
  <c r="K501" i="2" s="1"/>
  <c r="D501" i="2"/>
  <c r="E501" i="2"/>
  <c r="C502" i="2"/>
  <c r="D502" i="2"/>
  <c r="E502" i="2"/>
  <c r="C503" i="2"/>
  <c r="D503" i="2"/>
  <c r="I503" i="2" s="1"/>
  <c r="E503" i="2"/>
  <c r="C504" i="2"/>
  <c r="K504" i="2" s="1"/>
  <c r="D504" i="2"/>
  <c r="E504" i="2"/>
  <c r="C505" i="2"/>
  <c r="D505" i="2"/>
  <c r="E505" i="2"/>
  <c r="C506" i="2"/>
  <c r="D506" i="2"/>
  <c r="I506" i="2" s="1"/>
  <c r="E506" i="2"/>
  <c r="C507" i="2"/>
  <c r="D507" i="2"/>
  <c r="I507" i="2" s="1"/>
  <c r="E507" i="2"/>
  <c r="C508" i="2"/>
  <c r="D508" i="2"/>
  <c r="I508" i="2" s="1"/>
  <c r="E508" i="2"/>
  <c r="C509" i="2"/>
  <c r="J509" i="2" s="1"/>
  <c r="D509" i="2"/>
  <c r="E509" i="2"/>
  <c r="C510" i="2"/>
  <c r="K510" i="2" s="1"/>
  <c r="D510" i="2"/>
  <c r="E510" i="2"/>
  <c r="C511" i="2"/>
  <c r="K511" i="2" s="1"/>
  <c r="D511" i="2"/>
  <c r="E511" i="2"/>
  <c r="C512" i="2"/>
  <c r="D512" i="2"/>
  <c r="E512" i="2"/>
  <c r="C513" i="2"/>
  <c r="H513" i="2" s="1" a="1"/>
  <c r="H513" i="2" s="1"/>
  <c r="D513" i="2"/>
  <c r="I513" i="2" s="1"/>
  <c r="E513" i="2"/>
  <c r="C514" i="2"/>
  <c r="K514" i="2" s="1"/>
  <c r="D514" i="2"/>
  <c r="E514" i="2"/>
  <c r="F497" i="2"/>
  <c r="F498" i="2"/>
  <c r="F499" i="2"/>
  <c r="F500" i="2"/>
  <c r="F501" i="2"/>
  <c r="F502" i="2"/>
  <c r="F503" i="2"/>
  <c r="F504" i="2"/>
  <c r="F505" i="2"/>
  <c r="F506" i="2"/>
  <c r="F507" i="2"/>
  <c r="F508" i="2"/>
  <c r="F509" i="2"/>
  <c r="F510" i="2"/>
  <c r="F511" i="2"/>
  <c r="F512" i="2"/>
  <c r="F513" i="2"/>
  <c r="F514" i="2"/>
  <c r="I499" i="2"/>
  <c r="I501" i="2"/>
  <c r="I502" i="2"/>
  <c r="I504" i="2"/>
  <c r="I505" i="2"/>
  <c r="I509" i="2"/>
  <c r="I511" i="2"/>
  <c r="I512" i="2"/>
  <c r="I514" i="2"/>
  <c r="J497" i="2"/>
  <c r="J498" i="2"/>
  <c r="J501" i="2"/>
  <c r="J502" i="2"/>
  <c r="J503" i="2"/>
  <c r="J504" i="2"/>
  <c r="J505" i="2"/>
  <c r="J506" i="2"/>
  <c r="J507" i="2"/>
  <c r="J508" i="2"/>
  <c r="J511" i="2"/>
  <c r="J512" i="2"/>
  <c r="J513" i="2"/>
  <c r="J514" i="2"/>
  <c r="K497" i="2"/>
  <c r="K498" i="2"/>
  <c r="K499" i="2"/>
  <c r="K502" i="2"/>
  <c r="K503" i="2"/>
  <c r="K505" i="2"/>
  <c r="K506" i="2"/>
  <c r="K507" i="2"/>
  <c r="K508" i="2"/>
  <c r="K509" i="2"/>
  <c r="K512" i="2"/>
  <c r="K513" i="2"/>
  <c r="C477" i="2"/>
  <c r="D477" i="2"/>
  <c r="E477" i="2"/>
  <c r="C478" i="2"/>
  <c r="K478" i="2" s="1"/>
  <c r="D478" i="2"/>
  <c r="E478" i="2"/>
  <c r="C479" i="2"/>
  <c r="D479" i="2"/>
  <c r="E479" i="2"/>
  <c r="C480" i="2"/>
  <c r="J480" i="2" s="1"/>
  <c r="D480" i="2"/>
  <c r="E480" i="2"/>
  <c r="C481" i="2"/>
  <c r="J481" i="2" s="1"/>
  <c r="D481" i="2"/>
  <c r="E481" i="2"/>
  <c r="C482" i="2"/>
  <c r="D482" i="2"/>
  <c r="E482" i="2"/>
  <c r="C483" i="2"/>
  <c r="K483" i="2" s="1"/>
  <c r="D483" i="2"/>
  <c r="I483" i="2" s="1"/>
  <c r="E483" i="2"/>
  <c r="C484" i="2"/>
  <c r="H484" i="2" s="1" a="1"/>
  <c r="H484" i="2" s="1"/>
  <c r="D484" i="2"/>
  <c r="I484" i="2" s="1"/>
  <c r="E484" i="2"/>
  <c r="C485" i="2"/>
  <c r="K485" i="2" s="1"/>
  <c r="D485" i="2"/>
  <c r="I485" i="2" s="1"/>
  <c r="E485" i="2"/>
  <c r="C486" i="2"/>
  <c r="D486" i="2"/>
  <c r="E486" i="2"/>
  <c r="C487" i="2"/>
  <c r="J487" i="2" s="1"/>
  <c r="D487" i="2"/>
  <c r="I487" i="2" s="1"/>
  <c r="E487" i="2"/>
  <c r="C488" i="2"/>
  <c r="D488" i="2"/>
  <c r="I488" i="2" s="1"/>
  <c r="E488" i="2"/>
  <c r="C489" i="2"/>
  <c r="D489" i="2"/>
  <c r="E489" i="2"/>
  <c r="C490" i="2"/>
  <c r="J490" i="2" s="1"/>
  <c r="D490" i="2"/>
  <c r="E490" i="2"/>
  <c r="C491" i="2"/>
  <c r="D491" i="2"/>
  <c r="I491" i="2" s="1"/>
  <c r="E491" i="2"/>
  <c r="C492" i="2"/>
  <c r="H492" i="2" s="1" a="1"/>
  <c r="H492" i="2" s="1"/>
  <c r="D492" i="2"/>
  <c r="E492" i="2"/>
  <c r="C493" i="2"/>
  <c r="K493" i="2" s="1"/>
  <c r="D493" i="2"/>
  <c r="I493" i="2" s="1"/>
  <c r="E493" i="2"/>
  <c r="C494" i="2"/>
  <c r="J494" i="2" s="1"/>
  <c r="D494" i="2"/>
  <c r="I494" i="2" s="1"/>
  <c r="E494" i="2"/>
  <c r="C495" i="2"/>
  <c r="I495" i="2" s="1"/>
  <c r="D495" i="2"/>
  <c r="E495" i="2"/>
  <c r="F478" i="2"/>
  <c r="F479" i="2"/>
  <c r="F480" i="2"/>
  <c r="F481" i="2"/>
  <c r="F482" i="2"/>
  <c r="F483" i="2"/>
  <c r="F484" i="2"/>
  <c r="F485" i="2"/>
  <c r="F486" i="2"/>
  <c r="F487" i="2"/>
  <c r="F488" i="2"/>
  <c r="F489" i="2"/>
  <c r="F490" i="2"/>
  <c r="F491" i="2"/>
  <c r="F492" i="2"/>
  <c r="F493" i="2"/>
  <c r="F494" i="2"/>
  <c r="F495" i="2"/>
  <c r="F496" i="2"/>
  <c r="I478" i="2"/>
  <c r="I481" i="2"/>
  <c r="I482" i="2"/>
  <c r="I486" i="2"/>
  <c r="I490" i="2"/>
  <c r="I492" i="2"/>
  <c r="J478" i="2"/>
  <c r="J479" i="2"/>
  <c r="J482" i="2"/>
  <c r="J485" i="2"/>
  <c r="J486" i="2"/>
  <c r="J489" i="2"/>
  <c r="J491" i="2"/>
  <c r="J492" i="2"/>
  <c r="J493" i="2"/>
  <c r="J495" i="2"/>
  <c r="J496" i="2"/>
  <c r="K479" i="2"/>
  <c r="K481" i="2"/>
  <c r="K482" i="2"/>
  <c r="K484" i="2"/>
  <c r="K486" i="2"/>
  <c r="K487" i="2"/>
  <c r="K489" i="2"/>
  <c r="K491" i="2"/>
  <c r="K492" i="2"/>
  <c r="K494" i="2"/>
  <c r="K496" i="2"/>
  <c r="C466" i="2"/>
  <c r="J466" i="2" s="1"/>
  <c r="D466" i="2"/>
  <c r="E466" i="2"/>
  <c r="C467" i="2"/>
  <c r="D467" i="2"/>
  <c r="I467" i="2" s="1"/>
  <c r="E467" i="2"/>
  <c r="C468" i="2"/>
  <c r="D468" i="2"/>
  <c r="I468" i="2" s="1"/>
  <c r="E468" i="2"/>
  <c r="C469" i="2"/>
  <c r="J469" i="2" s="1"/>
  <c r="D469" i="2"/>
  <c r="E469" i="2"/>
  <c r="C470" i="2"/>
  <c r="D470" i="2"/>
  <c r="E470" i="2"/>
  <c r="C471" i="2"/>
  <c r="D471" i="2"/>
  <c r="I471" i="2" s="1"/>
  <c r="E471" i="2"/>
  <c r="C472" i="2"/>
  <c r="K472" i="2" s="1"/>
  <c r="D472" i="2"/>
  <c r="I472" i="2" s="1"/>
  <c r="E472" i="2"/>
  <c r="C473" i="2"/>
  <c r="I473" i="2" s="1"/>
  <c r="D473" i="2"/>
  <c r="E473" i="2"/>
  <c r="C474" i="2"/>
  <c r="J474" i="2" s="1"/>
  <c r="D474" i="2"/>
  <c r="I474" i="2" s="1"/>
  <c r="E474" i="2"/>
  <c r="C475" i="2"/>
  <c r="J475" i="2" s="1"/>
  <c r="D475" i="2"/>
  <c r="E475" i="2"/>
  <c r="C476" i="2"/>
  <c r="D476" i="2"/>
  <c r="E476" i="2"/>
  <c r="F466" i="2"/>
  <c r="F467" i="2"/>
  <c r="F468" i="2"/>
  <c r="F469" i="2"/>
  <c r="F470" i="2"/>
  <c r="F471" i="2"/>
  <c r="F472" i="2"/>
  <c r="F473" i="2"/>
  <c r="F474" i="2"/>
  <c r="F475" i="2"/>
  <c r="F476" i="2"/>
  <c r="F477" i="2"/>
  <c r="I466" i="2"/>
  <c r="I469" i="2"/>
  <c r="I470" i="2"/>
  <c r="I476" i="2"/>
  <c r="I477" i="2"/>
  <c r="J467" i="2"/>
  <c r="J468" i="2"/>
  <c r="J470" i="2"/>
  <c r="J473" i="2"/>
  <c r="J476" i="2"/>
  <c r="J477" i="2"/>
  <c r="K466" i="2"/>
  <c r="K467" i="2"/>
  <c r="K468" i="2"/>
  <c r="K470" i="2"/>
  <c r="K474" i="2"/>
  <c r="K476" i="2"/>
  <c r="K477" i="2"/>
  <c r="C453" i="2"/>
  <c r="D453" i="2"/>
  <c r="E453" i="2"/>
  <c r="C454" i="2"/>
  <c r="D454" i="2"/>
  <c r="E454" i="2"/>
  <c r="C455" i="2"/>
  <c r="J455" i="2" s="1"/>
  <c r="D455" i="2"/>
  <c r="I455" i="2" s="1"/>
  <c r="E455" i="2"/>
  <c r="C456" i="2"/>
  <c r="J456" i="2" s="1"/>
  <c r="D456" i="2"/>
  <c r="E456" i="2"/>
  <c r="C457" i="2"/>
  <c r="I457" i="2" s="1"/>
  <c r="D457" i="2"/>
  <c r="E457" i="2"/>
  <c r="C458" i="2"/>
  <c r="D458" i="2"/>
  <c r="I458" i="2" s="1"/>
  <c r="E458" i="2"/>
  <c r="C459" i="2"/>
  <c r="K459" i="2" s="1"/>
  <c r="D459" i="2"/>
  <c r="E459" i="2"/>
  <c r="C460" i="2"/>
  <c r="K460" i="2" s="1"/>
  <c r="D460" i="2"/>
  <c r="I460" i="2" s="1"/>
  <c r="E460" i="2"/>
  <c r="C461" i="2"/>
  <c r="J461" i="2" s="1"/>
  <c r="D461" i="2"/>
  <c r="E461" i="2"/>
  <c r="C462" i="2"/>
  <c r="J462" i="2" s="1"/>
  <c r="D462" i="2"/>
  <c r="E462" i="2"/>
  <c r="C463" i="2"/>
  <c r="K463" i="2" s="1"/>
  <c r="D463" i="2"/>
  <c r="E463" i="2"/>
  <c r="C464" i="2"/>
  <c r="D464" i="2"/>
  <c r="E464" i="2"/>
  <c r="C465" i="2"/>
  <c r="J465" i="2" s="1"/>
  <c r="D465" i="2"/>
  <c r="I465" i="2" s="1"/>
  <c r="E465" i="2"/>
  <c r="F454" i="2"/>
  <c r="F455" i="2"/>
  <c r="F456" i="2"/>
  <c r="F457" i="2"/>
  <c r="F458" i="2"/>
  <c r="F459" i="2"/>
  <c r="F460" i="2"/>
  <c r="F461" i="2"/>
  <c r="F462" i="2"/>
  <c r="F463" i="2"/>
  <c r="F464" i="2"/>
  <c r="F465" i="2"/>
  <c r="I454" i="2"/>
  <c r="I461" i="2"/>
  <c r="I463" i="2"/>
  <c r="I464" i="2"/>
  <c r="J454" i="2"/>
  <c r="J457" i="2"/>
  <c r="J458" i="2"/>
  <c r="J463" i="2"/>
  <c r="J464" i="2"/>
  <c r="K454" i="2"/>
  <c r="K457" i="2"/>
  <c r="K458" i="2"/>
  <c r="K464" i="2"/>
  <c r="K465" i="2"/>
  <c r="C442" i="2"/>
  <c r="J442" i="2" s="1"/>
  <c r="D442" i="2"/>
  <c r="I442" i="2" s="1"/>
  <c r="E442" i="2"/>
  <c r="C443" i="2"/>
  <c r="J443" i="2" s="1"/>
  <c r="D443" i="2"/>
  <c r="I443" i="2" s="1"/>
  <c r="E443" i="2"/>
  <c r="C444" i="2"/>
  <c r="D444" i="2"/>
  <c r="I444" i="2" s="1"/>
  <c r="E444" i="2"/>
  <c r="C445" i="2"/>
  <c r="I445" i="2" s="1"/>
  <c r="D445" i="2"/>
  <c r="E445" i="2"/>
  <c r="C446" i="2"/>
  <c r="K446" i="2" s="1"/>
  <c r="D446" i="2"/>
  <c r="I446" i="2" s="1"/>
  <c r="E446" i="2"/>
  <c r="C447" i="2"/>
  <c r="D447" i="2"/>
  <c r="E447" i="2"/>
  <c r="C448" i="2"/>
  <c r="J448" i="2" s="1"/>
  <c r="D448" i="2"/>
  <c r="E448" i="2"/>
  <c r="C449" i="2"/>
  <c r="K449" i="2" s="1"/>
  <c r="D449" i="2"/>
  <c r="E449" i="2"/>
  <c r="C450" i="2"/>
  <c r="J450" i="2" s="1"/>
  <c r="E450" i="2"/>
  <c r="C451" i="2"/>
  <c r="J451" i="2" s="1"/>
  <c r="D451" i="2"/>
  <c r="I451" i="2" s="1"/>
  <c r="E451" i="2"/>
  <c r="C452" i="2"/>
  <c r="K452" i="2" s="1"/>
  <c r="D452" i="2"/>
  <c r="I452" i="2" s="1"/>
  <c r="E452" i="2"/>
  <c r="F442" i="2"/>
  <c r="F443" i="2"/>
  <c r="F444" i="2"/>
  <c r="F445" i="2"/>
  <c r="F446" i="2"/>
  <c r="F447" i="2"/>
  <c r="F448" i="2"/>
  <c r="F449" i="2"/>
  <c r="F450" i="2"/>
  <c r="F451" i="2"/>
  <c r="F452" i="2"/>
  <c r="F453" i="2"/>
  <c r="I447" i="2"/>
  <c r="I448" i="2"/>
  <c r="I450" i="2"/>
  <c r="I453" i="2"/>
  <c r="J444" i="2"/>
  <c r="J446" i="2"/>
  <c r="J447" i="2"/>
  <c r="J452" i="2"/>
  <c r="J453" i="2"/>
  <c r="K442" i="2"/>
  <c r="K444" i="2"/>
  <c r="K447" i="2"/>
  <c r="K450" i="2"/>
  <c r="K451" i="2"/>
  <c r="K453" i="2"/>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432" i="8"/>
  <c r="L43" i="3" a="1"/>
  <c r="L43" i="3" s="1"/>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D313" i="2"/>
  <c r="D314" i="2"/>
  <c r="D315" i="2"/>
  <c r="D316" i="2"/>
  <c r="D317" i="2"/>
  <c r="D318" i="2"/>
  <c r="D319" i="2"/>
  <c r="D320" i="2"/>
  <c r="D321" i="2"/>
  <c r="D322" i="2"/>
  <c r="D323" i="2"/>
  <c r="D324" i="2"/>
  <c r="D325" i="2"/>
  <c r="D326" i="2"/>
  <c r="I326" i="2" s="1"/>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I356" i="2" s="1"/>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I386" i="2" s="1"/>
  <c r="D387" i="2"/>
  <c r="D388" i="2"/>
  <c r="D389" i="2"/>
  <c r="D390" i="2"/>
  <c r="D391" i="2"/>
  <c r="D392" i="2"/>
  <c r="D393" i="2"/>
  <c r="D394" i="2"/>
  <c r="D395" i="2"/>
  <c r="D396" i="2"/>
  <c r="I396" i="2" s="1"/>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I436" i="2" s="1"/>
  <c r="D437" i="2"/>
  <c r="D438" i="2"/>
  <c r="D439" i="2"/>
  <c r="D440" i="2"/>
  <c r="I440" i="2" s="1"/>
  <c r="D441" i="2"/>
  <c r="C313" i="2"/>
  <c r="J313" i="2" s="1"/>
  <c r="C314" i="2"/>
  <c r="J314" i="2" s="1"/>
  <c r="C315" i="2"/>
  <c r="J315" i="2" s="1"/>
  <c r="C316" i="2"/>
  <c r="J316" i="2" s="1"/>
  <c r="C317" i="2"/>
  <c r="J317" i="2" s="1"/>
  <c r="C318" i="2"/>
  <c r="K318" i="2" s="1"/>
  <c r="C319" i="2"/>
  <c r="C320" i="2"/>
  <c r="J320" i="2" s="1"/>
  <c r="C321" i="2"/>
  <c r="J321" i="2" s="1"/>
  <c r="C322" i="2"/>
  <c r="K322" i="2" s="1"/>
  <c r="C323" i="2"/>
  <c r="J323" i="2" s="1"/>
  <c r="C324" i="2"/>
  <c r="C325" i="2"/>
  <c r="J325" i="2" s="1"/>
  <c r="C326" i="2"/>
  <c r="C327" i="2"/>
  <c r="C328" i="2"/>
  <c r="K328" i="2" s="1"/>
  <c r="C329" i="2"/>
  <c r="C330" i="2"/>
  <c r="K330" i="2" s="1"/>
  <c r="C331" i="2"/>
  <c r="J331" i="2" s="1"/>
  <c r="C332" i="2"/>
  <c r="J332" i="2" s="1"/>
  <c r="C333" i="2"/>
  <c r="J333" i="2" s="1"/>
  <c r="C334" i="2"/>
  <c r="J334" i="2" s="1"/>
  <c r="C335" i="2"/>
  <c r="J335" i="2" s="1"/>
  <c r="C336" i="2"/>
  <c r="K336" i="2" s="1"/>
  <c r="C337" i="2"/>
  <c r="J337" i="2" s="1"/>
  <c r="C338" i="2"/>
  <c r="K338" i="2" s="1"/>
  <c r="C339" i="2"/>
  <c r="C340" i="2"/>
  <c r="K340" i="2" s="1"/>
  <c r="C341" i="2"/>
  <c r="K341" i="2" s="1"/>
  <c r="C342" i="2"/>
  <c r="K342" i="2" s="1"/>
  <c r="C343" i="2"/>
  <c r="K343" i="2" s="1"/>
  <c r="C344" i="2"/>
  <c r="C345" i="2"/>
  <c r="C346" i="2"/>
  <c r="J346" i="2" s="1"/>
  <c r="C347" i="2"/>
  <c r="J347" i="2" s="1"/>
  <c r="C348" i="2"/>
  <c r="J348" i="2" s="1"/>
  <c r="C349" i="2"/>
  <c r="K349" i="2" s="1"/>
  <c r="C350" i="2"/>
  <c r="J350" i="2" s="1"/>
  <c r="C351" i="2"/>
  <c r="J351" i="2" s="1"/>
  <c r="C352" i="2"/>
  <c r="K352" i="2" s="1"/>
  <c r="C353" i="2"/>
  <c r="K353" i="2" s="1"/>
  <c r="C354" i="2"/>
  <c r="J354" i="2" s="1"/>
  <c r="C355" i="2"/>
  <c r="J355" i="2" s="1"/>
  <c r="C356" i="2"/>
  <c r="K356" i="2" s="1"/>
  <c r="C357" i="2"/>
  <c r="K357" i="2" s="1"/>
  <c r="C358" i="2"/>
  <c r="K358" i="2" s="1"/>
  <c r="C359" i="2"/>
  <c r="J359" i="2" s="1"/>
  <c r="C360" i="2"/>
  <c r="J360" i="2" s="1"/>
  <c r="C361" i="2"/>
  <c r="K361" i="2" s="1"/>
  <c r="C362" i="2"/>
  <c r="J362" i="2" s="1"/>
  <c r="C363" i="2"/>
  <c r="J363" i="2" s="1"/>
  <c r="C364" i="2"/>
  <c r="J364" i="2" s="1"/>
  <c r="C365" i="2"/>
  <c r="K365" i="2" s="1"/>
  <c r="C366" i="2"/>
  <c r="K366" i="2" s="1"/>
  <c r="C367" i="2"/>
  <c r="K367" i="2" s="1"/>
  <c r="C368" i="2"/>
  <c r="K368" i="2" s="1"/>
  <c r="C369" i="2"/>
  <c r="J369" i="2" s="1"/>
  <c r="C370" i="2"/>
  <c r="K370" i="2" s="1"/>
  <c r="C371" i="2"/>
  <c r="K371" i="2" s="1"/>
  <c r="C372" i="2"/>
  <c r="J372" i="2" s="1"/>
  <c r="C373" i="2"/>
  <c r="K373" i="2" s="1"/>
  <c r="C374" i="2"/>
  <c r="J374" i="2" s="1"/>
  <c r="C375" i="2"/>
  <c r="J375" i="2" s="1"/>
  <c r="C376" i="2"/>
  <c r="J376" i="2" s="1"/>
  <c r="C377" i="2"/>
  <c r="J377" i="2" s="1"/>
  <c r="C378" i="2"/>
  <c r="J378" i="2" s="1"/>
  <c r="C379" i="2"/>
  <c r="C380" i="2"/>
  <c r="K380" i="2" s="1"/>
  <c r="C381" i="2"/>
  <c r="K381" i="2" s="1"/>
  <c r="C382" i="2"/>
  <c r="J382" i="2" s="1"/>
  <c r="C383" i="2"/>
  <c r="K383" i="2" s="1"/>
  <c r="C384" i="2"/>
  <c r="J384" i="2" s="1"/>
  <c r="C385" i="2"/>
  <c r="J385" i="2" s="1"/>
  <c r="C386" i="2"/>
  <c r="K386" i="2" s="1"/>
  <c r="C387" i="2"/>
  <c r="K387" i="2" s="1"/>
  <c r="C388" i="2"/>
  <c r="K388" i="2" s="1"/>
  <c r="C389" i="2"/>
  <c r="C390" i="2"/>
  <c r="J390" i="2" s="1"/>
  <c r="C391" i="2"/>
  <c r="J391" i="2" s="1"/>
  <c r="C392" i="2"/>
  <c r="J392" i="2" s="1"/>
  <c r="C393" i="2"/>
  <c r="K393" i="2" s="1"/>
  <c r="C394" i="2"/>
  <c r="K394" i="2" s="1"/>
  <c r="C395" i="2"/>
  <c r="K395" i="2" s="1"/>
  <c r="C396" i="2"/>
  <c r="J396" i="2" s="1"/>
  <c r="C397" i="2"/>
  <c r="K397" i="2" s="1"/>
  <c r="C398" i="2"/>
  <c r="K398" i="2" s="1"/>
  <c r="C399" i="2"/>
  <c r="C400" i="2"/>
  <c r="K400" i="2" s="1"/>
  <c r="C401" i="2"/>
  <c r="K401" i="2" s="1"/>
  <c r="C402" i="2"/>
  <c r="C403" i="2"/>
  <c r="J403" i="2" s="1"/>
  <c r="C404" i="2"/>
  <c r="J404" i="2" s="1"/>
  <c r="C405" i="2"/>
  <c r="K405" i="2" s="1"/>
  <c r="C406" i="2"/>
  <c r="J406" i="2" s="1"/>
  <c r="C407" i="2"/>
  <c r="J407" i="2" s="1"/>
  <c r="C408" i="2"/>
  <c r="K408" i="2" s="1"/>
  <c r="C409" i="2"/>
  <c r="J409" i="2" s="1"/>
  <c r="C410" i="2"/>
  <c r="K410" i="2" s="1"/>
  <c r="C411" i="2"/>
  <c r="C412" i="2"/>
  <c r="C413" i="2"/>
  <c r="K413" i="2" s="1"/>
  <c r="C414" i="2"/>
  <c r="K414" i="2" s="1"/>
  <c r="C415" i="2"/>
  <c r="K415" i="2" s="1"/>
  <c r="C416" i="2"/>
  <c r="C417" i="2"/>
  <c r="K417" i="2" s="1"/>
  <c r="C418" i="2"/>
  <c r="J418" i="2" s="1"/>
  <c r="C419" i="2"/>
  <c r="C420" i="2"/>
  <c r="J420" i="2" s="1"/>
  <c r="C421" i="2"/>
  <c r="J421" i="2" s="1"/>
  <c r="C422" i="2"/>
  <c r="C423" i="2"/>
  <c r="J423" i="2" s="1"/>
  <c r="C424" i="2"/>
  <c r="C425" i="2"/>
  <c r="K425" i="2" s="1"/>
  <c r="C426" i="2"/>
  <c r="C427" i="2"/>
  <c r="K427" i="2" s="1"/>
  <c r="C428" i="2"/>
  <c r="K428" i="2" s="1"/>
  <c r="C429" i="2"/>
  <c r="C430" i="2"/>
  <c r="J430" i="2" s="1"/>
  <c r="C431" i="2"/>
  <c r="J431" i="2" s="1"/>
  <c r="C432" i="2"/>
  <c r="C433" i="2"/>
  <c r="J433" i="2" s="1"/>
  <c r="C434" i="2"/>
  <c r="J434" i="2" s="1"/>
  <c r="C435" i="2"/>
  <c r="J435" i="2" s="1"/>
  <c r="C436" i="2"/>
  <c r="K436" i="2" s="1"/>
  <c r="C437" i="2"/>
  <c r="J437" i="2" s="1"/>
  <c r="C438" i="2"/>
  <c r="J438" i="2" s="1"/>
  <c r="C439" i="2"/>
  <c r="C440" i="2"/>
  <c r="J440" i="2" s="1"/>
  <c r="C441" i="2"/>
  <c r="J441" i="2" s="1"/>
  <c r="J436" i="2"/>
  <c r="F419" i="2"/>
  <c r="K423" i="2"/>
  <c r="I406" i="2"/>
  <c r="J405" i="2"/>
  <c r="I385" i="2"/>
  <c r="J386" i="2"/>
  <c r="J395" i="2"/>
  <c r="K390" i="2"/>
  <c r="K396" i="2"/>
  <c r="I373" i="2"/>
  <c r="I375" i="2"/>
  <c r="J365" i="2"/>
  <c r="J366" i="2"/>
  <c r="K376" i="2"/>
  <c r="J356" i="2"/>
  <c r="J343" i="2"/>
  <c r="J345" i="2"/>
  <c r="J353" i="2"/>
  <c r="K345" i="2"/>
  <c r="J326" i="2"/>
  <c r="K326" i="2"/>
  <c r="K335" i="2"/>
  <c r="F317" i="2"/>
  <c r="F319" i="2"/>
  <c r="I315" i="2"/>
  <c r="I325" i="2"/>
  <c r="K313" i="2"/>
  <c r="K315" i="2"/>
  <c r="K316" i="2"/>
  <c r="E304" i="8"/>
  <c r="F314" i="2" s="1"/>
  <c r="E305" i="8"/>
  <c r="F315" i="2" s="1"/>
  <c r="E306" i="8"/>
  <c r="F316" i="2" s="1"/>
  <c r="E307" i="8"/>
  <c r="E308" i="8"/>
  <c r="F318" i="2" s="1"/>
  <c r="E309" i="8"/>
  <c r="E310" i="8"/>
  <c r="F320" i="2" s="1"/>
  <c r="E311" i="8"/>
  <c r="F321" i="2" s="1"/>
  <c r="E312" i="8"/>
  <c r="F322" i="2" s="1"/>
  <c r="E313" i="8"/>
  <c r="F323" i="2" s="1"/>
  <c r="E314" i="8"/>
  <c r="F324" i="2" s="1"/>
  <c r="E315" i="8"/>
  <c r="F325" i="2" s="1"/>
  <c r="E316" i="8"/>
  <c r="F326" i="2" s="1"/>
  <c r="E317" i="8"/>
  <c r="F327" i="2" s="1"/>
  <c r="E318" i="8"/>
  <c r="F328" i="2" s="1"/>
  <c r="E319" i="8"/>
  <c r="F329" i="2" s="1"/>
  <c r="E320" i="8"/>
  <c r="F330" i="2" s="1"/>
  <c r="E321" i="8"/>
  <c r="F331" i="2" s="1"/>
  <c r="E322" i="8"/>
  <c r="F332" i="2" s="1"/>
  <c r="E323" i="8"/>
  <c r="F333" i="2" s="1"/>
  <c r="E324" i="8"/>
  <c r="F334" i="2" s="1"/>
  <c r="E325" i="8"/>
  <c r="F335" i="2" s="1"/>
  <c r="E326" i="8"/>
  <c r="F336" i="2" s="1"/>
  <c r="E327" i="8"/>
  <c r="F337" i="2" s="1"/>
  <c r="E328" i="8"/>
  <c r="F338" i="2" s="1"/>
  <c r="E329" i="8"/>
  <c r="F339" i="2" s="1"/>
  <c r="E330" i="8"/>
  <c r="F340" i="2" s="1"/>
  <c r="E331" i="8"/>
  <c r="F341" i="2" s="1"/>
  <c r="E332" i="8"/>
  <c r="F342" i="2" s="1"/>
  <c r="E333" i="8"/>
  <c r="F343" i="2" s="1"/>
  <c r="E334" i="8"/>
  <c r="F344" i="2" s="1"/>
  <c r="E335" i="8"/>
  <c r="F345" i="2" s="1"/>
  <c r="E336" i="8"/>
  <c r="F346" i="2" s="1"/>
  <c r="E337" i="8"/>
  <c r="F347" i="2" s="1"/>
  <c r="E338" i="8"/>
  <c r="F348" i="2" s="1"/>
  <c r="E339" i="8"/>
  <c r="F349" i="2" s="1"/>
  <c r="E340" i="8"/>
  <c r="F350" i="2" s="1"/>
  <c r="E341" i="8"/>
  <c r="F351" i="2" s="1"/>
  <c r="E342" i="8"/>
  <c r="F352" i="2" s="1"/>
  <c r="E343" i="8"/>
  <c r="F353" i="2" s="1"/>
  <c r="E344" i="8"/>
  <c r="F354" i="2" s="1"/>
  <c r="E345" i="8"/>
  <c r="F355" i="2" s="1"/>
  <c r="E346" i="8"/>
  <c r="F356" i="2" s="1"/>
  <c r="E347" i="8"/>
  <c r="F357" i="2" s="1"/>
  <c r="E348" i="8"/>
  <c r="F358" i="2" s="1"/>
  <c r="E349" i="8"/>
  <c r="F359" i="2" s="1"/>
  <c r="E350" i="8"/>
  <c r="F360" i="2" s="1"/>
  <c r="E351" i="8"/>
  <c r="F361" i="2" s="1"/>
  <c r="E352" i="8"/>
  <c r="F362" i="2" s="1"/>
  <c r="E353" i="8"/>
  <c r="F363" i="2" s="1"/>
  <c r="E354" i="8"/>
  <c r="F364" i="2" s="1"/>
  <c r="E355" i="8"/>
  <c r="F365" i="2" s="1"/>
  <c r="E356" i="8"/>
  <c r="F366" i="2" s="1"/>
  <c r="E357" i="8"/>
  <c r="F367" i="2" s="1"/>
  <c r="E358" i="8"/>
  <c r="F368" i="2" s="1"/>
  <c r="E359" i="8"/>
  <c r="F369" i="2" s="1"/>
  <c r="E360" i="8"/>
  <c r="F370" i="2" s="1"/>
  <c r="E361" i="8"/>
  <c r="F371" i="2" s="1"/>
  <c r="E362" i="8"/>
  <c r="F372" i="2" s="1"/>
  <c r="E363" i="8"/>
  <c r="F373" i="2" s="1"/>
  <c r="E364" i="8"/>
  <c r="F374" i="2" s="1"/>
  <c r="E365" i="8"/>
  <c r="F375" i="2" s="1"/>
  <c r="E366" i="8"/>
  <c r="F376" i="2" s="1"/>
  <c r="E367" i="8"/>
  <c r="F377" i="2" s="1"/>
  <c r="E368" i="8"/>
  <c r="F378" i="2" s="1"/>
  <c r="E369" i="8"/>
  <c r="F379" i="2" s="1"/>
  <c r="E370" i="8"/>
  <c r="F380" i="2" s="1"/>
  <c r="E371" i="8"/>
  <c r="F381" i="2" s="1"/>
  <c r="E372" i="8"/>
  <c r="F382" i="2" s="1"/>
  <c r="E373" i="8"/>
  <c r="F383" i="2" s="1"/>
  <c r="E374" i="8"/>
  <c r="F384" i="2" s="1"/>
  <c r="E375" i="8"/>
  <c r="F385" i="2" s="1"/>
  <c r="E376" i="8"/>
  <c r="F386" i="2" s="1"/>
  <c r="E377" i="8"/>
  <c r="F387" i="2" s="1"/>
  <c r="E378" i="8"/>
  <c r="F388" i="2" s="1"/>
  <c r="E379" i="8"/>
  <c r="F389" i="2" s="1"/>
  <c r="E380" i="8"/>
  <c r="F390" i="2" s="1"/>
  <c r="E381" i="8"/>
  <c r="F391" i="2" s="1"/>
  <c r="E382" i="8"/>
  <c r="F392" i="2" s="1"/>
  <c r="E383" i="8"/>
  <c r="F393" i="2" s="1"/>
  <c r="E384" i="8"/>
  <c r="F394" i="2" s="1"/>
  <c r="E385" i="8"/>
  <c r="F395" i="2" s="1"/>
  <c r="E386" i="8"/>
  <c r="F396" i="2" s="1"/>
  <c r="E387" i="8"/>
  <c r="F397" i="2" s="1"/>
  <c r="E388" i="8"/>
  <c r="F398" i="2" s="1"/>
  <c r="E389" i="8"/>
  <c r="F399" i="2" s="1"/>
  <c r="E390" i="8"/>
  <c r="F400" i="2" s="1"/>
  <c r="E391" i="8"/>
  <c r="F401" i="2" s="1"/>
  <c r="E392" i="8"/>
  <c r="F402" i="2" s="1"/>
  <c r="E393" i="8"/>
  <c r="F403" i="2" s="1"/>
  <c r="E394" i="8"/>
  <c r="F404" i="2" s="1"/>
  <c r="E395" i="8"/>
  <c r="F405" i="2" s="1"/>
  <c r="E396" i="8"/>
  <c r="F406" i="2" s="1"/>
  <c r="E397" i="8"/>
  <c r="F407" i="2" s="1"/>
  <c r="E398" i="8"/>
  <c r="F408" i="2" s="1"/>
  <c r="E399" i="8"/>
  <c r="F409" i="2" s="1"/>
  <c r="E400" i="8"/>
  <c r="F410" i="2" s="1"/>
  <c r="E401" i="8"/>
  <c r="F411" i="2" s="1"/>
  <c r="E402" i="8"/>
  <c r="F412" i="2" s="1"/>
  <c r="E403" i="8"/>
  <c r="F413" i="2" s="1"/>
  <c r="E404" i="8"/>
  <c r="F414" i="2" s="1"/>
  <c r="E405" i="8"/>
  <c r="F415" i="2" s="1"/>
  <c r="E406" i="8"/>
  <c r="F416" i="2" s="1"/>
  <c r="E407" i="8"/>
  <c r="F417" i="2" s="1"/>
  <c r="E408" i="8"/>
  <c r="F418" i="2" s="1"/>
  <c r="E409" i="8"/>
  <c r="E410" i="8"/>
  <c r="F420" i="2" s="1"/>
  <c r="E411" i="8"/>
  <c r="F421" i="2" s="1"/>
  <c r="E412" i="8"/>
  <c r="F422" i="2" s="1"/>
  <c r="E413" i="8"/>
  <c r="F423" i="2" s="1"/>
  <c r="E414" i="8"/>
  <c r="F424" i="2" s="1"/>
  <c r="E415" i="8"/>
  <c r="F425" i="2" s="1"/>
  <c r="E416" i="8"/>
  <c r="F426" i="2" s="1"/>
  <c r="E417" i="8"/>
  <c r="F427" i="2" s="1"/>
  <c r="E418" i="8"/>
  <c r="F428" i="2" s="1"/>
  <c r="E419" i="8"/>
  <c r="F429" i="2" s="1"/>
  <c r="E420" i="8"/>
  <c r="F430" i="2" s="1"/>
  <c r="E421" i="8"/>
  <c r="F431" i="2" s="1"/>
  <c r="E422" i="8"/>
  <c r="F432" i="2" s="1"/>
  <c r="E423" i="8"/>
  <c r="F433" i="2" s="1"/>
  <c r="E424" i="8"/>
  <c r="F434" i="2" s="1"/>
  <c r="E425" i="8"/>
  <c r="F435" i="2" s="1"/>
  <c r="E426" i="8"/>
  <c r="F436" i="2" s="1"/>
  <c r="E427" i="8"/>
  <c r="F437" i="2" s="1"/>
  <c r="E428" i="8"/>
  <c r="F438" i="2" s="1"/>
  <c r="E429" i="8"/>
  <c r="F439" i="2" s="1"/>
  <c r="E430" i="8"/>
  <c r="F440" i="2" s="1"/>
  <c r="E431" i="8"/>
  <c r="F441" i="2" s="1"/>
  <c r="E303" i="8"/>
  <c r="F313" i="2" s="1"/>
  <c r="E309" i="2"/>
  <c r="E310" i="2"/>
  <c r="E311" i="2"/>
  <c r="E312" i="2"/>
  <c r="E286" i="2"/>
  <c r="E287" i="2"/>
  <c r="E288" i="2"/>
  <c r="E289" i="2"/>
  <c r="E290" i="2"/>
  <c r="E291" i="2"/>
  <c r="E292" i="2"/>
  <c r="E293" i="2"/>
  <c r="E294" i="2"/>
  <c r="E296" i="2"/>
  <c r="E297" i="2"/>
  <c r="E298" i="2"/>
  <c r="E299" i="2"/>
  <c r="E302" i="2"/>
  <c r="E303" i="2"/>
  <c r="E304" i="2"/>
  <c r="E305" i="2"/>
  <c r="E306" i="2"/>
  <c r="E269" i="2"/>
  <c r="E270" i="2"/>
  <c r="E277" i="2"/>
  <c r="E278" i="2"/>
  <c r="E279" i="2"/>
  <c r="E280" i="2"/>
  <c r="E281" i="2"/>
  <c r="E282" i="2"/>
  <c r="E285" i="2"/>
  <c r="E250" i="2"/>
  <c r="E251" i="2"/>
  <c r="E252" i="2"/>
  <c r="E253" i="2"/>
  <c r="E258" i="2"/>
  <c r="E259" i="2"/>
  <c r="E260" i="2"/>
  <c r="E265" i="2"/>
  <c r="E266" i="2"/>
  <c r="E267" i="2"/>
  <c r="E268" i="2"/>
  <c r="E228" i="2"/>
  <c r="E230" i="2"/>
  <c r="E231" i="2"/>
  <c r="E232" i="2"/>
  <c r="E233" i="2"/>
  <c r="E235" i="2"/>
  <c r="E236" i="2"/>
  <c r="E237" i="2"/>
  <c r="E238" i="2"/>
  <c r="E239" i="2"/>
  <c r="E241" i="2"/>
  <c r="E242" i="2"/>
  <c r="E243" i="2"/>
  <c r="E247" i="2"/>
  <c r="E248" i="2"/>
  <c r="E249" i="2"/>
  <c r="D299" i="2"/>
  <c r="D300" i="2"/>
  <c r="D301" i="2"/>
  <c r="D302" i="2"/>
  <c r="D303" i="2"/>
  <c r="D304" i="2"/>
  <c r="D305" i="2"/>
  <c r="D306" i="2"/>
  <c r="D307" i="2"/>
  <c r="D309" i="2"/>
  <c r="D310" i="2"/>
  <c r="D311" i="2"/>
  <c r="D312" i="2"/>
  <c r="D278" i="2"/>
  <c r="D279" i="2"/>
  <c r="D280" i="2"/>
  <c r="D281" i="2"/>
  <c r="D282" i="2"/>
  <c r="D283" i="2"/>
  <c r="D284" i="2"/>
  <c r="D285" i="2"/>
  <c r="D286" i="2"/>
  <c r="D287" i="2"/>
  <c r="D288" i="2"/>
  <c r="D289" i="2"/>
  <c r="D290" i="2"/>
  <c r="D291" i="2"/>
  <c r="D292" i="2"/>
  <c r="D293" i="2"/>
  <c r="D294" i="2"/>
  <c r="D295" i="2"/>
  <c r="D296" i="2"/>
  <c r="D297" i="2"/>
  <c r="D298" i="2"/>
  <c r="D262" i="2"/>
  <c r="D264" i="2"/>
  <c r="D265" i="2"/>
  <c r="D266" i="2"/>
  <c r="D267" i="2"/>
  <c r="D268" i="2"/>
  <c r="D269" i="2"/>
  <c r="D270" i="2"/>
  <c r="D273" i="2"/>
  <c r="D274" i="2"/>
  <c r="D275" i="2"/>
  <c r="D276" i="2"/>
  <c r="D277" i="2"/>
  <c r="D243" i="2"/>
  <c r="D247" i="2"/>
  <c r="D248" i="2"/>
  <c r="D249" i="2"/>
  <c r="D250" i="2"/>
  <c r="D251" i="2"/>
  <c r="D252" i="2"/>
  <c r="D253" i="2"/>
  <c r="D255" i="2"/>
  <c r="D256" i="2"/>
  <c r="D257" i="2"/>
  <c r="D258" i="2"/>
  <c r="D259" i="2"/>
  <c r="D260" i="2"/>
  <c r="D261" i="2"/>
  <c r="D228" i="2"/>
  <c r="D230" i="2"/>
  <c r="D231" i="2"/>
  <c r="D232" i="2"/>
  <c r="D233" i="2"/>
  <c r="D234" i="2"/>
  <c r="D235" i="2"/>
  <c r="D236" i="2"/>
  <c r="D237" i="2"/>
  <c r="D238" i="2"/>
  <c r="D239" i="2"/>
  <c r="D240" i="2"/>
  <c r="D241" i="2"/>
  <c r="D242" i="2"/>
  <c r="C299" i="2"/>
  <c r="K299" i="2" s="1"/>
  <c r="C300" i="2"/>
  <c r="J300" i="2" s="1"/>
  <c r="C301" i="2"/>
  <c r="J301" i="2" s="1"/>
  <c r="C302" i="2"/>
  <c r="J302" i="2" s="1"/>
  <c r="C303" i="2"/>
  <c r="K303" i="2" s="1"/>
  <c r="C304" i="2"/>
  <c r="K304" i="2" s="1"/>
  <c r="C305" i="2"/>
  <c r="J305" i="2" s="1"/>
  <c r="C306" i="2"/>
  <c r="J306" i="2" s="1"/>
  <c r="C307" i="2"/>
  <c r="J307" i="2" s="1"/>
  <c r="C308" i="2"/>
  <c r="I308" i="2" s="1"/>
  <c r="C309" i="2"/>
  <c r="K309" i="2" s="1"/>
  <c r="C310" i="2"/>
  <c r="C311" i="2"/>
  <c r="K311" i="2" s="1"/>
  <c r="C312" i="2"/>
  <c r="K312" i="2" s="1"/>
  <c r="C280" i="2"/>
  <c r="K280" i="2" s="1"/>
  <c r="C281" i="2"/>
  <c r="K281" i="2" s="1"/>
  <c r="C282" i="2"/>
  <c r="K282" i="2" s="1"/>
  <c r="C283" i="2"/>
  <c r="K283" i="2" s="1"/>
  <c r="C284" i="2"/>
  <c r="J284" i="2" s="1"/>
  <c r="C285" i="2"/>
  <c r="K285" i="2" s="1"/>
  <c r="C286" i="2"/>
  <c r="J286" i="2" s="1"/>
  <c r="C287" i="2"/>
  <c r="K287" i="2" s="1"/>
  <c r="C288" i="2"/>
  <c r="K288" i="2" s="1"/>
  <c r="C289" i="2"/>
  <c r="K289" i="2" s="1"/>
  <c r="C290" i="2"/>
  <c r="K290" i="2" s="1"/>
  <c r="C291" i="2"/>
  <c r="K291" i="2" s="1"/>
  <c r="C292" i="2"/>
  <c r="J292" i="2" s="1"/>
  <c r="C293" i="2"/>
  <c r="J293" i="2" s="1"/>
  <c r="C294" i="2"/>
  <c r="J294" i="2" s="1"/>
  <c r="C295" i="2"/>
  <c r="J295" i="2" s="1"/>
  <c r="C296" i="2"/>
  <c r="J296" i="2" s="1"/>
  <c r="C297" i="2"/>
  <c r="J297" i="2" s="1"/>
  <c r="C298" i="2"/>
  <c r="J298" i="2" s="1"/>
  <c r="C262" i="2"/>
  <c r="C263" i="2"/>
  <c r="J263" i="2" s="1"/>
  <c r="C264" i="2"/>
  <c r="K264" i="2" s="1"/>
  <c r="C265" i="2"/>
  <c r="K265" i="2" s="1"/>
  <c r="C266" i="2"/>
  <c r="J266" i="2" s="1"/>
  <c r="C267" i="2"/>
  <c r="J267" i="2" s="1"/>
  <c r="C268" i="2"/>
  <c r="J268" i="2" s="1"/>
  <c r="C269" i="2"/>
  <c r="K269" i="2" s="1"/>
  <c r="C270" i="2"/>
  <c r="J270" i="2" s="1"/>
  <c r="C271" i="2"/>
  <c r="I271" i="2" s="1"/>
  <c r="C272" i="2"/>
  <c r="I272" i="2" s="1"/>
  <c r="C273" i="2"/>
  <c r="J273" i="2" s="1"/>
  <c r="C274" i="2"/>
  <c r="K274" i="2" s="1"/>
  <c r="C275" i="2"/>
  <c r="J275" i="2" s="1"/>
  <c r="C276" i="2"/>
  <c r="J276" i="2" s="1"/>
  <c r="C277" i="2"/>
  <c r="K277" i="2" s="1"/>
  <c r="C278" i="2"/>
  <c r="C279" i="2"/>
  <c r="C245" i="2"/>
  <c r="J245" i="2" s="1"/>
  <c r="C246" i="2"/>
  <c r="I246" i="2" s="1"/>
  <c r="C247" i="2"/>
  <c r="J247" i="2" s="1"/>
  <c r="C248" i="2"/>
  <c r="J248" i="2" s="1"/>
  <c r="C249" i="2"/>
  <c r="K249" i="2" s="1"/>
  <c r="C250" i="2"/>
  <c r="K250" i="2" s="1"/>
  <c r="C251" i="2"/>
  <c r="J251" i="2" s="1"/>
  <c r="C252" i="2"/>
  <c r="K252" i="2" s="1"/>
  <c r="C253" i="2"/>
  <c r="C254" i="2"/>
  <c r="J254" i="2" s="1"/>
  <c r="C255" i="2"/>
  <c r="J255" i="2" s="1"/>
  <c r="C256" i="2"/>
  <c r="C257" i="2"/>
  <c r="J257" i="2" s="1"/>
  <c r="C258" i="2"/>
  <c r="J258" i="2" s="1"/>
  <c r="C259" i="2"/>
  <c r="K259" i="2" s="1"/>
  <c r="C260" i="2"/>
  <c r="J260" i="2" s="1"/>
  <c r="C261" i="2"/>
  <c r="J261" i="2" s="1"/>
  <c r="C228" i="2"/>
  <c r="K228" i="2" s="1"/>
  <c r="C229" i="2"/>
  <c r="J229" i="2" s="1"/>
  <c r="C230" i="2"/>
  <c r="J230" i="2" s="1"/>
  <c r="C231" i="2"/>
  <c r="K231" i="2" s="1"/>
  <c r="C232" i="2"/>
  <c r="J232" i="2" s="1"/>
  <c r="C233" i="2"/>
  <c r="J233" i="2" s="1"/>
  <c r="C234" i="2"/>
  <c r="K234" i="2" s="1"/>
  <c r="C235" i="2"/>
  <c r="K235" i="2" s="1"/>
  <c r="C236" i="2"/>
  <c r="J236" i="2" s="1"/>
  <c r="C237" i="2"/>
  <c r="J237" i="2" s="1"/>
  <c r="C238" i="2"/>
  <c r="K238" i="2" s="1"/>
  <c r="C239" i="2"/>
  <c r="C240" i="2"/>
  <c r="J240" i="2" s="1"/>
  <c r="C241" i="2"/>
  <c r="J241" i="2" s="1"/>
  <c r="C242" i="2"/>
  <c r="J242" i="2" s="1"/>
  <c r="C243" i="2"/>
  <c r="J243" i="2" s="1"/>
  <c r="C244" i="2"/>
  <c r="I244" i="2" s="1"/>
  <c r="F233" i="2"/>
  <c r="E218" i="8"/>
  <c r="F228" i="2" s="1"/>
  <c r="E219" i="8"/>
  <c r="F229" i="2" s="1"/>
  <c r="E220" i="8"/>
  <c r="F230" i="2" s="1"/>
  <c r="E221" i="8"/>
  <c r="F231" i="2" s="1"/>
  <c r="E222" i="8"/>
  <c r="F232" i="2" s="1"/>
  <c r="E223" i="8"/>
  <c r="E224" i="8"/>
  <c r="F234" i="2" s="1"/>
  <c r="E225" i="8"/>
  <c r="F235" i="2" s="1"/>
  <c r="E226" i="8"/>
  <c r="F236" i="2" s="1"/>
  <c r="E227" i="8"/>
  <c r="F237" i="2" s="1"/>
  <c r="E228" i="8"/>
  <c r="F238" i="2" s="1"/>
  <c r="E229" i="8"/>
  <c r="F239" i="2" s="1"/>
  <c r="E230" i="8"/>
  <c r="F240" i="2" s="1"/>
  <c r="E231" i="8"/>
  <c r="F241" i="2" s="1"/>
  <c r="E232" i="8"/>
  <c r="F242" i="2" s="1"/>
  <c r="E233" i="8"/>
  <c r="F243" i="2" s="1"/>
  <c r="E234" i="8"/>
  <c r="F244" i="2" s="1"/>
  <c r="E235" i="8"/>
  <c r="F245" i="2" s="1"/>
  <c r="E236" i="8"/>
  <c r="F246" i="2" s="1"/>
  <c r="E237" i="8"/>
  <c r="F247" i="2" s="1"/>
  <c r="E238" i="8"/>
  <c r="F248" i="2" s="1"/>
  <c r="E239" i="8"/>
  <c r="F249" i="2" s="1"/>
  <c r="E240" i="8"/>
  <c r="F250" i="2" s="1"/>
  <c r="E241" i="8"/>
  <c r="F251" i="2" s="1"/>
  <c r="E242" i="8"/>
  <c r="F252" i="2" s="1"/>
  <c r="E243" i="8"/>
  <c r="F253" i="2" s="1"/>
  <c r="E244" i="8"/>
  <c r="F254" i="2" s="1"/>
  <c r="E245" i="8"/>
  <c r="F255" i="2" s="1"/>
  <c r="E246" i="8"/>
  <c r="F256" i="2" s="1"/>
  <c r="E247" i="8"/>
  <c r="F257" i="2" s="1"/>
  <c r="E248" i="8"/>
  <c r="F258" i="2" s="1"/>
  <c r="E249" i="8"/>
  <c r="F259" i="2" s="1"/>
  <c r="E250" i="8"/>
  <c r="F260" i="2" s="1"/>
  <c r="E251" i="8"/>
  <c r="F261" i="2" s="1"/>
  <c r="E252" i="8"/>
  <c r="F262" i="2" s="1"/>
  <c r="E253" i="8"/>
  <c r="F263" i="2" s="1"/>
  <c r="E254" i="8"/>
  <c r="F264" i="2" s="1"/>
  <c r="E255" i="8"/>
  <c r="F265" i="2" s="1"/>
  <c r="E256" i="8"/>
  <c r="F266" i="2" s="1"/>
  <c r="E257" i="8"/>
  <c r="F267" i="2" s="1"/>
  <c r="E258" i="8"/>
  <c r="F268" i="2" s="1"/>
  <c r="E259" i="8"/>
  <c r="F269" i="2" s="1"/>
  <c r="E260" i="8"/>
  <c r="F270" i="2" s="1"/>
  <c r="E261" i="8"/>
  <c r="F271" i="2" s="1"/>
  <c r="E262" i="8"/>
  <c r="F272" i="2" s="1"/>
  <c r="E263" i="8"/>
  <c r="F273" i="2" s="1"/>
  <c r="E264" i="8"/>
  <c r="F274" i="2" s="1"/>
  <c r="E265" i="8"/>
  <c r="F275" i="2" s="1"/>
  <c r="E266" i="8"/>
  <c r="F276" i="2" s="1"/>
  <c r="E267" i="8"/>
  <c r="F277" i="2" s="1"/>
  <c r="E268" i="8"/>
  <c r="F278" i="2" s="1"/>
  <c r="E269" i="8"/>
  <c r="F279" i="2" s="1"/>
  <c r="E270" i="8"/>
  <c r="F280" i="2" s="1"/>
  <c r="E271" i="8"/>
  <c r="F281" i="2" s="1"/>
  <c r="E272" i="8"/>
  <c r="F282" i="2" s="1"/>
  <c r="E273" i="8"/>
  <c r="F283" i="2" s="1"/>
  <c r="E274" i="8"/>
  <c r="F284" i="2" s="1"/>
  <c r="E275" i="8"/>
  <c r="F285" i="2" s="1"/>
  <c r="E276" i="8"/>
  <c r="F286" i="2" s="1"/>
  <c r="E277" i="8"/>
  <c r="F287" i="2" s="1"/>
  <c r="E278" i="8"/>
  <c r="F288" i="2" s="1"/>
  <c r="E279" i="8"/>
  <c r="F289" i="2" s="1"/>
  <c r="E280" i="8"/>
  <c r="F290" i="2" s="1"/>
  <c r="E281" i="8"/>
  <c r="F291" i="2" s="1"/>
  <c r="E282" i="8"/>
  <c r="F292" i="2" s="1"/>
  <c r="E283" i="8"/>
  <c r="F293" i="2" s="1"/>
  <c r="E284" i="8"/>
  <c r="F294" i="2" s="1"/>
  <c r="E285" i="8"/>
  <c r="F295" i="2" s="1"/>
  <c r="E286" i="8"/>
  <c r="F296" i="2" s="1"/>
  <c r="E287" i="8"/>
  <c r="F297" i="2" s="1"/>
  <c r="E288" i="8"/>
  <c r="F298" i="2" s="1"/>
  <c r="E289" i="8"/>
  <c r="F299" i="2" s="1"/>
  <c r="E290" i="8"/>
  <c r="F300" i="2" s="1"/>
  <c r="E291" i="8"/>
  <c r="F301" i="2" s="1"/>
  <c r="E292" i="8"/>
  <c r="F302" i="2" s="1"/>
  <c r="E293" i="8"/>
  <c r="F303" i="2" s="1"/>
  <c r="E294" i="8"/>
  <c r="F304" i="2" s="1"/>
  <c r="E295" i="8"/>
  <c r="F305" i="2" s="1"/>
  <c r="E296" i="8"/>
  <c r="F306" i="2" s="1"/>
  <c r="E297" i="8"/>
  <c r="F307" i="2" s="1"/>
  <c r="E298" i="8"/>
  <c r="F308" i="2" s="1"/>
  <c r="E299" i="8"/>
  <c r="F309" i="2" s="1"/>
  <c r="E300" i="8"/>
  <c r="F310" i="2" s="1"/>
  <c r="E301" i="8"/>
  <c r="F311" i="2" s="1"/>
  <c r="E302" i="8"/>
  <c r="F312" i="2" s="1"/>
  <c r="Q46" i="3"/>
  <c r="N27" i="3" a="1"/>
  <c r="N27" i="3" s="1"/>
  <c r="M27" i="3" a="1"/>
  <c r="M27" i="3" s="1"/>
  <c r="L27" i="3" a="1"/>
  <c r="L27" i="3" s="1"/>
  <c r="G76" i="10" s="1" a="1"/>
  <c r="G76" i="10" s="1"/>
  <c r="Q39" i="3"/>
  <c r="E3" i="8"/>
  <c r="F13" i="2" s="1"/>
  <c r="E4" i="8"/>
  <c r="F14" i="2" s="1"/>
  <c r="E5" i="8"/>
  <c r="F15" i="2" s="1"/>
  <c r="E6" i="8"/>
  <c r="F16" i="2" s="1"/>
  <c r="E7" i="8"/>
  <c r="F17" i="2" s="1"/>
  <c r="E8" i="8"/>
  <c r="F18" i="2" s="1"/>
  <c r="E9" i="8"/>
  <c r="F19" i="2" s="1"/>
  <c r="E10" i="8"/>
  <c r="F20" i="2" s="1"/>
  <c r="E11" i="8"/>
  <c r="F21" i="2" s="1"/>
  <c r="E12" i="8"/>
  <c r="F22" i="2" s="1"/>
  <c r="E13" i="8"/>
  <c r="F23" i="2" s="1"/>
  <c r="E14" i="8"/>
  <c r="F24" i="2" s="1"/>
  <c r="E15" i="8"/>
  <c r="F25" i="2" s="1"/>
  <c r="E16" i="8"/>
  <c r="F26" i="2" s="1"/>
  <c r="E17" i="8"/>
  <c r="F27" i="2" s="1"/>
  <c r="E18" i="8"/>
  <c r="F28" i="2" s="1"/>
  <c r="E19" i="8"/>
  <c r="F29" i="2" s="1"/>
  <c r="E20" i="8"/>
  <c r="F30" i="2" s="1"/>
  <c r="E21" i="8"/>
  <c r="F31" i="2" s="1"/>
  <c r="E22" i="8"/>
  <c r="F32" i="2" s="1"/>
  <c r="E23" i="8"/>
  <c r="F33" i="2" s="1"/>
  <c r="E24" i="8"/>
  <c r="F34" i="2" s="1"/>
  <c r="E25" i="8"/>
  <c r="F35" i="2" s="1"/>
  <c r="E26" i="8"/>
  <c r="F36" i="2" s="1"/>
  <c r="E27" i="8"/>
  <c r="F37" i="2" s="1"/>
  <c r="E28" i="8"/>
  <c r="F38" i="2" s="1"/>
  <c r="E29" i="8"/>
  <c r="F39" i="2" s="1"/>
  <c r="E30" i="8"/>
  <c r="F40" i="2" s="1"/>
  <c r="E31" i="8"/>
  <c r="F41" i="2" s="1"/>
  <c r="E32" i="8"/>
  <c r="F42" i="2" s="1"/>
  <c r="E33" i="8"/>
  <c r="F43" i="2" s="1"/>
  <c r="E34" i="8"/>
  <c r="F44" i="2" s="1"/>
  <c r="E35" i="8"/>
  <c r="F45" i="2" s="1"/>
  <c r="E36" i="8"/>
  <c r="F46" i="2" s="1"/>
  <c r="E37" i="8"/>
  <c r="F47" i="2" s="1"/>
  <c r="E38" i="8"/>
  <c r="F48" i="2" s="1"/>
  <c r="E39" i="8"/>
  <c r="F49" i="2" s="1"/>
  <c r="E40" i="8"/>
  <c r="F50" i="2" s="1"/>
  <c r="E41" i="8"/>
  <c r="F51" i="2" s="1"/>
  <c r="E42" i="8"/>
  <c r="F52" i="2" s="1"/>
  <c r="E43" i="8"/>
  <c r="F53" i="2" s="1"/>
  <c r="E44" i="8"/>
  <c r="F54" i="2" s="1"/>
  <c r="E45" i="8"/>
  <c r="F55" i="2" s="1"/>
  <c r="E46" i="8"/>
  <c r="F56" i="2" s="1"/>
  <c r="E47" i="8"/>
  <c r="F57" i="2" s="1"/>
  <c r="E48" i="8"/>
  <c r="F58" i="2" s="1"/>
  <c r="E49" i="8"/>
  <c r="F59" i="2" s="1"/>
  <c r="E50" i="8"/>
  <c r="F60" i="2" s="1"/>
  <c r="E51" i="8"/>
  <c r="F61" i="2" s="1"/>
  <c r="E52" i="8"/>
  <c r="F62" i="2" s="1"/>
  <c r="E53" i="8"/>
  <c r="F63" i="2" s="1"/>
  <c r="E54" i="8"/>
  <c r="F64" i="2" s="1"/>
  <c r="E55" i="8"/>
  <c r="F65" i="2" s="1"/>
  <c r="E56" i="8"/>
  <c r="F66" i="2" s="1"/>
  <c r="E57" i="8"/>
  <c r="F67" i="2" s="1"/>
  <c r="E58" i="8"/>
  <c r="F68" i="2" s="1"/>
  <c r="E59" i="8"/>
  <c r="F69" i="2" s="1"/>
  <c r="E60" i="8"/>
  <c r="F70" i="2" s="1"/>
  <c r="E61" i="8"/>
  <c r="F71" i="2" s="1"/>
  <c r="E62" i="8"/>
  <c r="F72" i="2" s="1"/>
  <c r="E63" i="8"/>
  <c r="F73" i="2" s="1"/>
  <c r="E64" i="8"/>
  <c r="F74" i="2" s="1"/>
  <c r="E65" i="8"/>
  <c r="F75" i="2" s="1"/>
  <c r="E66" i="8"/>
  <c r="F76" i="2" s="1"/>
  <c r="E67" i="8"/>
  <c r="F77" i="2" s="1"/>
  <c r="E68" i="8"/>
  <c r="F78" i="2" s="1"/>
  <c r="E69" i="8"/>
  <c r="F79" i="2" s="1"/>
  <c r="E70" i="8"/>
  <c r="F80" i="2" s="1"/>
  <c r="E71" i="8"/>
  <c r="F81" i="2" s="1"/>
  <c r="E72" i="8"/>
  <c r="F82" i="2" s="1"/>
  <c r="E73" i="8"/>
  <c r="F83" i="2" s="1"/>
  <c r="E74" i="8"/>
  <c r="F84" i="2" s="1"/>
  <c r="E75" i="8"/>
  <c r="F85" i="2" s="1"/>
  <c r="E76" i="8"/>
  <c r="F86" i="2" s="1"/>
  <c r="E77" i="8"/>
  <c r="F87" i="2" s="1"/>
  <c r="E78" i="8"/>
  <c r="F88" i="2" s="1"/>
  <c r="E79" i="8"/>
  <c r="F89" i="2" s="1"/>
  <c r="E80" i="8"/>
  <c r="F90" i="2" s="1"/>
  <c r="E81" i="8"/>
  <c r="F91" i="2" s="1"/>
  <c r="E82" i="8"/>
  <c r="F92" i="2" s="1"/>
  <c r="E83" i="8"/>
  <c r="F93" i="2" s="1"/>
  <c r="E84" i="8"/>
  <c r="F94" i="2" s="1"/>
  <c r="E85" i="8"/>
  <c r="F95" i="2" s="1"/>
  <c r="E86" i="8"/>
  <c r="F96" i="2" s="1"/>
  <c r="E87" i="8"/>
  <c r="F97" i="2" s="1"/>
  <c r="E88" i="8"/>
  <c r="F98" i="2" s="1"/>
  <c r="E89" i="8"/>
  <c r="F99" i="2" s="1"/>
  <c r="E90" i="8"/>
  <c r="F100" i="2" s="1"/>
  <c r="E91" i="8"/>
  <c r="F101" i="2" s="1"/>
  <c r="E92" i="8"/>
  <c r="F102" i="2" s="1"/>
  <c r="E93" i="8"/>
  <c r="F103" i="2" s="1"/>
  <c r="E94" i="8"/>
  <c r="F104" i="2" s="1"/>
  <c r="E95" i="8"/>
  <c r="F105" i="2" s="1"/>
  <c r="E96" i="8"/>
  <c r="F106" i="2" s="1"/>
  <c r="E97" i="8"/>
  <c r="F107" i="2" s="1"/>
  <c r="E98" i="8"/>
  <c r="F108" i="2" s="1"/>
  <c r="E99" i="8"/>
  <c r="F109" i="2" s="1"/>
  <c r="E100" i="8"/>
  <c r="F110" i="2" s="1"/>
  <c r="E101" i="8"/>
  <c r="F111" i="2" s="1"/>
  <c r="E102" i="8"/>
  <c r="F112" i="2" s="1"/>
  <c r="E103" i="8"/>
  <c r="F113" i="2" s="1"/>
  <c r="E104" i="8"/>
  <c r="F114" i="2" s="1"/>
  <c r="E105" i="8"/>
  <c r="F115" i="2" s="1"/>
  <c r="E106" i="8"/>
  <c r="F116" i="2" s="1"/>
  <c r="E107" i="8"/>
  <c r="F117" i="2" s="1"/>
  <c r="E108" i="8"/>
  <c r="F118" i="2" s="1"/>
  <c r="E109" i="8"/>
  <c r="F119" i="2" s="1"/>
  <c r="E110" i="8"/>
  <c r="F120" i="2" s="1"/>
  <c r="E111" i="8"/>
  <c r="F121" i="2" s="1"/>
  <c r="E112" i="8"/>
  <c r="F122" i="2" s="1"/>
  <c r="E113" i="8"/>
  <c r="F123" i="2" s="1"/>
  <c r="E114" i="8"/>
  <c r="F124" i="2" s="1"/>
  <c r="E115" i="8"/>
  <c r="F125" i="2" s="1"/>
  <c r="E116" i="8"/>
  <c r="F126" i="2" s="1"/>
  <c r="E117" i="8"/>
  <c r="F127" i="2" s="1"/>
  <c r="E118" i="8"/>
  <c r="F128" i="2" s="1"/>
  <c r="E119" i="8"/>
  <c r="F129" i="2" s="1"/>
  <c r="E120" i="8"/>
  <c r="F130" i="2" s="1"/>
  <c r="E121" i="8"/>
  <c r="F131" i="2" s="1"/>
  <c r="E122" i="8"/>
  <c r="F132" i="2" s="1"/>
  <c r="E123" i="8"/>
  <c r="F133" i="2" s="1"/>
  <c r="E124" i="8"/>
  <c r="F134" i="2" s="1"/>
  <c r="E125" i="8"/>
  <c r="F135" i="2" s="1"/>
  <c r="E126" i="8"/>
  <c r="F136" i="2" s="1"/>
  <c r="E127" i="8"/>
  <c r="F137" i="2" s="1"/>
  <c r="E128" i="8"/>
  <c r="F138" i="2" s="1"/>
  <c r="E129" i="8"/>
  <c r="F139" i="2" s="1"/>
  <c r="E130" i="8"/>
  <c r="F140" i="2" s="1"/>
  <c r="E131" i="8"/>
  <c r="F141" i="2" s="1"/>
  <c r="E132" i="8"/>
  <c r="F142" i="2" s="1"/>
  <c r="E133" i="8"/>
  <c r="F143" i="2" s="1"/>
  <c r="E134" i="8"/>
  <c r="F144" i="2" s="1"/>
  <c r="E135" i="8"/>
  <c r="F145" i="2" s="1"/>
  <c r="E136" i="8"/>
  <c r="F146" i="2" s="1"/>
  <c r="E137" i="8"/>
  <c r="F147" i="2" s="1"/>
  <c r="E138" i="8"/>
  <c r="F148" i="2" s="1"/>
  <c r="E139" i="8"/>
  <c r="F149" i="2" s="1"/>
  <c r="E140" i="8"/>
  <c r="F150" i="2" s="1"/>
  <c r="E141" i="8"/>
  <c r="F151" i="2" s="1"/>
  <c r="E142" i="8"/>
  <c r="F152" i="2" s="1"/>
  <c r="E143" i="8"/>
  <c r="F153" i="2" s="1"/>
  <c r="E144" i="8"/>
  <c r="F154" i="2" s="1"/>
  <c r="E145" i="8"/>
  <c r="F155" i="2" s="1"/>
  <c r="E146" i="8"/>
  <c r="F156" i="2" s="1"/>
  <c r="E147" i="8"/>
  <c r="F157" i="2" s="1"/>
  <c r="E148" i="8"/>
  <c r="F158" i="2" s="1"/>
  <c r="E149" i="8"/>
  <c r="F159" i="2" s="1"/>
  <c r="E150" i="8"/>
  <c r="F160" i="2" s="1"/>
  <c r="E151" i="8"/>
  <c r="F161" i="2" s="1"/>
  <c r="E152" i="8"/>
  <c r="F162" i="2" s="1"/>
  <c r="E153" i="8"/>
  <c r="F163" i="2" s="1"/>
  <c r="E154" i="8"/>
  <c r="F164" i="2" s="1"/>
  <c r="E155" i="8"/>
  <c r="F165" i="2" s="1"/>
  <c r="E156" i="8"/>
  <c r="F166" i="2" s="1"/>
  <c r="E157" i="8"/>
  <c r="F167" i="2" s="1"/>
  <c r="E158" i="8"/>
  <c r="F168" i="2" s="1"/>
  <c r="E159" i="8"/>
  <c r="F169" i="2" s="1"/>
  <c r="E160" i="8"/>
  <c r="F170" i="2" s="1"/>
  <c r="E161" i="8"/>
  <c r="F171" i="2" s="1"/>
  <c r="E162" i="8"/>
  <c r="F172" i="2" s="1"/>
  <c r="E163" i="8"/>
  <c r="F173" i="2" s="1"/>
  <c r="E164" i="8"/>
  <c r="F174" i="2" s="1"/>
  <c r="E165" i="8"/>
  <c r="F175" i="2" s="1"/>
  <c r="E166" i="8"/>
  <c r="F176" i="2" s="1"/>
  <c r="E167" i="8"/>
  <c r="F177" i="2" s="1"/>
  <c r="E168" i="8"/>
  <c r="F178" i="2" s="1"/>
  <c r="E169" i="8"/>
  <c r="F179" i="2" s="1"/>
  <c r="E170" i="8"/>
  <c r="F180" i="2" s="1"/>
  <c r="E171" i="8"/>
  <c r="F181" i="2" s="1"/>
  <c r="E172" i="8"/>
  <c r="F182" i="2" s="1"/>
  <c r="E173" i="8"/>
  <c r="F183" i="2" s="1"/>
  <c r="E174" i="8"/>
  <c r="F184" i="2" s="1"/>
  <c r="E175" i="8"/>
  <c r="F185" i="2" s="1"/>
  <c r="E176" i="8"/>
  <c r="F186" i="2" s="1"/>
  <c r="E177" i="8"/>
  <c r="F187" i="2" s="1"/>
  <c r="E178" i="8"/>
  <c r="F188" i="2" s="1"/>
  <c r="E179" i="8"/>
  <c r="F189" i="2" s="1"/>
  <c r="E180" i="8"/>
  <c r="F190" i="2" s="1"/>
  <c r="E181" i="8"/>
  <c r="F191" i="2" s="1"/>
  <c r="E182" i="8"/>
  <c r="F192" i="2" s="1"/>
  <c r="E183" i="8"/>
  <c r="F193" i="2" s="1"/>
  <c r="E184" i="8"/>
  <c r="F194" i="2" s="1"/>
  <c r="E185" i="8"/>
  <c r="F195" i="2" s="1"/>
  <c r="E186" i="8"/>
  <c r="F196" i="2" s="1"/>
  <c r="E187" i="8"/>
  <c r="F197" i="2" s="1"/>
  <c r="E188" i="8"/>
  <c r="F198" i="2" s="1"/>
  <c r="E189" i="8"/>
  <c r="F199" i="2" s="1"/>
  <c r="E190" i="8"/>
  <c r="F200" i="2" s="1"/>
  <c r="E191" i="8"/>
  <c r="F201" i="2" s="1"/>
  <c r="E192" i="8"/>
  <c r="F202" i="2" s="1"/>
  <c r="E193" i="8"/>
  <c r="F203" i="2" s="1"/>
  <c r="E194" i="8"/>
  <c r="F204" i="2" s="1"/>
  <c r="E195" i="8"/>
  <c r="F205" i="2" s="1"/>
  <c r="E196" i="8"/>
  <c r="F206" i="2" s="1"/>
  <c r="E197" i="8"/>
  <c r="F207" i="2" s="1"/>
  <c r="E198" i="8"/>
  <c r="F208" i="2" s="1"/>
  <c r="E199" i="8"/>
  <c r="F209" i="2" s="1"/>
  <c r="E200" i="8"/>
  <c r="F210" i="2" s="1"/>
  <c r="E201" i="8"/>
  <c r="F211" i="2" s="1"/>
  <c r="E202" i="8"/>
  <c r="F212" i="2" s="1"/>
  <c r="E203" i="8"/>
  <c r="F213" i="2" s="1"/>
  <c r="E204" i="8"/>
  <c r="F214" i="2" s="1"/>
  <c r="E205" i="8"/>
  <c r="F215" i="2" s="1"/>
  <c r="E206" i="8"/>
  <c r="F216" i="2" s="1"/>
  <c r="E207" i="8"/>
  <c r="F217" i="2" s="1"/>
  <c r="E208" i="8"/>
  <c r="F218" i="2" s="1"/>
  <c r="E209" i="8"/>
  <c r="F219" i="2" s="1"/>
  <c r="E210" i="8"/>
  <c r="F220" i="2" s="1"/>
  <c r="E211" i="8"/>
  <c r="F221" i="2" s="1"/>
  <c r="E212" i="8"/>
  <c r="F222" i="2" s="1"/>
  <c r="E213" i="8"/>
  <c r="F223" i="2" s="1"/>
  <c r="E214" i="8"/>
  <c r="F224" i="2" s="1"/>
  <c r="E215" i="8"/>
  <c r="F225" i="2" s="1"/>
  <c r="E216" i="8"/>
  <c r="F226" i="2" s="1"/>
  <c r="E217" i="8"/>
  <c r="F227" i="2" s="1"/>
  <c r="E2" i="8"/>
  <c r="F12" i="2" s="1"/>
  <c r="H515" i="2" s="1" a="1"/>
  <c r="H515" i="2" s="1"/>
  <c r="O27" i="3" a="1"/>
  <c r="O27" i="3" s="1"/>
  <c r="O13" i="3" a="1"/>
  <c r="O13" i="3" s="1"/>
  <c r="N13" i="3" a="1"/>
  <c r="N13" i="3" s="1"/>
  <c r="Q37" i="3"/>
  <c r="P28" i="3" a="1"/>
  <c r="P28" i="3" s="1"/>
  <c r="P30" i="3" a="1"/>
  <c r="P30" i="3" s="1"/>
  <c r="P31" i="3" a="1"/>
  <c r="P31" i="3" s="1"/>
  <c r="P32" i="3" a="1"/>
  <c r="P32" i="3" s="1"/>
  <c r="P33" i="3" a="1"/>
  <c r="P33" i="3" s="1"/>
  <c r="P34" i="3" a="1"/>
  <c r="P34" i="3" s="1"/>
  <c r="P35" i="3" a="1"/>
  <c r="P35" i="3" s="1"/>
  <c r="P36" i="3" a="1"/>
  <c r="P36" i="3" s="1"/>
  <c r="P38" i="3" a="1"/>
  <c r="P38" i="3" s="1"/>
  <c r="P40" i="3" a="1"/>
  <c r="P40" i="3" s="1"/>
  <c r="P41" i="3" a="1"/>
  <c r="P41" i="3" s="1"/>
  <c r="P42" i="3" a="1"/>
  <c r="P42" i="3" s="1"/>
  <c r="P43" i="3" a="1"/>
  <c r="P43" i="3" s="1"/>
  <c r="P44" i="3" a="1"/>
  <c r="P44" i="3" s="1"/>
  <c r="P45" i="3" a="1"/>
  <c r="P45" i="3" s="1"/>
  <c r="O28" i="3" a="1"/>
  <c r="O28" i="3" s="1"/>
  <c r="O30" i="3" a="1"/>
  <c r="O30" i="3" s="1"/>
  <c r="O31" i="3" a="1"/>
  <c r="O31" i="3" s="1"/>
  <c r="O32" i="3" a="1"/>
  <c r="O32" i="3" s="1"/>
  <c r="O33" i="3" a="1"/>
  <c r="O33" i="3" s="1"/>
  <c r="O34" i="3" a="1"/>
  <c r="O34" i="3" s="1"/>
  <c r="O35" i="3" a="1"/>
  <c r="O35" i="3" s="1"/>
  <c r="O36" i="3" a="1"/>
  <c r="O36" i="3" s="1"/>
  <c r="O38" i="3" a="1"/>
  <c r="O38" i="3" s="1"/>
  <c r="O40" i="3" a="1"/>
  <c r="O40" i="3" s="1"/>
  <c r="O41" i="3" a="1"/>
  <c r="O41" i="3" s="1"/>
  <c r="O42" i="3" a="1"/>
  <c r="O42" i="3" s="1"/>
  <c r="O43" i="3" a="1"/>
  <c r="O43" i="3" s="1"/>
  <c r="O44" i="3" a="1"/>
  <c r="O44" i="3" s="1"/>
  <c r="O45" i="3" a="1"/>
  <c r="O45" i="3" s="1"/>
  <c r="N28" i="3" a="1"/>
  <c r="N28" i="3" s="1"/>
  <c r="N30" i="3" a="1"/>
  <c r="N30" i="3" s="1"/>
  <c r="N31" i="3" a="1"/>
  <c r="N31" i="3" s="1"/>
  <c r="N32" i="3" a="1"/>
  <c r="N32" i="3" s="1"/>
  <c r="N33" i="3" a="1"/>
  <c r="N33" i="3" s="1"/>
  <c r="N34" i="3" a="1"/>
  <c r="N34" i="3" s="1"/>
  <c r="N35" i="3" a="1"/>
  <c r="N35" i="3" s="1"/>
  <c r="N36" i="3" a="1"/>
  <c r="N36" i="3" s="1"/>
  <c r="N38" i="3" a="1"/>
  <c r="N38" i="3" s="1"/>
  <c r="N40" i="3" a="1"/>
  <c r="N40" i="3" s="1"/>
  <c r="N41" i="3" a="1"/>
  <c r="N41" i="3" s="1"/>
  <c r="N42" i="3" a="1"/>
  <c r="N42" i="3" s="1"/>
  <c r="N43" i="3" a="1"/>
  <c r="N43" i="3" s="1"/>
  <c r="N44" i="3" a="1"/>
  <c r="N44" i="3" s="1"/>
  <c r="N45" i="3" a="1"/>
  <c r="N45" i="3" s="1"/>
  <c r="M28" i="3" a="1"/>
  <c r="M28" i="3" s="1"/>
  <c r="M30" i="3" a="1"/>
  <c r="M30" i="3" s="1"/>
  <c r="M31" i="3" a="1"/>
  <c r="M31" i="3" s="1"/>
  <c r="M32" i="3" a="1"/>
  <c r="M32" i="3" s="1"/>
  <c r="M33" i="3" a="1"/>
  <c r="M33" i="3" s="1"/>
  <c r="M34" i="3" a="1"/>
  <c r="M34" i="3" s="1"/>
  <c r="M35" i="3" a="1"/>
  <c r="M35" i="3" s="1"/>
  <c r="M36" i="3" a="1"/>
  <c r="M36" i="3" s="1"/>
  <c r="M38" i="3" a="1"/>
  <c r="M38" i="3" s="1"/>
  <c r="M40" i="3" a="1"/>
  <c r="M40" i="3" s="1"/>
  <c r="M41" i="3" a="1"/>
  <c r="M41" i="3" s="1"/>
  <c r="M42" i="3" a="1"/>
  <c r="M42" i="3" s="1"/>
  <c r="M43" i="3" a="1"/>
  <c r="M43" i="3" s="1"/>
  <c r="M44" i="3" a="1"/>
  <c r="M44" i="3" s="1"/>
  <c r="M45" i="3" a="1"/>
  <c r="M45" i="3" s="1"/>
  <c r="L28" i="3" a="1"/>
  <c r="L28" i="3" s="1"/>
  <c r="L30" i="3" a="1"/>
  <c r="L30" i="3" s="1"/>
  <c r="L31" i="3" a="1"/>
  <c r="L31" i="3" s="1"/>
  <c r="G62" i="10" s="1" a="1"/>
  <c r="G62" i="10" s="1"/>
  <c r="L32" i="3" a="1"/>
  <c r="L32" i="3" s="1"/>
  <c r="G64" i="10" s="1" a="1"/>
  <c r="G64" i="10" s="1"/>
  <c r="L33" i="3" a="1"/>
  <c r="L33" i="3" s="1"/>
  <c r="G68" i="10" s="1" a="1"/>
  <c r="G68" i="10" s="1"/>
  <c r="L34" i="3" a="1"/>
  <c r="L34" i="3" s="1"/>
  <c r="G71" i="10" s="1" a="1"/>
  <c r="G71" i="10" s="1"/>
  <c r="L35" i="3" a="1"/>
  <c r="L35" i="3" s="1"/>
  <c r="L36" i="3" a="1"/>
  <c r="L36" i="3" s="1"/>
  <c r="L38" i="3" a="1"/>
  <c r="L38" i="3" s="1"/>
  <c r="L40" i="3" a="1"/>
  <c r="L40" i="3" s="1"/>
  <c r="G63" i="10" s="1" a="1"/>
  <c r="G63" i="10" s="1"/>
  <c r="L41" i="3" a="1"/>
  <c r="L41" i="3" s="1"/>
  <c r="L42" i="3" a="1"/>
  <c r="L42" i="3" s="1"/>
  <c r="G66" i="10" s="1" a="1"/>
  <c r="G66" i="10" s="1"/>
  <c r="L44" i="3" a="1"/>
  <c r="L44" i="3" s="1"/>
  <c r="L45" i="3" a="1"/>
  <c r="L45" i="3" s="1"/>
  <c r="G75" i="10" s="1" a="1"/>
  <c r="G75" i="10" s="1"/>
  <c r="L47" i="3" a="1"/>
  <c r="L47" i="3" s="1"/>
  <c r="E222" i="2"/>
  <c r="E223" i="2"/>
  <c r="E224" i="2"/>
  <c r="E225" i="2"/>
  <c r="E226" i="2"/>
  <c r="E227" i="2"/>
  <c r="D222" i="2"/>
  <c r="D223" i="2"/>
  <c r="D224" i="2"/>
  <c r="D225" i="2"/>
  <c r="D226" i="2"/>
  <c r="D227" i="2"/>
  <c r="C222" i="2"/>
  <c r="J222" i="2" s="1"/>
  <c r="C223" i="2"/>
  <c r="J223" i="2" s="1"/>
  <c r="C224" i="2"/>
  <c r="J224" i="2" s="1"/>
  <c r="C225" i="2"/>
  <c r="J225" i="2" s="1"/>
  <c r="C226" i="2"/>
  <c r="J226" i="2" s="1"/>
  <c r="C227" i="2"/>
  <c r="J227" i="2" s="1"/>
  <c r="E208" i="2"/>
  <c r="E209" i="2"/>
  <c r="E210" i="2"/>
  <c r="E211" i="2"/>
  <c r="E212" i="2"/>
  <c r="E213" i="2"/>
  <c r="E214" i="2"/>
  <c r="E215" i="2"/>
  <c r="E216" i="2"/>
  <c r="E217" i="2"/>
  <c r="E218" i="2"/>
  <c r="E219" i="2"/>
  <c r="E220" i="2"/>
  <c r="E221" i="2"/>
  <c r="D208" i="2"/>
  <c r="D209" i="2"/>
  <c r="D210" i="2"/>
  <c r="D211" i="2"/>
  <c r="D212" i="2"/>
  <c r="D213" i="2"/>
  <c r="D214" i="2"/>
  <c r="D215" i="2"/>
  <c r="D216" i="2"/>
  <c r="D217" i="2"/>
  <c r="D218" i="2"/>
  <c r="D219" i="2"/>
  <c r="D220" i="2"/>
  <c r="D221" i="2"/>
  <c r="C208" i="2"/>
  <c r="J208" i="2" s="1"/>
  <c r="C209" i="2"/>
  <c r="J209" i="2" s="1"/>
  <c r="C210" i="2"/>
  <c r="J210" i="2" s="1"/>
  <c r="C211" i="2"/>
  <c r="J211" i="2" s="1"/>
  <c r="C212" i="2"/>
  <c r="J212" i="2" s="1"/>
  <c r="C213" i="2"/>
  <c r="J213" i="2" s="1"/>
  <c r="C214" i="2"/>
  <c r="J214" i="2" s="1"/>
  <c r="C215" i="2"/>
  <c r="J215" i="2" s="1"/>
  <c r="C216" i="2"/>
  <c r="J216" i="2" s="1"/>
  <c r="C217" i="2"/>
  <c r="J217" i="2" s="1"/>
  <c r="C218" i="2"/>
  <c r="J218" i="2" s="1"/>
  <c r="C219" i="2"/>
  <c r="J219" i="2" s="1"/>
  <c r="C220" i="2"/>
  <c r="J220" i="2" s="1"/>
  <c r="C221" i="2"/>
  <c r="J221" i="2" s="1"/>
  <c r="E202" i="2"/>
  <c r="E203" i="2"/>
  <c r="E204" i="2"/>
  <c r="E205" i="2"/>
  <c r="E206" i="2"/>
  <c r="E207" i="2"/>
  <c r="D202" i="2"/>
  <c r="D203" i="2"/>
  <c r="D204" i="2"/>
  <c r="D205" i="2"/>
  <c r="D206" i="2"/>
  <c r="D207" i="2"/>
  <c r="C202" i="2"/>
  <c r="J202" i="2" s="1"/>
  <c r="C203" i="2"/>
  <c r="J203" i="2" s="1"/>
  <c r="C204" i="2"/>
  <c r="K204" i="2" s="1"/>
  <c r="C205" i="2"/>
  <c r="J205" i="2" s="1"/>
  <c r="C206" i="2"/>
  <c r="J206" i="2" s="1"/>
  <c r="C207" i="2"/>
  <c r="K207" i="2" s="1"/>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C137" i="2"/>
  <c r="J137" i="2" s="1"/>
  <c r="C138" i="2"/>
  <c r="J138" i="2" s="1"/>
  <c r="C139" i="2"/>
  <c r="J139" i="2" s="1"/>
  <c r="C140" i="2"/>
  <c r="J140" i="2" s="1"/>
  <c r="C141" i="2"/>
  <c r="J141" i="2" s="1"/>
  <c r="C142" i="2"/>
  <c r="K142" i="2" s="1"/>
  <c r="C143" i="2"/>
  <c r="J143" i="2" s="1"/>
  <c r="C144" i="2"/>
  <c r="J144" i="2" s="1"/>
  <c r="C145" i="2"/>
  <c r="J145" i="2" s="1"/>
  <c r="C146" i="2"/>
  <c r="J146" i="2" s="1"/>
  <c r="C147" i="2"/>
  <c r="J147" i="2" s="1"/>
  <c r="C148" i="2"/>
  <c r="J148" i="2" s="1"/>
  <c r="C149" i="2"/>
  <c r="J149" i="2" s="1"/>
  <c r="C150" i="2"/>
  <c r="J150" i="2" s="1"/>
  <c r="C151" i="2"/>
  <c r="J151" i="2" s="1"/>
  <c r="C152" i="2"/>
  <c r="J152" i="2" s="1"/>
  <c r="C153" i="2"/>
  <c r="J153" i="2" s="1"/>
  <c r="C154" i="2"/>
  <c r="K154" i="2" s="1"/>
  <c r="C155" i="2"/>
  <c r="J155" i="2" s="1"/>
  <c r="C156" i="2"/>
  <c r="J156" i="2" s="1"/>
  <c r="C157" i="2"/>
  <c r="J157" i="2" s="1"/>
  <c r="C158" i="2"/>
  <c r="J158" i="2" s="1"/>
  <c r="C159" i="2"/>
  <c r="J159" i="2" s="1"/>
  <c r="C160" i="2"/>
  <c r="J160" i="2" s="1"/>
  <c r="C161" i="2"/>
  <c r="J161" i="2" s="1"/>
  <c r="C162" i="2"/>
  <c r="J162" i="2" s="1"/>
  <c r="C163" i="2"/>
  <c r="J163" i="2" s="1"/>
  <c r="C164" i="2"/>
  <c r="J164" i="2" s="1"/>
  <c r="C165" i="2"/>
  <c r="J165" i="2" s="1"/>
  <c r="C166" i="2"/>
  <c r="J166" i="2" s="1"/>
  <c r="C167" i="2"/>
  <c r="J167" i="2" s="1"/>
  <c r="C168" i="2"/>
  <c r="J168" i="2" s="1"/>
  <c r="C169" i="2"/>
  <c r="J169" i="2" s="1"/>
  <c r="C170" i="2"/>
  <c r="J170" i="2" s="1"/>
  <c r="C171" i="2"/>
  <c r="J171" i="2" s="1"/>
  <c r="C172" i="2"/>
  <c r="J172" i="2" s="1"/>
  <c r="C173" i="2"/>
  <c r="J173" i="2" s="1"/>
  <c r="C174" i="2"/>
  <c r="K174" i="2" s="1"/>
  <c r="C175" i="2"/>
  <c r="J175" i="2" s="1"/>
  <c r="C176" i="2"/>
  <c r="J176" i="2" s="1"/>
  <c r="C177" i="2"/>
  <c r="J177" i="2" s="1"/>
  <c r="C178" i="2"/>
  <c r="J178" i="2" s="1"/>
  <c r="C179" i="2"/>
  <c r="J179" i="2" s="1"/>
  <c r="C180" i="2"/>
  <c r="J180" i="2" s="1"/>
  <c r="C181" i="2"/>
  <c r="J181" i="2" s="1"/>
  <c r="C182" i="2"/>
  <c r="J182" i="2" s="1"/>
  <c r="C183" i="2"/>
  <c r="J183" i="2" s="1"/>
  <c r="C184" i="2"/>
  <c r="J184" i="2" s="1"/>
  <c r="C185" i="2"/>
  <c r="J185" i="2" s="1"/>
  <c r="C186" i="2"/>
  <c r="J186" i="2" s="1"/>
  <c r="C187" i="2"/>
  <c r="J187" i="2" s="1"/>
  <c r="C188" i="2"/>
  <c r="J188" i="2" s="1"/>
  <c r="C189" i="2"/>
  <c r="J189" i="2" s="1"/>
  <c r="C190" i="2"/>
  <c r="J190" i="2" s="1"/>
  <c r="C191" i="2"/>
  <c r="J191" i="2" s="1"/>
  <c r="C192" i="2"/>
  <c r="J192" i="2" s="1"/>
  <c r="C193" i="2"/>
  <c r="J193" i="2" s="1"/>
  <c r="C194" i="2"/>
  <c r="K194" i="2" s="1"/>
  <c r="C195" i="2"/>
  <c r="J195" i="2" s="1"/>
  <c r="C196" i="2"/>
  <c r="J196" i="2" s="1"/>
  <c r="C197" i="2"/>
  <c r="J197" i="2" s="1"/>
  <c r="C198" i="2"/>
  <c r="J198" i="2" s="1"/>
  <c r="C199" i="2"/>
  <c r="J199" i="2" s="1"/>
  <c r="C200" i="2"/>
  <c r="J200" i="2" s="1"/>
  <c r="C201" i="2"/>
  <c r="J201" i="2" s="1"/>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C109" i="2"/>
  <c r="J109" i="2" s="1"/>
  <c r="C110" i="2"/>
  <c r="J110" i="2" s="1"/>
  <c r="C111" i="2"/>
  <c r="J111" i="2" s="1"/>
  <c r="C112" i="2"/>
  <c r="J112" i="2" s="1"/>
  <c r="C113" i="2"/>
  <c r="J113" i="2" s="1"/>
  <c r="C114" i="2"/>
  <c r="J114" i="2" s="1"/>
  <c r="C115" i="2"/>
  <c r="J115" i="2" s="1"/>
  <c r="C116" i="2"/>
  <c r="J116" i="2" s="1"/>
  <c r="C117" i="2"/>
  <c r="J117" i="2" s="1"/>
  <c r="C118" i="2"/>
  <c r="J118" i="2" s="1"/>
  <c r="C119" i="2"/>
  <c r="J119" i="2" s="1"/>
  <c r="C120" i="2"/>
  <c r="J120" i="2" s="1"/>
  <c r="C121" i="2"/>
  <c r="J121" i="2" s="1"/>
  <c r="C122" i="2"/>
  <c r="J122" i="2" s="1"/>
  <c r="C123" i="2"/>
  <c r="J123" i="2" s="1"/>
  <c r="C124" i="2"/>
  <c r="J124" i="2" s="1"/>
  <c r="C125" i="2"/>
  <c r="K125" i="2" s="1"/>
  <c r="C126" i="2"/>
  <c r="J126" i="2" s="1"/>
  <c r="C127" i="2"/>
  <c r="J127" i="2" s="1"/>
  <c r="C128" i="2"/>
  <c r="J128" i="2" s="1"/>
  <c r="C129" i="2"/>
  <c r="J129" i="2" s="1"/>
  <c r="C130" i="2"/>
  <c r="J130" i="2" s="1"/>
  <c r="C131" i="2"/>
  <c r="J131" i="2" s="1"/>
  <c r="C132" i="2"/>
  <c r="J132" i="2" s="1"/>
  <c r="C133" i="2"/>
  <c r="J133" i="2" s="1"/>
  <c r="C134" i="2"/>
  <c r="J134" i="2" s="1"/>
  <c r="C135" i="2"/>
  <c r="J135" i="2" s="1"/>
  <c r="C136" i="2"/>
  <c r="J136" i="2" s="1"/>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C53" i="2"/>
  <c r="J53" i="2" s="1"/>
  <c r="C54" i="2"/>
  <c r="J54" i="2" s="1"/>
  <c r="C55" i="2"/>
  <c r="J55" i="2" s="1"/>
  <c r="C56" i="2"/>
  <c r="J56" i="2" s="1"/>
  <c r="C57" i="2"/>
  <c r="J57" i="2" s="1"/>
  <c r="C58" i="2"/>
  <c r="J58" i="2" s="1"/>
  <c r="C59" i="2"/>
  <c r="J59" i="2" s="1"/>
  <c r="C60" i="2"/>
  <c r="J60" i="2" s="1"/>
  <c r="C61" i="2"/>
  <c r="J61" i="2" s="1"/>
  <c r="C62" i="2"/>
  <c r="K62" i="2" s="1"/>
  <c r="C63" i="2"/>
  <c r="J63" i="2" s="1"/>
  <c r="C64" i="2"/>
  <c r="J64" i="2" s="1"/>
  <c r="C65" i="2"/>
  <c r="J65" i="2" s="1"/>
  <c r="C66" i="2"/>
  <c r="J66" i="2" s="1"/>
  <c r="C67" i="2"/>
  <c r="J67" i="2" s="1"/>
  <c r="C68" i="2"/>
  <c r="J68" i="2" s="1"/>
  <c r="C69" i="2"/>
  <c r="J69" i="2" s="1"/>
  <c r="C70" i="2"/>
  <c r="J70" i="2" s="1"/>
  <c r="C71" i="2"/>
  <c r="J71" i="2" s="1"/>
  <c r="C72" i="2"/>
  <c r="K72" i="2" s="1"/>
  <c r="C73" i="2"/>
  <c r="J73" i="2" s="1"/>
  <c r="C74" i="2"/>
  <c r="J74" i="2" s="1"/>
  <c r="C75" i="2"/>
  <c r="J75" i="2" s="1"/>
  <c r="C76" i="2"/>
  <c r="J76" i="2" s="1"/>
  <c r="C77" i="2"/>
  <c r="J77" i="2" s="1"/>
  <c r="C78" i="2"/>
  <c r="J78" i="2" s="1"/>
  <c r="C79" i="2"/>
  <c r="J79" i="2" s="1"/>
  <c r="C80" i="2"/>
  <c r="J80" i="2" s="1"/>
  <c r="C81" i="2"/>
  <c r="J81" i="2" s="1"/>
  <c r="C82" i="2"/>
  <c r="K82" i="2" s="1"/>
  <c r="C83" i="2"/>
  <c r="K83" i="2" s="1"/>
  <c r="C84" i="2"/>
  <c r="J84" i="2" s="1"/>
  <c r="C85" i="2"/>
  <c r="K85" i="2" s="1"/>
  <c r="C86" i="2"/>
  <c r="J86" i="2" s="1"/>
  <c r="C87" i="2"/>
  <c r="K87" i="2" s="1"/>
  <c r="C88" i="2"/>
  <c r="K88" i="2" s="1"/>
  <c r="C89" i="2"/>
  <c r="J89" i="2" s="1"/>
  <c r="C90" i="2"/>
  <c r="J90" i="2" s="1"/>
  <c r="C91" i="2"/>
  <c r="J91" i="2" s="1"/>
  <c r="C92" i="2"/>
  <c r="K92" i="2" s="1"/>
  <c r="C93" i="2"/>
  <c r="J93" i="2" s="1"/>
  <c r="C94" i="2"/>
  <c r="J94" i="2" s="1"/>
  <c r="C95" i="2"/>
  <c r="J95" i="2" s="1"/>
  <c r="C96" i="2"/>
  <c r="J96" i="2" s="1"/>
  <c r="C97" i="2"/>
  <c r="J97" i="2" s="1"/>
  <c r="C98" i="2"/>
  <c r="J98" i="2" s="1"/>
  <c r="C99" i="2"/>
  <c r="J99" i="2" s="1"/>
  <c r="C100" i="2"/>
  <c r="J100" i="2" s="1"/>
  <c r="C101" i="2"/>
  <c r="J101" i="2" s="1"/>
  <c r="C102" i="2"/>
  <c r="K102" i="2" s="1"/>
  <c r="C103" i="2"/>
  <c r="J103" i="2" s="1"/>
  <c r="C104" i="2"/>
  <c r="J104" i="2" s="1"/>
  <c r="C105" i="2"/>
  <c r="J105" i="2" s="1"/>
  <c r="C106" i="2"/>
  <c r="J106" i="2" s="1"/>
  <c r="C107" i="2"/>
  <c r="J107" i="2" s="1"/>
  <c r="C108" i="2"/>
  <c r="J108" i="2" s="1"/>
  <c r="E41" i="2"/>
  <c r="E42" i="2"/>
  <c r="E43" i="2"/>
  <c r="E44" i="2"/>
  <c r="E45" i="2"/>
  <c r="E46" i="2"/>
  <c r="E47" i="2"/>
  <c r="E48" i="2"/>
  <c r="E49" i="2"/>
  <c r="E50" i="2"/>
  <c r="E51" i="2"/>
  <c r="D41" i="2"/>
  <c r="D42" i="2"/>
  <c r="D43" i="2"/>
  <c r="D44" i="2"/>
  <c r="D45" i="2"/>
  <c r="D46" i="2"/>
  <c r="D47" i="2"/>
  <c r="D48" i="2"/>
  <c r="D49" i="2"/>
  <c r="D50" i="2"/>
  <c r="D51" i="2"/>
  <c r="D52" i="2"/>
  <c r="C40" i="2"/>
  <c r="J40" i="2" s="1"/>
  <c r="C41" i="2"/>
  <c r="J41" i="2" s="1"/>
  <c r="C42" i="2"/>
  <c r="J42" i="2" s="1"/>
  <c r="C43" i="2"/>
  <c r="J43" i="2" s="1"/>
  <c r="C44" i="2"/>
  <c r="J44" i="2" s="1"/>
  <c r="C45" i="2"/>
  <c r="J45" i="2" s="1"/>
  <c r="C46" i="2"/>
  <c r="K46" i="2" s="1"/>
  <c r="C47" i="2"/>
  <c r="K47" i="2" s="1"/>
  <c r="C48" i="2"/>
  <c r="J48" i="2" s="1"/>
  <c r="C49" i="2"/>
  <c r="J49" i="2" s="1"/>
  <c r="C50" i="2"/>
  <c r="J50" i="2" s="1"/>
  <c r="C51" i="2"/>
  <c r="J51" i="2" s="1"/>
  <c r="C52" i="2"/>
  <c r="J52" i="2" s="1"/>
  <c r="E31" i="2"/>
  <c r="E32" i="2"/>
  <c r="E33" i="2"/>
  <c r="E34" i="2"/>
  <c r="E35" i="2"/>
  <c r="E36" i="2"/>
  <c r="E37" i="2"/>
  <c r="E38" i="2"/>
  <c r="E39" i="2"/>
  <c r="E40" i="2"/>
  <c r="D31" i="2"/>
  <c r="D32" i="2"/>
  <c r="D33" i="2"/>
  <c r="D34" i="2"/>
  <c r="D35" i="2"/>
  <c r="D36" i="2"/>
  <c r="D37" i="2"/>
  <c r="D38" i="2"/>
  <c r="D39" i="2"/>
  <c r="D40" i="2"/>
  <c r="C31" i="2"/>
  <c r="J31" i="2" s="1"/>
  <c r="C32" i="2"/>
  <c r="J32" i="2" s="1"/>
  <c r="C33" i="2"/>
  <c r="J33" i="2" s="1"/>
  <c r="C34" i="2"/>
  <c r="J34" i="2" s="1"/>
  <c r="C35" i="2"/>
  <c r="J35" i="2" s="1"/>
  <c r="C36" i="2"/>
  <c r="J36" i="2" s="1"/>
  <c r="C37" i="2"/>
  <c r="J37" i="2" s="1"/>
  <c r="C38" i="2"/>
  <c r="J38" i="2" s="1"/>
  <c r="C39" i="2"/>
  <c r="J39" i="2" s="1"/>
  <c r="E13" i="2"/>
  <c r="E14" i="2"/>
  <c r="E15" i="2"/>
  <c r="E16" i="2"/>
  <c r="E17" i="2"/>
  <c r="E18" i="2"/>
  <c r="E19" i="2"/>
  <c r="E20" i="2"/>
  <c r="E21" i="2"/>
  <c r="E22" i="2"/>
  <c r="E23" i="2"/>
  <c r="E24" i="2"/>
  <c r="E25" i="2"/>
  <c r="E26" i="2"/>
  <c r="E27" i="2"/>
  <c r="E28" i="2"/>
  <c r="E29" i="2"/>
  <c r="E30" i="2"/>
  <c r="D13" i="2"/>
  <c r="D14" i="2"/>
  <c r="D15" i="2"/>
  <c r="D16" i="2"/>
  <c r="D17" i="2"/>
  <c r="D18" i="2"/>
  <c r="D19" i="2"/>
  <c r="D20" i="2"/>
  <c r="D21" i="2"/>
  <c r="D22" i="2"/>
  <c r="D23" i="2"/>
  <c r="D24" i="2"/>
  <c r="D25" i="2"/>
  <c r="D26" i="2"/>
  <c r="D27" i="2"/>
  <c r="D28" i="2"/>
  <c r="D29" i="2"/>
  <c r="D30" i="2"/>
  <c r="C13" i="2"/>
  <c r="J13" i="2" s="1"/>
  <c r="C14" i="2"/>
  <c r="J14" i="2" s="1"/>
  <c r="C15" i="2"/>
  <c r="J15" i="2" s="1"/>
  <c r="C16" i="2"/>
  <c r="J16" i="2" s="1"/>
  <c r="C17" i="2"/>
  <c r="J17" i="2" s="1"/>
  <c r="C18" i="2"/>
  <c r="J18" i="2" s="1"/>
  <c r="C19" i="2"/>
  <c r="J19" i="2" s="1"/>
  <c r="C20" i="2"/>
  <c r="J20" i="2" s="1"/>
  <c r="C21" i="2"/>
  <c r="J21" i="2" s="1"/>
  <c r="C22" i="2"/>
  <c r="J22" i="2" s="1"/>
  <c r="C23" i="2"/>
  <c r="J23" i="2" s="1"/>
  <c r="C24" i="2"/>
  <c r="J24" i="2" s="1"/>
  <c r="C25" i="2"/>
  <c r="J25" i="2" s="1"/>
  <c r="C26" i="2"/>
  <c r="J26" i="2" s="1"/>
  <c r="C27" i="2"/>
  <c r="J27" i="2" s="1"/>
  <c r="C28" i="2"/>
  <c r="J28" i="2" s="1"/>
  <c r="C29" i="2"/>
  <c r="J29" i="2" s="1"/>
  <c r="C30" i="2"/>
  <c r="J30" i="2" s="1"/>
  <c r="E12" i="2"/>
  <c r="D12" i="2"/>
  <c r="C12" i="2"/>
  <c r="K12" i="2" s="1"/>
  <c r="E8" i="5"/>
  <c r="I59" i="5"/>
  <c r="I60" i="5"/>
  <c r="I61" i="5"/>
  <c r="I63" i="5"/>
  <c r="I64" i="5"/>
  <c r="I65" i="5"/>
  <c r="I67" i="5"/>
  <c r="I68" i="5"/>
  <c r="I69" i="5"/>
  <c r="I71" i="5"/>
  <c r="I72" i="5"/>
  <c r="I73" i="5"/>
  <c r="I75" i="5"/>
  <c r="I76" i="5"/>
  <c r="I77" i="5"/>
  <c r="I79" i="5"/>
  <c r="I80" i="5"/>
  <c r="I81" i="5"/>
  <c r="I83" i="5"/>
  <c r="I84" i="5"/>
  <c r="I85" i="5"/>
  <c r="I87" i="5"/>
  <c r="I88" i="5"/>
  <c r="I89" i="5"/>
  <c r="I91" i="5"/>
  <c r="I92" i="5"/>
  <c r="I93" i="5"/>
  <c r="I95" i="5"/>
  <c r="I96" i="5"/>
  <c r="I97" i="5"/>
  <c r="I99" i="5"/>
  <c r="I100" i="5"/>
  <c r="I101" i="5"/>
  <c r="I56" i="5"/>
  <c r="I57" i="5"/>
  <c r="I55" i="5"/>
  <c r="H59" i="5"/>
  <c r="H60" i="5"/>
  <c r="H61" i="5"/>
  <c r="H63" i="5"/>
  <c r="H64" i="5"/>
  <c r="H65" i="5"/>
  <c r="H67" i="5"/>
  <c r="H68" i="5"/>
  <c r="H69" i="5"/>
  <c r="H71" i="5"/>
  <c r="H72" i="5"/>
  <c r="H73" i="5"/>
  <c r="H75" i="5"/>
  <c r="H76" i="5"/>
  <c r="H77" i="5"/>
  <c r="H79" i="5"/>
  <c r="H80" i="5"/>
  <c r="H81" i="5"/>
  <c r="H83" i="5"/>
  <c r="H84" i="5"/>
  <c r="H85" i="5"/>
  <c r="H87" i="5"/>
  <c r="H88" i="5"/>
  <c r="H89" i="5"/>
  <c r="H91" i="5"/>
  <c r="H92" i="5"/>
  <c r="H93" i="5"/>
  <c r="H95" i="5"/>
  <c r="H96" i="5"/>
  <c r="H97" i="5"/>
  <c r="H99" i="5"/>
  <c r="H100" i="5"/>
  <c r="H101" i="5"/>
  <c r="H57" i="5"/>
  <c r="H56" i="5"/>
  <c r="H55" i="5"/>
  <c r="F39" i="5" a="1"/>
  <c r="F39" i="5" s="1"/>
  <c r="E39" i="5" s="1" a="1"/>
  <c r="E39" i="5" s="1"/>
  <c r="AI20" i="7" s="1"/>
  <c r="AP35" i="7"/>
  <c r="AI35" i="7"/>
  <c r="AI22" i="7"/>
  <c r="BG13" i="3"/>
  <c r="BG15" i="3"/>
  <c r="AS13" i="3"/>
  <c r="AS15" i="3"/>
  <c r="AE13" i="3"/>
  <c r="AE15" i="3"/>
  <c r="BU37" i="3"/>
  <c r="BU38" i="3"/>
  <c r="BG37" i="3"/>
  <c r="BG38" i="3"/>
  <c r="AS37" i="3"/>
  <c r="AS38" i="3"/>
  <c r="C13" i="7" a="1"/>
  <c r="C13" i="7" s="1"/>
  <c r="G13" i="7" s="1" a="1"/>
  <c r="G13" i="7" s="1"/>
  <c r="E20" i="5" a="1"/>
  <c r="E20" i="5" s="1"/>
  <c r="G59" i="5" s="1"/>
  <c r="E19" i="5" a="1"/>
  <c r="E19" i="5" s="1"/>
  <c r="D75" i="5" s="1"/>
  <c r="C11" i="6"/>
  <c r="C12" i="6"/>
  <c r="C13" i="6"/>
  <c r="C14" i="6"/>
  <c r="C15" i="6" s="1"/>
  <c r="C16" i="6" s="1"/>
  <c r="C17" i="6" s="1"/>
  <c r="C18" i="6" s="1"/>
  <c r="C10" i="6"/>
  <c r="C9" i="6"/>
  <c r="EM16" i="3"/>
  <c r="FA16" i="3"/>
  <c r="FO16" i="3"/>
  <c r="GC16" i="3"/>
  <c r="GQ16" i="3"/>
  <c r="HE16" i="3"/>
  <c r="HS16" i="3"/>
  <c r="IG16" i="3"/>
  <c r="EM19" i="3"/>
  <c r="FA19" i="3"/>
  <c r="FO19" i="3"/>
  <c r="GC19" i="3"/>
  <c r="GQ19" i="3"/>
  <c r="HE19" i="3"/>
  <c r="HS19" i="3"/>
  <c r="IG19" i="3"/>
  <c r="EM20" i="3"/>
  <c r="FA20" i="3"/>
  <c r="FO20" i="3"/>
  <c r="GC20" i="3"/>
  <c r="GQ20" i="3"/>
  <c r="HE20" i="3"/>
  <c r="HS20" i="3"/>
  <c r="IG20" i="3"/>
  <c r="EM21" i="3"/>
  <c r="FA21" i="3"/>
  <c r="FO21" i="3"/>
  <c r="GC21" i="3"/>
  <c r="GQ21" i="3"/>
  <c r="HE21" i="3"/>
  <c r="HS21" i="3"/>
  <c r="IG21" i="3"/>
  <c r="EM22" i="3"/>
  <c r="FA22" i="3"/>
  <c r="FO22" i="3"/>
  <c r="GC22" i="3"/>
  <c r="GQ22" i="3"/>
  <c r="HE22" i="3"/>
  <c r="HS22" i="3"/>
  <c r="IG22" i="3"/>
  <c r="EM23" i="3"/>
  <c r="FA23" i="3"/>
  <c r="FO23" i="3"/>
  <c r="GC23" i="3"/>
  <c r="GQ23" i="3"/>
  <c r="HE23" i="3"/>
  <c r="HS23" i="3"/>
  <c r="IG23" i="3"/>
  <c r="EM27" i="3"/>
  <c r="FA27" i="3"/>
  <c r="FO27" i="3"/>
  <c r="GC27" i="3"/>
  <c r="GQ27" i="3"/>
  <c r="HE27" i="3"/>
  <c r="HS27" i="3"/>
  <c r="IG27" i="3"/>
  <c r="EM28" i="3"/>
  <c r="FA28" i="3"/>
  <c r="FO28" i="3"/>
  <c r="GC28" i="3"/>
  <c r="GQ28" i="3"/>
  <c r="HE28" i="3"/>
  <c r="HS28" i="3"/>
  <c r="IG28" i="3"/>
  <c r="EM30" i="3"/>
  <c r="FA30" i="3"/>
  <c r="FO30" i="3"/>
  <c r="GC30" i="3"/>
  <c r="GQ30" i="3"/>
  <c r="HE30" i="3"/>
  <c r="HS30" i="3"/>
  <c r="IG30" i="3"/>
  <c r="EM32" i="3"/>
  <c r="FA32" i="3"/>
  <c r="FO32" i="3"/>
  <c r="GC32" i="3"/>
  <c r="GQ32" i="3"/>
  <c r="HE32" i="3"/>
  <c r="HS32" i="3"/>
  <c r="IG32" i="3"/>
  <c r="EM35" i="3"/>
  <c r="FA35" i="3"/>
  <c r="FO35" i="3"/>
  <c r="GC35" i="3"/>
  <c r="GQ35" i="3"/>
  <c r="HE35" i="3"/>
  <c r="HS35" i="3"/>
  <c r="IG35" i="3"/>
  <c r="EM47" i="3"/>
  <c r="FA47" i="3"/>
  <c r="FO47" i="3"/>
  <c r="GC47" i="3"/>
  <c r="GQ47" i="3"/>
  <c r="HE47" i="3"/>
  <c r="HS47" i="3"/>
  <c r="IG47" i="3"/>
  <c r="EM48" i="3"/>
  <c r="FA48" i="3"/>
  <c r="FO48" i="3"/>
  <c r="GC48" i="3"/>
  <c r="GQ48" i="3"/>
  <c r="HE48" i="3"/>
  <c r="HS48" i="3"/>
  <c r="IG48" i="3"/>
  <c r="EM49" i="3"/>
  <c r="FA49" i="3"/>
  <c r="FO49" i="3"/>
  <c r="GC49" i="3"/>
  <c r="GQ49" i="3"/>
  <c r="HE49" i="3"/>
  <c r="HS49" i="3"/>
  <c r="IG49" i="3"/>
  <c r="EM50" i="3"/>
  <c r="FA50" i="3"/>
  <c r="FO50" i="3"/>
  <c r="GC50" i="3"/>
  <c r="GQ50" i="3"/>
  <c r="HE50" i="3"/>
  <c r="HS50" i="3"/>
  <c r="IG50" i="3"/>
  <c r="EM51" i="3"/>
  <c r="FA51" i="3"/>
  <c r="FO51" i="3"/>
  <c r="GC51" i="3"/>
  <c r="GQ51" i="3"/>
  <c r="HE51" i="3"/>
  <c r="HS51" i="3"/>
  <c r="IG51" i="3"/>
  <c r="EM55" i="3"/>
  <c r="FA55" i="3"/>
  <c r="FO55" i="3"/>
  <c r="GC55" i="3"/>
  <c r="GQ55" i="3"/>
  <c r="HE55" i="3"/>
  <c r="HS55" i="3"/>
  <c r="IG55" i="3"/>
  <c r="EM57" i="3"/>
  <c r="FA57" i="3"/>
  <c r="FO57" i="3"/>
  <c r="GC57" i="3"/>
  <c r="GQ57" i="3"/>
  <c r="HE57" i="3"/>
  <c r="HS57" i="3"/>
  <c r="IG57" i="3"/>
  <c r="EM58" i="3"/>
  <c r="FA58" i="3"/>
  <c r="FO58" i="3"/>
  <c r="GC58" i="3"/>
  <c r="GQ58" i="3"/>
  <c r="HE58" i="3"/>
  <c r="HS58" i="3"/>
  <c r="IG58" i="3"/>
  <c r="EM59" i="3"/>
  <c r="FA59" i="3"/>
  <c r="FO59" i="3"/>
  <c r="GC59" i="3"/>
  <c r="GQ59" i="3"/>
  <c r="HE59" i="3"/>
  <c r="HS59" i="3"/>
  <c r="IG59" i="3"/>
  <c r="EM60" i="3"/>
  <c r="FA60" i="3"/>
  <c r="FO60" i="3"/>
  <c r="GC60" i="3"/>
  <c r="GQ60" i="3"/>
  <c r="HE60" i="3"/>
  <c r="HS60" i="3"/>
  <c r="IG60" i="3"/>
  <c r="EM61" i="3"/>
  <c r="FA61" i="3"/>
  <c r="FO61" i="3"/>
  <c r="GC61" i="3"/>
  <c r="GQ61" i="3"/>
  <c r="HE61" i="3"/>
  <c r="HS61" i="3"/>
  <c r="IG61" i="3"/>
  <c r="EM62" i="3"/>
  <c r="FA62" i="3"/>
  <c r="FO62" i="3"/>
  <c r="GC62" i="3"/>
  <c r="GQ62" i="3"/>
  <c r="HE62" i="3"/>
  <c r="HS62" i="3"/>
  <c r="IG62" i="3"/>
  <c r="EM63" i="3"/>
  <c r="FA63" i="3"/>
  <c r="FO63" i="3"/>
  <c r="GC63" i="3"/>
  <c r="GQ63" i="3"/>
  <c r="HE63" i="3"/>
  <c r="HS63" i="3"/>
  <c r="IG63" i="3"/>
  <c r="EM64" i="3"/>
  <c r="FA64" i="3"/>
  <c r="FO64" i="3"/>
  <c r="GC64" i="3"/>
  <c r="GQ64" i="3"/>
  <c r="HE64" i="3"/>
  <c r="HS64" i="3"/>
  <c r="IG64" i="3"/>
  <c r="EM65" i="3"/>
  <c r="FA65" i="3"/>
  <c r="FO65" i="3"/>
  <c r="GC65" i="3"/>
  <c r="GQ65" i="3"/>
  <c r="HE65" i="3"/>
  <c r="HS65" i="3"/>
  <c r="IG65" i="3"/>
  <c r="CI16" i="3"/>
  <c r="CW16" i="3"/>
  <c r="DK16" i="3"/>
  <c r="DY16" i="3"/>
  <c r="CI19" i="3"/>
  <c r="CW19" i="3"/>
  <c r="DK19" i="3"/>
  <c r="DY19" i="3"/>
  <c r="CI20" i="3"/>
  <c r="CW20" i="3"/>
  <c r="DK20" i="3"/>
  <c r="DY20" i="3"/>
  <c r="CI21" i="3"/>
  <c r="CW21" i="3"/>
  <c r="DK21" i="3"/>
  <c r="DY21" i="3"/>
  <c r="CI22" i="3"/>
  <c r="CW22" i="3"/>
  <c r="DK22" i="3"/>
  <c r="DY22" i="3"/>
  <c r="CI23" i="3"/>
  <c r="CW23" i="3"/>
  <c r="DK23" i="3"/>
  <c r="DY23" i="3"/>
  <c r="CI27" i="3"/>
  <c r="CW27" i="3"/>
  <c r="DK27" i="3"/>
  <c r="DY27" i="3"/>
  <c r="CI28" i="3"/>
  <c r="CW28" i="3"/>
  <c r="DK28" i="3"/>
  <c r="DY28" i="3"/>
  <c r="CI30" i="3"/>
  <c r="CW30" i="3"/>
  <c r="DK30" i="3"/>
  <c r="DY30" i="3"/>
  <c r="CI32" i="3"/>
  <c r="CW32" i="3"/>
  <c r="DK32" i="3"/>
  <c r="DY32" i="3"/>
  <c r="CI35" i="3"/>
  <c r="CW35" i="3"/>
  <c r="DK35" i="3"/>
  <c r="DY35" i="3"/>
  <c r="CI47" i="3"/>
  <c r="CW47" i="3"/>
  <c r="DK47" i="3"/>
  <c r="DY47" i="3"/>
  <c r="CI48" i="3"/>
  <c r="CW48" i="3"/>
  <c r="DK48" i="3"/>
  <c r="DY48" i="3"/>
  <c r="CI49" i="3"/>
  <c r="CW49" i="3"/>
  <c r="DK49" i="3"/>
  <c r="DY49" i="3"/>
  <c r="CI50" i="3"/>
  <c r="CW50" i="3"/>
  <c r="DK50" i="3"/>
  <c r="DY50" i="3"/>
  <c r="CI51" i="3"/>
  <c r="CW51" i="3"/>
  <c r="DK51" i="3"/>
  <c r="DY51" i="3"/>
  <c r="CI55" i="3"/>
  <c r="CW55" i="3"/>
  <c r="DK55" i="3"/>
  <c r="DY55" i="3"/>
  <c r="CI57" i="3"/>
  <c r="CW57" i="3"/>
  <c r="DK57" i="3"/>
  <c r="DY57" i="3"/>
  <c r="CI58" i="3"/>
  <c r="CW58" i="3"/>
  <c r="DK58" i="3"/>
  <c r="DY58" i="3"/>
  <c r="CI59" i="3"/>
  <c r="CW59" i="3"/>
  <c r="DK59" i="3"/>
  <c r="DY59" i="3"/>
  <c r="CI60" i="3"/>
  <c r="CW60" i="3"/>
  <c r="DK60" i="3"/>
  <c r="DY60" i="3"/>
  <c r="CI61" i="3"/>
  <c r="CW61" i="3"/>
  <c r="DK61" i="3"/>
  <c r="DY61" i="3"/>
  <c r="CI62" i="3"/>
  <c r="CW62" i="3"/>
  <c r="DK62" i="3"/>
  <c r="DY62" i="3"/>
  <c r="CI63" i="3"/>
  <c r="CW63" i="3"/>
  <c r="DK63" i="3"/>
  <c r="DY63" i="3"/>
  <c r="CI64" i="3"/>
  <c r="CW64" i="3"/>
  <c r="DK64" i="3"/>
  <c r="DY64" i="3"/>
  <c r="CI65" i="3"/>
  <c r="CW65" i="3"/>
  <c r="DK65" i="3"/>
  <c r="DY65" i="3"/>
  <c r="BG16" i="3"/>
  <c r="BU16" i="3"/>
  <c r="BG19" i="3"/>
  <c r="BU19" i="3"/>
  <c r="BG20" i="3"/>
  <c r="BU20" i="3"/>
  <c r="BG21" i="3"/>
  <c r="BU21" i="3"/>
  <c r="BG22" i="3"/>
  <c r="BU22" i="3"/>
  <c r="BG23" i="3"/>
  <c r="BU23" i="3"/>
  <c r="BG27" i="3"/>
  <c r="BU27" i="3"/>
  <c r="BG28" i="3"/>
  <c r="BU28" i="3"/>
  <c r="BG30" i="3"/>
  <c r="BU30" i="3"/>
  <c r="BG32" i="3"/>
  <c r="BU32" i="3"/>
  <c r="BG35" i="3"/>
  <c r="BU35" i="3"/>
  <c r="BG47" i="3"/>
  <c r="BU47" i="3"/>
  <c r="BG48" i="3"/>
  <c r="BU48" i="3"/>
  <c r="BG49" i="3"/>
  <c r="BU49" i="3"/>
  <c r="BG50" i="3"/>
  <c r="BU50" i="3"/>
  <c r="BG51" i="3"/>
  <c r="BU51" i="3"/>
  <c r="BG55" i="3"/>
  <c r="BU55" i="3"/>
  <c r="BG57" i="3"/>
  <c r="BU57" i="3"/>
  <c r="BG58" i="3"/>
  <c r="BU58" i="3"/>
  <c r="BG59" i="3"/>
  <c r="BU59" i="3"/>
  <c r="BG60" i="3"/>
  <c r="BU60" i="3"/>
  <c r="BG61" i="3"/>
  <c r="BU61" i="3"/>
  <c r="BG62" i="3"/>
  <c r="BU62" i="3"/>
  <c r="BG63" i="3"/>
  <c r="BU63" i="3"/>
  <c r="BG64" i="3"/>
  <c r="BU64" i="3"/>
  <c r="BG65" i="3"/>
  <c r="BU65" i="3"/>
  <c r="AS16" i="3"/>
  <c r="AS19" i="3"/>
  <c r="AS20" i="3"/>
  <c r="AS21" i="3"/>
  <c r="AS22" i="3"/>
  <c r="AS23" i="3"/>
  <c r="AS27" i="3"/>
  <c r="AS28" i="3"/>
  <c r="AS30" i="3"/>
  <c r="AS32" i="3"/>
  <c r="AS35" i="3"/>
  <c r="AS47" i="3"/>
  <c r="AS48" i="3"/>
  <c r="AS49" i="3"/>
  <c r="AS50" i="3"/>
  <c r="AS51" i="3"/>
  <c r="AS55" i="3"/>
  <c r="AS57" i="3"/>
  <c r="AS58" i="3"/>
  <c r="AS59" i="3"/>
  <c r="AS60" i="3"/>
  <c r="AS61" i="3"/>
  <c r="AS62" i="3"/>
  <c r="AS63" i="3"/>
  <c r="AS64" i="3"/>
  <c r="AS65" i="3"/>
  <c r="AE16" i="3"/>
  <c r="AE19" i="3"/>
  <c r="AE20" i="3"/>
  <c r="AE21" i="3"/>
  <c r="AE22" i="3"/>
  <c r="AE23" i="3"/>
  <c r="AE27" i="3"/>
  <c r="AE28" i="3"/>
  <c r="AE48" i="3"/>
  <c r="AE49" i="3"/>
  <c r="AE50" i="3"/>
  <c r="AE51" i="3"/>
  <c r="AE55" i="3"/>
  <c r="AE57" i="3"/>
  <c r="AE58" i="3"/>
  <c r="AE59" i="3"/>
  <c r="AE60" i="3"/>
  <c r="AE61" i="3"/>
  <c r="AE62" i="3"/>
  <c r="AE63" i="3"/>
  <c r="AE64" i="3"/>
  <c r="AE65" i="3"/>
  <c r="Q65" i="3"/>
  <c r="Q64" i="3"/>
  <c r="Q63" i="3"/>
  <c r="Q62" i="3"/>
  <c r="Q61" i="3"/>
  <c r="Q60" i="3"/>
  <c r="Q59" i="3"/>
  <c r="Q58" i="3"/>
  <c r="Q55" i="3"/>
  <c r="Q51" i="3"/>
  <c r="Q50" i="3"/>
  <c r="Q49" i="3"/>
  <c r="Q48" i="3"/>
  <c r="Q19" i="3"/>
  <c r="Q20" i="3"/>
  <c r="Q21" i="3"/>
  <c r="Q22" i="3"/>
  <c r="Q23" i="3"/>
  <c r="E6" i="3"/>
  <c r="O54" i="3" s="1"/>
  <c r="D79" i="5" l="1"/>
  <c r="F80" i="5" s="1"/>
  <c r="F75" i="5"/>
  <c r="F76" i="5"/>
  <c r="F77" i="5"/>
  <c r="D83" i="5"/>
  <c r="D87" i="5"/>
  <c r="D63" i="5"/>
  <c r="F79" i="5"/>
  <c r="D91" i="5"/>
  <c r="D55" i="5"/>
  <c r="D95" i="5"/>
  <c r="F81" i="5"/>
  <c r="D59" i="5"/>
  <c r="D99" i="5"/>
  <c r="D67" i="5"/>
  <c r="D71" i="5"/>
  <c r="H493" i="2" a="1"/>
  <c r="H493" i="2" s="1"/>
  <c r="J393" i="2"/>
  <c r="K443" i="2"/>
  <c r="I456" i="2"/>
  <c r="K469" i="2"/>
  <c r="H512" i="2" a="1"/>
  <c r="H512" i="2" s="1"/>
  <c r="J526" i="2"/>
  <c r="I531" i="2"/>
  <c r="K456" i="2"/>
  <c r="J484" i="2"/>
  <c r="H532" i="2" a="1"/>
  <c r="H532" i="2" s="1"/>
  <c r="H540" i="2" a="1"/>
  <c r="H540" i="2" s="1"/>
  <c r="H488" i="2" a="1"/>
  <c r="H488" i="2" s="1"/>
  <c r="I371" i="2"/>
  <c r="I351" i="2"/>
  <c r="I341" i="2"/>
  <c r="K455" i="2"/>
  <c r="K495" i="2"/>
  <c r="J483" i="2"/>
  <c r="I480" i="2"/>
  <c r="H508" i="2" a="1"/>
  <c r="H508" i="2" s="1"/>
  <c r="J524" i="2"/>
  <c r="I527" i="2"/>
  <c r="H510" i="2" a="1"/>
  <c r="H510" i="2" s="1"/>
  <c r="I536" i="2"/>
  <c r="H522" i="2" a="1"/>
  <c r="H522" i="2" s="1"/>
  <c r="I349" i="2"/>
  <c r="J449" i="2"/>
  <c r="I449" i="2"/>
  <c r="I462" i="2"/>
  <c r="H473" i="2" a="1"/>
  <c r="H473" i="2" s="1"/>
  <c r="I530" i="2"/>
  <c r="H474" i="2" a="1"/>
  <c r="H474" i="2" s="1"/>
  <c r="H495" i="2" a="1"/>
  <c r="H495" i="2" s="1"/>
  <c r="I510" i="2"/>
  <c r="I500" i="2"/>
  <c r="K518" i="2"/>
  <c r="H521" i="2" a="1"/>
  <c r="H521" i="2" s="1"/>
  <c r="I475" i="2"/>
  <c r="H483" i="2" a="1"/>
  <c r="H483" i="2" s="1"/>
  <c r="H514" i="2" a="1"/>
  <c r="H514" i="2" s="1"/>
  <c r="K527" i="2"/>
  <c r="K333" i="2"/>
  <c r="J400" i="2"/>
  <c r="J425" i="2"/>
  <c r="I327" i="2"/>
  <c r="J445" i="2"/>
  <c r="J460" i="2"/>
  <c r="K473" i="2"/>
  <c r="J472" i="2"/>
  <c r="H476" i="2" a="1"/>
  <c r="H476" i="2" s="1"/>
  <c r="K490" i="2"/>
  <c r="K480" i="2"/>
  <c r="J488" i="2"/>
  <c r="I489" i="2"/>
  <c r="I479" i="2"/>
  <c r="J510" i="2"/>
  <c r="J500" i="2"/>
  <c r="K530" i="2"/>
  <c r="K536" i="2"/>
  <c r="H471" i="2" a="1"/>
  <c r="H471" i="2" s="1"/>
  <c r="J361" i="2"/>
  <c r="K421" i="2"/>
  <c r="K325" i="2"/>
  <c r="J398" i="2"/>
  <c r="J415" i="2"/>
  <c r="K445" i="2"/>
  <c r="J459" i="2"/>
  <c r="K471" i="2"/>
  <c r="J499" i="2"/>
  <c r="J518" i="2"/>
  <c r="K535" i="2"/>
  <c r="K475" i="2"/>
  <c r="J401" i="2"/>
  <c r="H507" i="2" a="1"/>
  <c r="H507" i="2" s="1"/>
  <c r="J370" i="2"/>
  <c r="I434" i="2"/>
  <c r="I404" i="2"/>
  <c r="K488" i="2"/>
  <c r="H480" i="2" a="1"/>
  <c r="H480" i="2" s="1"/>
  <c r="H505" i="2" a="1"/>
  <c r="H505" i="2" s="1"/>
  <c r="H506" i="2" a="1"/>
  <c r="H506" i="2" s="1"/>
  <c r="H538" i="2" a="1"/>
  <c r="H538" i="2" s="1"/>
  <c r="H531" i="2" a="1"/>
  <c r="H531" i="2" s="1"/>
  <c r="H529" i="2" a="1"/>
  <c r="H529" i="2" s="1"/>
  <c r="H524" i="2" a="1"/>
  <c r="H524" i="2" s="1"/>
  <c r="H541" i="2" a="1"/>
  <c r="H541" i="2" s="1"/>
  <c r="H530" i="2" a="1"/>
  <c r="H530" i="2" s="1"/>
  <c r="H511" i="2" a="1"/>
  <c r="H511" i="2" s="1"/>
  <c r="H536" i="2" a="1"/>
  <c r="H536" i="2" s="1"/>
  <c r="H504" i="2" a="1"/>
  <c r="H504" i="2" s="1"/>
  <c r="H535" i="2" a="1"/>
  <c r="H535" i="2" s="1"/>
  <c r="H533" i="2" a="1"/>
  <c r="H533" i="2" s="1"/>
  <c r="H539" i="2" a="1"/>
  <c r="H539" i="2" s="1"/>
  <c r="H520" i="2" a="1"/>
  <c r="H520" i="2" s="1"/>
  <c r="H537" i="2" a="1"/>
  <c r="H537" i="2" s="1"/>
  <c r="H534" i="2" a="1"/>
  <c r="H534" i="2" s="1"/>
  <c r="H528" i="2" a="1"/>
  <c r="H528" i="2" s="1"/>
  <c r="H525" i="2" a="1"/>
  <c r="H525" i="2" s="1"/>
  <c r="H517" i="2" a="1"/>
  <c r="H517" i="2" s="1"/>
  <c r="H516" i="2" a="1"/>
  <c r="H516" i="2" s="1"/>
  <c r="H491" i="2" a="1"/>
  <c r="H491" i="2" s="1"/>
  <c r="H527" i="2" a="1"/>
  <c r="H527" i="2" s="1"/>
  <c r="H526" i="2" a="1"/>
  <c r="H526" i="2" s="1"/>
  <c r="H523" i="2" a="1"/>
  <c r="H523" i="2" s="1"/>
  <c r="H518" i="2" a="1"/>
  <c r="H518" i="2" s="1"/>
  <c r="H519" i="2" a="1"/>
  <c r="H519" i="2" s="1"/>
  <c r="H503" i="2" a="1"/>
  <c r="H503" i="2" s="1"/>
  <c r="H502" i="2" a="1"/>
  <c r="H502" i="2" s="1"/>
  <c r="H497" i="2" a="1"/>
  <c r="H497" i="2" s="1"/>
  <c r="H500" i="2" a="1"/>
  <c r="H500" i="2" s="1"/>
  <c r="H509" i="2" a="1"/>
  <c r="H509" i="2" s="1"/>
  <c r="H498" i="2" a="1"/>
  <c r="H498" i="2" s="1"/>
  <c r="H494" i="2" a="1"/>
  <c r="H494" i="2" s="1"/>
  <c r="H501" i="2" a="1"/>
  <c r="H501" i="2" s="1"/>
  <c r="H486" i="2" a="1"/>
  <c r="H486" i="2" s="1"/>
  <c r="H489" i="2" a="1"/>
  <c r="H489" i="2" s="1"/>
  <c r="H499" i="2" a="1"/>
  <c r="H499" i="2" s="1"/>
  <c r="H487" i="2" a="1"/>
  <c r="H487" i="2" s="1"/>
  <c r="H485" i="2" a="1"/>
  <c r="H485" i="2" s="1"/>
  <c r="H478" i="2" a="1"/>
  <c r="H478" i="2" s="1"/>
  <c r="H490" i="2" a="1"/>
  <c r="H490" i="2" s="1"/>
  <c r="H472" i="2" a="1"/>
  <c r="H472" i="2" s="1"/>
  <c r="H482" i="2" a="1"/>
  <c r="H482" i="2" s="1"/>
  <c r="H481" i="2" a="1"/>
  <c r="H481" i="2" s="1"/>
  <c r="H479" i="2" a="1"/>
  <c r="H479" i="2" s="1"/>
  <c r="J471" i="2"/>
  <c r="H475" i="2" a="1"/>
  <c r="H475" i="2" s="1"/>
  <c r="H470" i="2" a="1"/>
  <c r="H470" i="2" s="1"/>
  <c r="H477" i="2" a="1"/>
  <c r="H477" i="2" s="1"/>
  <c r="H469" i="2" a="1"/>
  <c r="H469" i="2" s="1"/>
  <c r="H468" i="2" a="1"/>
  <c r="H468" i="2" s="1"/>
  <c r="H467" i="2" a="1"/>
  <c r="H467" i="2" s="1"/>
  <c r="H466" i="2" a="1"/>
  <c r="H466" i="2" s="1"/>
  <c r="I459" i="2"/>
  <c r="H463" i="2" a="1"/>
  <c r="H463" i="2" s="1"/>
  <c r="H454" i="2" a="1"/>
  <c r="H454" i="2" s="1"/>
  <c r="K462" i="2"/>
  <c r="K461" i="2"/>
  <c r="H457" i="2" a="1"/>
  <c r="H457" i="2" s="1"/>
  <c r="H458" i="2" a="1"/>
  <c r="H458" i="2" s="1"/>
  <c r="H451" i="2" a="1"/>
  <c r="H451" i="2" s="1"/>
  <c r="H462" i="2" a="1"/>
  <c r="H462" i="2" s="1"/>
  <c r="H450" i="2" a="1"/>
  <c r="H450" i="2" s="1"/>
  <c r="H452" i="2" a="1"/>
  <c r="H452" i="2" s="1"/>
  <c r="H465" i="2" a="1"/>
  <c r="H465" i="2" s="1"/>
  <c r="H455" i="2" a="1"/>
  <c r="H455" i="2" s="1"/>
  <c r="H460" i="2" a="1"/>
  <c r="H460" i="2" s="1"/>
  <c r="H456" i="2" a="1"/>
  <c r="H456" i="2" s="1"/>
  <c r="H459" i="2" a="1"/>
  <c r="H459" i="2" s="1"/>
  <c r="H443" i="2" a="1"/>
  <c r="H443" i="2" s="1"/>
  <c r="H461" i="2" a="1"/>
  <c r="H461" i="2" s="1"/>
  <c r="H464" i="2" a="1"/>
  <c r="H464" i="2" s="1"/>
  <c r="H447" i="2" a="1"/>
  <c r="H447" i="2" s="1"/>
  <c r="H442" i="2" a="1"/>
  <c r="H442" i="2" s="1"/>
  <c r="H446" i="2" a="1"/>
  <c r="H446" i="2" s="1"/>
  <c r="H444" i="2" a="1"/>
  <c r="H444" i="2" s="1"/>
  <c r="H449" i="2" a="1"/>
  <c r="H449" i="2" s="1"/>
  <c r="H448" i="2" a="1"/>
  <c r="H448" i="2" s="1"/>
  <c r="K448" i="2"/>
  <c r="H453" i="2" a="1"/>
  <c r="H453" i="2" s="1"/>
  <c r="H445" i="2" a="1"/>
  <c r="H445" i="2" s="1"/>
  <c r="J327" i="2"/>
  <c r="K348" i="2"/>
  <c r="J371" i="2"/>
  <c r="K391" i="2"/>
  <c r="J380" i="2"/>
  <c r="K347" i="2"/>
  <c r="I332" i="2"/>
  <c r="K360" i="2"/>
  <c r="J367" i="2"/>
  <c r="I377" i="2"/>
  <c r="I411" i="2"/>
  <c r="I370" i="2"/>
  <c r="J417" i="2"/>
  <c r="I439" i="2"/>
  <c r="I429" i="2"/>
  <c r="I419" i="2"/>
  <c r="I399" i="2"/>
  <c r="I389" i="2"/>
  <c r="I379" i="2"/>
  <c r="I339" i="2"/>
  <c r="I329" i="2"/>
  <c r="I438" i="2"/>
  <c r="I368" i="2"/>
  <c r="I358" i="2"/>
  <c r="J357" i="2"/>
  <c r="J397" i="2"/>
  <c r="I427" i="2"/>
  <c r="I387" i="2"/>
  <c r="I357" i="2"/>
  <c r="I337" i="2"/>
  <c r="K327" i="2"/>
  <c r="K351" i="2"/>
  <c r="J341" i="2"/>
  <c r="I365" i="2"/>
  <c r="I405" i="2"/>
  <c r="I435" i="2"/>
  <c r="I425" i="2"/>
  <c r="I415" i="2"/>
  <c r="I395" i="2"/>
  <c r="I355" i="2"/>
  <c r="I345" i="2"/>
  <c r="I335" i="2"/>
  <c r="K350" i="2"/>
  <c r="K430" i="2"/>
  <c r="K441" i="2"/>
  <c r="I394" i="2"/>
  <c r="J340" i="2"/>
  <c r="K375" i="2"/>
  <c r="J381" i="2"/>
  <c r="K440" i="2"/>
  <c r="I433" i="2"/>
  <c r="I423" i="2"/>
  <c r="I413" i="2"/>
  <c r="I403" i="2"/>
  <c r="I393" i="2"/>
  <c r="I383" i="2"/>
  <c r="I363" i="2"/>
  <c r="I353" i="2"/>
  <c r="I343" i="2"/>
  <c r="I333" i="2"/>
  <c r="I323" i="2"/>
  <c r="I313" i="2"/>
  <c r="K337" i="2"/>
  <c r="J336" i="2"/>
  <c r="K355" i="2"/>
  <c r="K378" i="2"/>
  <c r="J389" i="2"/>
  <c r="K407" i="2"/>
  <c r="K437" i="2"/>
  <c r="I421" i="2"/>
  <c r="I321" i="2"/>
  <c r="O14" i="3" a="1"/>
  <c r="O14" i="3" s="1"/>
  <c r="I330" i="2"/>
  <c r="K377" i="2"/>
  <c r="J388" i="2"/>
  <c r="I390" i="2"/>
  <c r="K406" i="2"/>
  <c r="I430" i="2"/>
  <c r="I420" i="2"/>
  <c r="I410" i="2"/>
  <c r="I400" i="2"/>
  <c r="I380" i="2"/>
  <c r="I360" i="2"/>
  <c r="I350" i="2"/>
  <c r="I340" i="2"/>
  <c r="I320" i="2"/>
  <c r="J329" i="2"/>
  <c r="I328" i="2"/>
  <c r="J387" i="2"/>
  <c r="J428" i="2"/>
  <c r="K435" i="2"/>
  <c r="K317" i="2"/>
  <c r="I318" i="2"/>
  <c r="J328" i="2"/>
  <c r="J358" i="2"/>
  <c r="J368" i="2"/>
  <c r="J427" i="2"/>
  <c r="I428" i="2"/>
  <c r="I418" i="2"/>
  <c r="I408" i="2"/>
  <c r="I398" i="2"/>
  <c r="I388" i="2"/>
  <c r="I378" i="2"/>
  <c r="I348" i="2"/>
  <c r="I417" i="2"/>
  <c r="I407" i="2"/>
  <c r="I397" i="2"/>
  <c r="I367" i="2"/>
  <c r="I347" i="2"/>
  <c r="I317" i="2"/>
  <c r="I338" i="2"/>
  <c r="I359" i="2"/>
  <c r="J379" i="2"/>
  <c r="I336" i="2"/>
  <c r="J339" i="2"/>
  <c r="J318" i="2"/>
  <c r="J338" i="2"/>
  <c r="K420" i="2"/>
  <c r="K439" i="2"/>
  <c r="I424" i="2"/>
  <c r="I344" i="2"/>
  <c r="I324" i="2"/>
  <c r="K385" i="2"/>
  <c r="K418" i="2"/>
  <c r="K438" i="2"/>
  <c r="J330" i="2"/>
  <c r="I334" i="2"/>
  <c r="K344" i="2"/>
  <c r="J344" i="2"/>
  <c r="J373" i="2"/>
  <c r="I374" i="2"/>
  <c r="J394" i="2"/>
  <c r="J383" i="2"/>
  <c r="K424" i="2"/>
  <c r="P15" i="3" a="1"/>
  <c r="P15" i="3" s="1"/>
  <c r="K314" i="2"/>
  <c r="K354" i="2"/>
  <c r="K404" i="2"/>
  <c r="N15" i="3" a="1"/>
  <c r="N15" i="3" s="1"/>
  <c r="I314" i="2"/>
  <c r="K334" i="2"/>
  <c r="K403" i="2"/>
  <c r="K434" i="2"/>
  <c r="I412" i="2"/>
  <c r="I402" i="2"/>
  <c r="I441" i="2"/>
  <c r="I431" i="2"/>
  <c r="I401" i="2"/>
  <c r="I391" i="2"/>
  <c r="I381" i="2"/>
  <c r="I361" i="2"/>
  <c r="I331" i="2"/>
  <c r="O15" i="3" a="1"/>
  <c r="O15" i="3" s="1"/>
  <c r="K324" i="2"/>
  <c r="J414" i="2"/>
  <c r="I414" i="2"/>
  <c r="K433" i="2"/>
  <c r="J424" i="2"/>
  <c r="K323" i="2"/>
  <c r="J324" i="2"/>
  <c r="K332" i="2"/>
  <c r="K364" i="2"/>
  <c r="J399" i="2"/>
  <c r="J413" i="2"/>
  <c r="K431" i="2"/>
  <c r="K321" i="2"/>
  <c r="K331" i="2"/>
  <c r="I354" i="2"/>
  <c r="K363" i="2"/>
  <c r="I364" i="2"/>
  <c r="J411" i="2"/>
  <c r="I279" i="2"/>
  <c r="K320" i="2"/>
  <c r="J322" i="2"/>
  <c r="K359" i="2"/>
  <c r="K374" i="2"/>
  <c r="K384" i="2"/>
  <c r="I384" i="2"/>
  <c r="K411" i="2"/>
  <c r="J410" i="2"/>
  <c r="K346" i="2"/>
  <c r="J408" i="2"/>
  <c r="I376" i="2"/>
  <c r="I366" i="2"/>
  <c r="I346" i="2"/>
  <c r="I316" i="2"/>
  <c r="J439" i="2"/>
  <c r="H414" i="2" a="1"/>
  <c r="H414" i="2" s="1"/>
  <c r="H422" i="2" a="1"/>
  <c r="H422" i="2" s="1"/>
  <c r="H432" i="2" a="1"/>
  <c r="H432" i="2" s="1"/>
  <c r="H363" i="2" a="1"/>
  <c r="H363" i="2" s="1"/>
  <c r="H349" i="2" a="1"/>
  <c r="H349" i="2" s="1"/>
  <c r="I437" i="2"/>
  <c r="I426" i="2"/>
  <c r="I416" i="2"/>
  <c r="H391" i="2" a="1"/>
  <c r="H391" i="2" s="1"/>
  <c r="H337" i="2" a="1"/>
  <c r="H337" i="2" s="1"/>
  <c r="H418" i="2" a="1"/>
  <c r="H418" i="2" s="1"/>
  <c r="J319" i="2"/>
  <c r="I322" i="2"/>
  <c r="H333" i="2" a="1"/>
  <c r="H333" i="2" s="1"/>
  <c r="K372" i="2"/>
  <c r="K362" i="2"/>
  <c r="I372" i="2"/>
  <c r="I362" i="2"/>
  <c r="H360" i="2" a="1"/>
  <c r="H360" i="2" s="1"/>
  <c r="H400" i="2" a="1"/>
  <c r="H400" i="2" s="1"/>
  <c r="H387" i="2" a="1"/>
  <c r="H387" i="2" s="1"/>
  <c r="H361" i="2" a="1"/>
  <c r="H361" i="2" s="1"/>
  <c r="I409" i="2"/>
  <c r="H412" i="2" a="1"/>
  <c r="H412" i="2" s="1"/>
  <c r="H434" i="2" a="1"/>
  <c r="H434" i="2" s="1"/>
  <c r="H401" i="2" a="1"/>
  <c r="H401" i="2" s="1"/>
  <c r="H346" i="2" a="1"/>
  <c r="H346" i="2" s="1"/>
  <c r="H376" i="2" a="1"/>
  <c r="H376" i="2" s="1"/>
  <c r="H399" i="2" a="1"/>
  <c r="H399" i="2" s="1"/>
  <c r="H386" i="2" a="1"/>
  <c r="H386" i="2" s="1"/>
  <c r="K412" i="2"/>
  <c r="K402" i="2"/>
  <c r="H410" i="2" a="1"/>
  <c r="H410" i="2" s="1"/>
  <c r="H433" i="2" a="1"/>
  <c r="H433" i="2" s="1"/>
  <c r="H440" i="2" a="1"/>
  <c r="H440" i="2" s="1"/>
  <c r="H413" i="2" a="1"/>
  <c r="H413" i="2" s="1"/>
  <c r="H375" i="2" a="1"/>
  <c r="H375" i="2" s="1"/>
  <c r="H408" i="2" a="1"/>
  <c r="H408" i="2" s="1"/>
  <c r="K432" i="2"/>
  <c r="K422" i="2"/>
  <c r="J432" i="2"/>
  <c r="J422" i="2"/>
  <c r="I432" i="2"/>
  <c r="I422" i="2"/>
  <c r="H374" i="2" a="1"/>
  <c r="H374" i="2" s="1"/>
  <c r="K392" i="2"/>
  <c r="K382" i="2"/>
  <c r="I392" i="2"/>
  <c r="I382" i="2"/>
  <c r="H397" i="2" a="1"/>
  <c r="H397" i="2" s="1"/>
  <c r="H379" i="2" a="1"/>
  <c r="H379" i="2" s="1"/>
  <c r="H407" i="2" a="1"/>
  <c r="H407" i="2" s="1"/>
  <c r="H430" i="2" a="1"/>
  <c r="H430" i="2" s="1"/>
  <c r="H420" i="2" a="1"/>
  <c r="H420" i="2" s="1"/>
  <c r="H389" i="2" a="1"/>
  <c r="H389" i="2" s="1"/>
  <c r="H355" i="2" a="1"/>
  <c r="H355" i="2" s="1"/>
  <c r="H398" i="2" a="1"/>
  <c r="H398" i="2" s="1"/>
  <c r="H382" i="2" a="1"/>
  <c r="H382" i="2" s="1"/>
  <c r="H441" i="2" a="1"/>
  <c r="H441" i="2" s="1"/>
  <c r="I319" i="2"/>
  <c r="H329" i="2" a="1"/>
  <c r="H329" i="2" s="1"/>
  <c r="K369" i="2"/>
  <c r="I369" i="2"/>
  <c r="K339" i="2"/>
  <c r="K329" i="2"/>
  <c r="J349" i="2"/>
  <c r="I352" i="2"/>
  <c r="I342" i="2"/>
  <c r="H372" i="2" a="1"/>
  <c r="H372" i="2" s="1"/>
  <c r="H396" i="2" a="1"/>
  <c r="H396" i="2" s="1"/>
  <c r="K409" i="2"/>
  <c r="J412" i="2"/>
  <c r="J402" i="2"/>
  <c r="H405" i="2" a="1"/>
  <c r="H405" i="2" s="1"/>
  <c r="H429" i="2" a="1"/>
  <c r="H429" i="2" s="1"/>
  <c r="H370" i="2" a="1"/>
  <c r="H370" i="2" s="1"/>
  <c r="H403" i="2" a="1"/>
  <c r="H403" i="2" s="1"/>
  <c r="K429" i="2"/>
  <c r="K419" i="2"/>
  <c r="J429" i="2"/>
  <c r="J419" i="2"/>
  <c r="H428" i="2" a="1"/>
  <c r="H428" i="2" s="1"/>
  <c r="H341" i="2" a="1"/>
  <c r="H341" i="2" s="1"/>
  <c r="H328" i="2" a="1"/>
  <c r="H328" i="2" s="1"/>
  <c r="J352" i="2"/>
  <c r="J342" i="2"/>
  <c r="H395" i="2" a="1"/>
  <c r="H395" i="2" s="1"/>
  <c r="H371" i="2" a="1"/>
  <c r="H371" i="2" s="1"/>
  <c r="H369" i="2" a="1"/>
  <c r="H369" i="2" s="1"/>
  <c r="K399" i="2"/>
  <c r="K389" i="2"/>
  <c r="K379" i="2"/>
  <c r="H394" i="2" a="1"/>
  <c r="H394" i="2" s="1"/>
  <c r="H402" i="2" a="1"/>
  <c r="H402" i="2" s="1"/>
  <c r="H426" i="2" a="1"/>
  <c r="H426" i="2" s="1"/>
  <c r="H436" i="2" a="1"/>
  <c r="H436" i="2" s="1"/>
  <c r="H347" i="2" a="1"/>
  <c r="H347" i="2" s="1"/>
  <c r="H393" i="2" a="1"/>
  <c r="H393" i="2" s="1"/>
  <c r="H424" i="2" a="1"/>
  <c r="H424" i="2" s="1"/>
  <c r="H322" i="2" a="1"/>
  <c r="H322" i="2" s="1"/>
  <c r="K319" i="2"/>
  <c r="H339" i="2" a="1"/>
  <c r="H339" i="2" s="1"/>
  <c r="H359" i="2" a="1"/>
  <c r="H359" i="2" s="1"/>
  <c r="H368" i="2" a="1"/>
  <c r="H368" i="2" s="1"/>
  <c r="H319" i="2" a="1"/>
  <c r="H319" i="2" s="1"/>
  <c r="H340" i="2" a="1"/>
  <c r="H340" i="2" s="1"/>
  <c r="H344" i="2" a="1"/>
  <c r="H344" i="2" s="1"/>
  <c r="K426" i="2"/>
  <c r="K416" i="2"/>
  <c r="J426" i="2"/>
  <c r="J416" i="2"/>
  <c r="H431" i="2" a="1"/>
  <c r="H431" i="2" s="1"/>
  <c r="H419" i="2" a="1"/>
  <c r="H419" i="2" s="1"/>
  <c r="H435" i="2" a="1"/>
  <c r="H435" i="2" s="1"/>
  <c r="H439" i="2" a="1"/>
  <c r="H439" i="2" s="1"/>
  <c r="H427" i="2" a="1"/>
  <c r="H427" i="2" s="1"/>
  <c r="H438" i="2" a="1"/>
  <c r="H438" i="2" s="1"/>
  <c r="H425" i="2" a="1"/>
  <c r="H425" i="2" s="1"/>
  <c r="H437" i="2" a="1"/>
  <c r="H437" i="2" s="1"/>
  <c r="H423" i="2" a="1"/>
  <c r="H423" i="2" s="1"/>
  <c r="H415" i="2" a="1"/>
  <c r="H415" i="2" s="1"/>
  <c r="H409" i="2" a="1"/>
  <c r="H409" i="2" s="1"/>
  <c r="H388" i="2" a="1"/>
  <c r="H388" i="2" s="1"/>
  <c r="H404" i="2" a="1"/>
  <c r="H404" i="2" s="1"/>
  <c r="H417" i="2" a="1"/>
  <c r="H417" i="2" s="1"/>
  <c r="H390" i="2" a="1"/>
  <c r="H390" i="2" s="1"/>
  <c r="H421" i="2" a="1"/>
  <c r="H421" i="2" s="1"/>
  <c r="H416" i="2" a="1"/>
  <c r="H416" i="2" s="1"/>
  <c r="H384" i="2" a="1"/>
  <c r="H384" i="2" s="1"/>
  <c r="H411" i="2" a="1"/>
  <c r="H411" i="2" s="1"/>
  <c r="H392" i="2" a="1"/>
  <c r="H392" i="2" s="1"/>
  <c r="H406" i="2" a="1"/>
  <c r="H406" i="2" s="1"/>
  <c r="H383" i="2" a="1"/>
  <c r="H383" i="2" s="1"/>
  <c r="H378" i="2" a="1"/>
  <c r="H378" i="2" s="1"/>
  <c r="H367" i="2" a="1"/>
  <c r="H367" i="2" s="1"/>
  <c r="H377" i="2" a="1"/>
  <c r="H377" i="2" s="1"/>
  <c r="H366" i="2" a="1"/>
  <c r="H366" i="2" s="1"/>
  <c r="H381" i="2" a="1"/>
  <c r="H381" i="2" s="1"/>
  <c r="H352" i="2" a="1"/>
  <c r="H352" i="2" s="1"/>
  <c r="H373" i="2" a="1"/>
  <c r="H373" i="2" s="1"/>
  <c r="H385" i="2" a="1"/>
  <c r="H385" i="2" s="1"/>
  <c r="H380" i="2" a="1"/>
  <c r="H380" i="2" s="1"/>
  <c r="H364" i="2" a="1"/>
  <c r="H364" i="2" s="1"/>
  <c r="H357" i="2" a="1"/>
  <c r="H357" i="2" s="1"/>
  <c r="H362" i="2" a="1"/>
  <c r="H362" i="2" s="1"/>
  <c r="H348" i="2" a="1"/>
  <c r="H348" i="2" s="1"/>
  <c r="H365" i="2" a="1"/>
  <c r="H365" i="2" s="1"/>
  <c r="H353" i="2" a="1"/>
  <c r="H353" i="2" s="1"/>
  <c r="H354" i="2" a="1"/>
  <c r="H354" i="2" s="1"/>
  <c r="H351" i="2" a="1"/>
  <c r="H351" i="2" s="1"/>
  <c r="H358" i="2" a="1"/>
  <c r="H358" i="2" s="1"/>
  <c r="H356" i="2" a="1"/>
  <c r="H356" i="2" s="1"/>
  <c r="H350" i="2" a="1"/>
  <c r="H350" i="2" s="1"/>
  <c r="H338" i="2" a="1"/>
  <c r="H338" i="2" s="1"/>
  <c r="H343" i="2" a="1"/>
  <c r="H343" i="2" s="1"/>
  <c r="H336" i="2" a="1"/>
  <c r="H336" i="2" s="1"/>
  <c r="H342" i="2" a="1"/>
  <c r="H342" i="2" s="1"/>
  <c r="H331" i="2" a="1"/>
  <c r="H331" i="2" s="1"/>
  <c r="H334" i="2" a="1"/>
  <c r="H334" i="2" s="1"/>
  <c r="H345" i="2" a="1"/>
  <c r="H345" i="2" s="1"/>
  <c r="H332" i="2" a="1"/>
  <c r="H332" i="2" s="1"/>
  <c r="H327" i="2" a="1"/>
  <c r="H327" i="2" s="1"/>
  <c r="H326" i="2" a="1"/>
  <c r="H326" i="2" s="1"/>
  <c r="H330" i="2" a="1"/>
  <c r="H330" i="2" s="1"/>
  <c r="H335" i="2" a="1"/>
  <c r="H335" i="2" s="1"/>
  <c r="H321" i="2" a="1"/>
  <c r="H321" i="2" s="1"/>
  <c r="H316" i="2" a="1"/>
  <c r="H316" i="2" s="1"/>
  <c r="H325" i="2" a="1"/>
  <c r="H325" i="2" s="1"/>
  <c r="H315" i="2" a="1"/>
  <c r="H315" i="2" s="1"/>
  <c r="H320" i="2" a="1"/>
  <c r="H320" i="2" s="1"/>
  <c r="H314" i="2" a="1"/>
  <c r="H314" i="2" s="1"/>
  <c r="H324" i="2" a="1"/>
  <c r="H324" i="2" s="1"/>
  <c r="H318" i="2" a="1"/>
  <c r="H318" i="2" s="1"/>
  <c r="H323" i="2" a="1"/>
  <c r="H323" i="2" s="1"/>
  <c r="H313" i="2" a="1"/>
  <c r="H313" i="2" s="1"/>
  <c r="H317" i="2" a="1"/>
  <c r="H317" i="2" s="1"/>
  <c r="J264" i="2"/>
  <c r="I236" i="2"/>
  <c r="I259" i="2"/>
  <c r="J265" i="2"/>
  <c r="J304" i="2"/>
  <c r="I299" i="2"/>
  <c r="J274" i="2"/>
  <c r="I265" i="2"/>
  <c r="J235" i="2"/>
  <c r="J285" i="2"/>
  <c r="J312" i="2"/>
  <c r="J246" i="2"/>
  <c r="J271" i="2"/>
  <c r="I267" i="2"/>
  <c r="I310" i="2"/>
  <c r="I302" i="2"/>
  <c r="J291" i="2"/>
  <c r="J238" i="2"/>
  <c r="J259" i="2"/>
  <c r="I253" i="2"/>
  <c r="J289" i="2"/>
  <c r="I266" i="2"/>
  <c r="I301" i="2"/>
  <c r="I298" i="2"/>
  <c r="I228" i="2"/>
  <c r="J250" i="2"/>
  <c r="I274" i="2"/>
  <c r="I262" i="2"/>
  <c r="I311" i="2"/>
  <c r="K266" i="2"/>
  <c r="I256" i="2"/>
  <c r="J288" i="2"/>
  <c r="I273" i="2"/>
  <c r="I288" i="2"/>
  <c r="K275" i="2"/>
  <c r="J256" i="2"/>
  <c r="J290" i="2"/>
  <c r="I238" i="2"/>
  <c r="K298" i="2"/>
  <c r="K270" i="2"/>
  <c r="K248" i="2"/>
  <c r="K296" i="2"/>
  <c r="K246" i="2"/>
  <c r="J244" i="2"/>
  <c r="J280" i="2"/>
  <c r="I309" i="2"/>
  <c r="K244" i="2"/>
  <c r="I263" i="2"/>
  <c r="K240" i="2"/>
  <c r="J303" i="2"/>
  <c r="I286" i="2"/>
  <c r="I233" i="2"/>
  <c r="K260" i="2"/>
  <c r="K236" i="2"/>
  <c r="I280" i="2"/>
  <c r="I239" i="2"/>
  <c r="I278" i="2"/>
  <c r="J299" i="2"/>
  <c r="J311" i="2"/>
  <c r="I255" i="2"/>
  <c r="I291" i="2"/>
  <c r="K286" i="2"/>
  <c r="I275" i="2"/>
  <c r="J309" i="2"/>
  <c r="I264" i="2"/>
  <c r="I290" i="2"/>
  <c r="K258" i="2"/>
  <c r="J228" i="2"/>
  <c r="I237" i="2"/>
  <c r="K276" i="2"/>
  <c r="K256" i="2"/>
  <c r="K230" i="2"/>
  <c r="I257" i="2"/>
  <c r="K310" i="2"/>
  <c r="K300" i="2"/>
  <c r="J310" i="2"/>
  <c r="I245" i="2"/>
  <c r="I293" i="2"/>
  <c r="I283" i="2"/>
  <c r="K279" i="2"/>
  <c r="K239" i="2"/>
  <c r="K229" i="2"/>
  <c r="J287" i="2"/>
  <c r="I243" i="2"/>
  <c r="I292" i="2"/>
  <c r="I282" i="2"/>
  <c r="K308" i="2"/>
  <c r="K278" i="2"/>
  <c r="K268" i="2"/>
  <c r="I241" i="2"/>
  <c r="K307" i="2"/>
  <c r="K297" i="2"/>
  <c r="K267" i="2"/>
  <c r="K257" i="2"/>
  <c r="K247" i="2"/>
  <c r="K237" i="2"/>
  <c r="K201" i="2"/>
  <c r="K306" i="2"/>
  <c r="K191" i="2"/>
  <c r="K305" i="2"/>
  <c r="K295" i="2"/>
  <c r="K255" i="2"/>
  <c r="K245" i="2"/>
  <c r="K181" i="2"/>
  <c r="K171" i="2"/>
  <c r="I300" i="2"/>
  <c r="J283" i="2"/>
  <c r="K294" i="2"/>
  <c r="K284" i="2"/>
  <c r="J281" i="2"/>
  <c r="I287" i="2"/>
  <c r="K293" i="2"/>
  <c r="K273" i="2"/>
  <c r="K263" i="2"/>
  <c r="K253" i="2"/>
  <c r="K243" i="2"/>
  <c r="K233" i="2"/>
  <c r="K161" i="2"/>
  <c r="J239" i="2"/>
  <c r="I251" i="2"/>
  <c r="J282" i="2"/>
  <c r="K254" i="2"/>
  <c r="I289" i="2"/>
  <c r="I270" i="2"/>
  <c r="K302" i="2"/>
  <c r="K292" i="2"/>
  <c r="K272" i="2"/>
  <c r="K262" i="2"/>
  <c r="K242" i="2"/>
  <c r="K232" i="2"/>
  <c r="K151" i="2"/>
  <c r="I234" i="2"/>
  <c r="I247" i="2"/>
  <c r="K301" i="2"/>
  <c r="K271" i="2"/>
  <c r="K261" i="2"/>
  <c r="K251" i="2"/>
  <c r="K241" i="2"/>
  <c r="K141" i="2"/>
  <c r="K222" i="2"/>
  <c r="K212" i="2"/>
  <c r="K202" i="2"/>
  <c r="K192" i="2"/>
  <c r="K182" i="2"/>
  <c r="K172" i="2"/>
  <c r="K162" i="2"/>
  <c r="K152" i="2"/>
  <c r="K132" i="2"/>
  <c r="K122" i="2"/>
  <c r="K112" i="2"/>
  <c r="K52" i="2"/>
  <c r="K42" i="2"/>
  <c r="K32" i="2"/>
  <c r="K22" i="2"/>
  <c r="K221" i="2"/>
  <c r="K211" i="2"/>
  <c r="K131" i="2"/>
  <c r="K121" i="2"/>
  <c r="K111" i="2"/>
  <c r="K101" i="2"/>
  <c r="K91" i="2"/>
  <c r="K81" i="2"/>
  <c r="K71" i="2"/>
  <c r="K61" i="2"/>
  <c r="K51" i="2"/>
  <c r="K41" i="2"/>
  <c r="K31" i="2"/>
  <c r="K21" i="2"/>
  <c r="K220" i="2"/>
  <c r="K210" i="2"/>
  <c r="K200" i="2"/>
  <c r="K190" i="2"/>
  <c r="K180" i="2"/>
  <c r="K170" i="2"/>
  <c r="K160" i="2"/>
  <c r="K150" i="2"/>
  <c r="K140" i="2"/>
  <c r="K130" i="2"/>
  <c r="K120" i="2"/>
  <c r="K110" i="2"/>
  <c r="K100" i="2"/>
  <c r="K90" i="2"/>
  <c r="K80" i="2"/>
  <c r="K70" i="2"/>
  <c r="K60" i="2"/>
  <c r="K50" i="2"/>
  <c r="K40" i="2"/>
  <c r="K30" i="2"/>
  <c r="K20" i="2"/>
  <c r="K219" i="2"/>
  <c r="K209" i="2"/>
  <c r="K199" i="2"/>
  <c r="K189" i="2"/>
  <c r="K179" i="2"/>
  <c r="K169" i="2"/>
  <c r="K159" i="2"/>
  <c r="K149" i="2"/>
  <c r="K139" i="2"/>
  <c r="K129" i="2"/>
  <c r="K119" i="2"/>
  <c r="K109" i="2"/>
  <c r="K99" i="2"/>
  <c r="K89" i="2"/>
  <c r="K79" i="2"/>
  <c r="K69" i="2"/>
  <c r="K59" i="2"/>
  <c r="K49" i="2"/>
  <c r="K39" i="2"/>
  <c r="K29" i="2"/>
  <c r="K19" i="2"/>
  <c r="K218" i="2"/>
  <c r="K208" i="2"/>
  <c r="K198" i="2"/>
  <c r="K188" i="2"/>
  <c r="K178" i="2"/>
  <c r="K168" i="2"/>
  <c r="K158" i="2"/>
  <c r="K148" i="2"/>
  <c r="K138" i="2"/>
  <c r="K128" i="2"/>
  <c r="K118" i="2"/>
  <c r="K108" i="2"/>
  <c r="K98" i="2"/>
  <c r="K78" i="2"/>
  <c r="K68" i="2"/>
  <c r="K58" i="2"/>
  <c r="K48" i="2"/>
  <c r="K38" i="2"/>
  <c r="K28" i="2"/>
  <c r="K18" i="2"/>
  <c r="K227" i="2"/>
  <c r="K217" i="2"/>
  <c r="K197" i="2"/>
  <c r="K187" i="2"/>
  <c r="K177" i="2"/>
  <c r="K167" i="2"/>
  <c r="K157" i="2"/>
  <c r="K147" i="2"/>
  <c r="K137" i="2"/>
  <c r="K127" i="2"/>
  <c r="K117" i="2"/>
  <c r="K107" i="2"/>
  <c r="K97" i="2"/>
  <c r="K77" i="2"/>
  <c r="K67" i="2"/>
  <c r="K57" i="2"/>
  <c r="K37" i="2"/>
  <c r="K27" i="2"/>
  <c r="K17" i="2"/>
  <c r="K226" i="2"/>
  <c r="K216" i="2"/>
  <c r="K206" i="2"/>
  <c r="K196" i="2"/>
  <c r="K186" i="2"/>
  <c r="K176" i="2"/>
  <c r="K166" i="2"/>
  <c r="K156" i="2"/>
  <c r="K146" i="2"/>
  <c r="K136" i="2"/>
  <c r="K126" i="2"/>
  <c r="K116" i="2"/>
  <c r="K106" i="2"/>
  <c r="K96" i="2"/>
  <c r="K86" i="2"/>
  <c r="K76" i="2"/>
  <c r="K66" i="2"/>
  <c r="K56" i="2"/>
  <c r="K36" i="2"/>
  <c r="K26" i="2"/>
  <c r="K16" i="2"/>
  <c r="K225" i="2"/>
  <c r="K215" i="2"/>
  <c r="K205" i="2"/>
  <c r="K195" i="2"/>
  <c r="K185" i="2"/>
  <c r="K175" i="2"/>
  <c r="K165" i="2"/>
  <c r="K155" i="2"/>
  <c r="K145" i="2"/>
  <c r="K135" i="2"/>
  <c r="K115" i="2"/>
  <c r="K105" i="2"/>
  <c r="K95" i="2"/>
  <c r="K75" i="2"/>
  <c r="K65" i="2"/>
  <c r="K55" i="2"/>
  <c r="K45" i="2"/>
  <c r="K35" i="2"/>
  <c r="K25" i="2"/>
  <c r="K15" i="2"/>
  <c r="K224" i="2"/>
  <c r="K214" i="2"/>
  <c r="K184" i="2"/>
  <c r="K164" i="2"/>
  <c r="K144" i="2"/>
  <c r="K134" i="2"/>
  <c r="K124" i="2"/>
  <c r="K114" i="2"/>
  <c r="K104" i="2"/>
  <c r="K94" i="2"/>
  <c r="K84" i="2"/>
  <c r="K74" i="2"/>
  <c r="K64" i="2"/>
  <c r="K54" i="2"/>
  <c r="K44" i="2"/>
  <c r="K34" i="2"/>
  <c r="K24" i="2"/>
  <c r="K14" i="2"/>
  <c r="K223" i="2"/>
  <c r="K213" i="2"/>
  <c r="K203" i="2"/>
  <c r="K193" i="2"/>
  <c r="K183" i="2"/>
  <c r="K173" i="2"/>
  <c r="K163" i="2"/>
  <c r="K153" i="2"/>
  <c r="K143" i="2"/>
  <c r="K133" i="2"/>
  <c r="K123" i="2"/>
  <c r="K113" i="2"/>
  <c r="K103" i="2"/>
  <c r="K93" i="2"/>
  <c r="K73" i="2"/>
  <c r="K63" i="2"/>
  <c r="K53" i="2"/>
  <c r="K43" i="2"/>
  <c r="K33" i="2"/>
  <c r="K23" i="2"/>
  <c r="K13" i="2"/>
  <c r="J262" i="2"/>
  <c r="J272" i="2"/>
  <c r="I235" i="2"/>
  <c r="I260" i="2"/>
  <c r="I303" i="2"/>
  <c r="I268" i="2"/>
  <c r="I297" i="2"/>
  <c r="I312" i="2"/>
  <c r="I296" i="2"/>
  <c r="I295" i="2"/>
  <c r="I285" i="2"/>
  <c r="I284" i="2"/>
  <c r="I294" i="2"/>
  <c r="I229" i="2"/>
  <c r="I307" i="2"/>
  <c r="I240" i="2"/>
  <c r="I230" i="2"/>
  <c r="I281" i="2"/>
  <c r="I306" i="2"/>
  <c r="N172" i="2"/>
  <c r="I305" i="2"/>
  <c r="I261" i="2"/>
  <c r="I304" i="2"/>
  <c r="I269" i="2"/>
  <c r="I277" i="2"/>
  <c r="I250" i="2"/>
  <c r="I252" i="2"/>
  <c r="I249" i="2"/>
  <c r="H304" i="2" a="1"/>
  <c r="H304" i="2" s="1"/>
  <c r="H281" i="2" a="1"/>
  <c r="H281" i="2" s="1"/>
  <c r="H307" i="2" a="1"/>
  <c r="H307" i="2" s="1"/>
  <c r="I231" i="2"/>
  <c r="H289" i="2" a="1"/>
  <c r="H289" i="2" s="1"/>
  <c r="H303" i="2" a="1"/>
  <c r="H303" i="2" s="1"/>
  <c r="H293" i="2" a="1"/>
  <c r="H293" i="2" s="1"/>
  <c r="H283" i="2" a="1"/>
  <c r="H283" i="2" s="1"/>
  <c r="H310" i="2" a="1"/>
  <c r="H310" i="2" s="1"/>
  <c r="H301" i="2" a="1"/>
  <c r="H301" i="2" s="1"/>
  <c r="J308" i="2"/>
  <c r="H298" i="2" a="1"/>
  <c r="H298" i="2" s="1"/>
  <c r="H309" i="2" a="1"/>
  <c r="H309" i="2" s="1"/>
  <c r="H308" i="2" a="1"/>
  <c r="H308" i="2" s="1"/>
  <c r="H312" i="2" a="1"/>
  <c r="H312" i="2" s="1"/>
  <c r="H306" i="2" a="1"/>
  <c r="H306" i="2" s="1"/>
  <c r="H311" i="2" a="1"/>
  <c r="H311" i="2" s="1"/>
  <c r="H286" i="2" a="1"/>
  <c r="H286" i="2" s="1"/>
  <c r="H287" i="2" a="1"/>
  <c r="H287" i="2" s="1"/>
  <c r="H302" i="2" a="1"/>
  <c r="H302" i="2" s="1"/>
  <c r="H292" i="2" a="1"/>
  <c r="H292" i="2" s="1"/>
  <c r="H297" i="2" a="1"/>
  <c r="H297" i="2" s="1"/>
  <c r="H296" i="2" a="1"/>
  <c r="H296" i="2" s="1"/>
  <c r="H291" i="2" a="1"/>
  <c r="H291" i="2" s="1"/>
  <c r="H305" i="2" a="1"/>
  <c r="H305" i="2" s="1"/>
  <c r="H295" i="2" a="1"/>
  <c r="H295" i="2" s="1"/>
  <c r="H290" i="2" a="1"/>
  <c r="H290" i="2" s="1"/>
  <c r="H300" i="2" a="1"/>
  <c r="H300" i="2" s="1"/>
  <c r="H282" i="2" a="1"/>
  <c r="H282" i="2" s="1"/>
  <c r="H299" i="2" a="1"/>
  <c r="H299" i="2" s="1"/>
  <c r="H294" i="2" a="1"/>
  <c r="H294" i="2" s="1"/>
  <c r="H285" i="2" a="1"/>
  <c r="H285" i="2" s="1"/>
  <c r="H284" i="2" a="1"/>
  <c r="H284" i="2" s="1"/>
  <c r="H288" i="2" a="1"/>
  <c r="H288" i="2" s="1"/>
  <c r="I276" i="2"/>
  <c r="J269" i="2"/>
  <c r="J279" i="2"/>
  <c r="J278" i="2"/>
  <c r="J277" i="2"/>
  <c r="I248" i="2"/>
  <c r="J253" i="2"/>
  <c r="J252" i="2"/>
  <c r="I258" i="2"/>
  <c r="J249" i="2"/>
  <c r="I254" i="2"/>
  <c r="J231" i="2"/>
  <c r="I232" i="2"/>
  <c r="I242" i="2"/>
  <c r="H278" i="2" a="1"/>
  <c r="H278" i="2" s="1"/>
  <c r="H268" i="2" a="1"/>
  <c r="H268" i="2" s="1"/>
  <c r="J234" i="2"/>
  <c r="H280" i="2" a="1"/>
  <c r="H280" i="2" s="1"/>
  <c r="H275" i="2" a="1"/>
  <c r="H275" i="2" s="1"/>
  <c r="H279" i="2" a="1"/>
  <c r="H279" i="2" s="1"/>
  <c r="H274" i="2" a="1"/>
  <c r="H274" i="2" s="1"/>
  <c r="H263" i="2" a="1"/>
  <c r="H263" i="2" s="1"/>
  <c r="H273" i="2" a="1"/>
  <c r="H273" i="2" s="1"/>
  <c r="H272" i="2" a="1"/>
  <c r="H272" i="2" s="1"/>
  <c r="H277" i="2" a="1"/>
  <c r="H277" i="2" s="1"/>
  <c r="H276" i="2" a="1"/>
  <c r="H276" i="2" s="1"/>
  <c r="H271" i="2" a="1"/>
  <c r="H271" i="2" s="1"/>
  <c r="H270" i="2" a="1"/>
  <c r="H270" i="2" s="1"/>
  <c r="H234" i="2" a="1"/>
  <c r="H234" i="2" s="1"/>
  <c r="H251" i="2" a="1"/>
  <c r="H251" i="2" s="1"/>
  <c r="H258" i="2" a="1"/>
  <c r="H258" i="2" s="1"/>
  <c r="H249" i="2" a="1"/>
  <c r="H249" i="2" s="1"/>
  <c r="H267" i="2" a="1"/>
  <c r="H267" i="2" s="1"/>
  <c r="H262" i="2" a="1"/>
  <c r="H262" i="2" s="1"/>
  <c r="H259" i="2" a="1"/>
  <c r="H259" i="2" s="1"/>
  <c r="H248" i="2" a="1"/>
  <c r="H248" i="2" s="1"/>
  <c r="H255" i="2" a="1"/>
  <c r="H255" i="2" s="1"/>
  <c r="H266" i="2" a="1"/>
  <c r="H266" i="2" s="1"/>
  <c r="H245" i="2" a="1"/>
  <c r="H245" i="2" s="1"/>
  <c r="H241" i="2" a="1"/>
  <c r="H241" i="2" s="1"/>
  <c r="H240" i="2" a="1"/>
  <c r="H240" i="2" s="1"/>
  <c r="H252" i="2" a="1"/>
  <c r="H252" i="2" s="1"/>
  <c r="H231" i="2" a="1"/>
  <c r="H231" i="2" s="1"/>
  <c r="H269" i="2" a="1"/>
  <c r="H269" i="2" s="1"/>
  <c r="H264" i="2" a="1"/>
  <c r="H264" i="2" s="1"/>
  <c r="H265" i="2" a="1"/>
  <c r="H265" i="2" s="1"/>
  <c r="H236" i="2" a="1"/>
  <c r="H236" i="2" s="1"/>
  <c r="H242" i="2" a="1"/>
  <c r="H242" i="2" s="1"/>
  <c r="H261" i="2" a="1"/>
  <c r="H261" i="2" s="1"/>
  <c r="H239" i="2" a="1"/>
  <c r="H239" i="2" s="1"/>
  <c r="H235" i="2" a="1"/>
  <c r="H235" i="2" s="1"/>
  <c r="H260" i="2" a="1"/>
  <c r="H260" i="2" s="1"/>
  <c r="H253" i="2" a="1"/>
  <c r="H253" i="2" s="1"/>
  <c r="H250" i="2" a="1"/>
  <c r="H250" i="2" s="1"/>
  <c r="H257" i="2" a="1"/>
  <c r="H257" i="2" s="1"/>
  <c r="H256" i="2" a="1"/>
  <c r="H256" i="2" s="1"/>
  <c r="H246" i="2" a="1"/>
  <c r="H246" i="2" s="1"/>
  <c r="H244" i="2" a="1"/>
  <c r="H244" i="2" s="1"/>
  <c r="H254" i="2" a="1"/>
  <c r="H254" i="2" s="1"/>
  <c r="H233" i="2" a="1"/>
  <c r="H233" i="2" s="1"/>
  <c r="H247" i="2" a="1"/>
  <c r="H247" i="2" s="1"/>
  <c r="H243" i="2" a="1"/>
  <c r="H243" i="2" s="1"/>
  <c r="H237" i="2" a="1"/>
  <c r="H237" i="2" s="1"/>
  <c r="H232" i="2" a="1"/>
  <c r="H232" i="2" s="1"/>
  <c r="H230" i="2" a="1"/>
  <c r="H230" i="2" s="1"/>
  <c r="H229" i="2" a="1"/>
  <c r="H229" i="2" s="1"/>
  <c r="H238" i="2" a="1"/>
  <c r="H238" i="2" s="1"/>
  <c r="H228" i="2" a="1"/>
  <c r="H228" i="2" s="1"/>
  <c r="M15" i="3" a="1"/>
  <c r="M15" i="3" s="1"/>
  <c r="I75" i="2"/>
  <c r="I83" i="2"/>
  <c r="Q38" i="3"/>
  <c r="Q32" i="3"/>
  <c r="I159" i="2"/>
  <c r="I99" i="2"/>
  <c r="I199" i="2"/>
  <c r="I137" i="2"/>
  <c r="I142" i="2"/>
  <c r="I197" i="2"/>
  <c r="I187" i="2"/>
  <c r="I177" i="2"/>
  <c r="I167" i="2"/>
  <c r="I157" i="2"/>
  <c r="I147" i="2"/>
  <c r="I209" i="2"/>
  <c r="I179" i="2"/>
  <c r="I198" i="2"/>
  <c r="I188" i="2"/>
  <c r="I178" i="2"/>
  <c r="I168" i="2"/>
  <c r="I158" i="2"/>
  <c r="I148" i="2"/>
  <c r="I204" i="2"/>
  <c r="I131" i="2"/>
  <c r="I121" i="2"/>
  <c r="I223" i="2"/>
  <c r="I91" i="2"/>
  <c r="I61" i="2"/>
  <c r="I120" i="2"/>
  <c r="I110" i="2"/>
  <c r="I200" i="2"/>
  <c r="I190" i="2"/>
  <c r="I180" i="2"/>
  <c r="I170" i="2"/>
  <c r="I160" i="2"/>
  <c r="I150" i="2"/>
  <c r="I84" i="2"/>
  <c r="I215" i="2"/>
  <c r="I74" i="2"/>
  <c r="I132" i="2"/>
  <c r="I122" i="2"/>
  <c r="I112" i="2"/>
  <c r="I111" i="2"/>
  <c r="I94" i="2"/>
  <c r="I134" i="2"/>
  <c r="I202" i="2"/>
  <c r="I225" i="2"/>
  <c r="I104" i="2"/>
  <c r="I64" i="2"/>
  <c r="I103" i="2"/>
  <c r="I93" i="2"/>
  <c r="I73" i="2"/>
  <c r="I63" i="2"/>
  <c r="I53" i="2"/>
  <c r="I133" i="2"/>
  <c r="I123" i="2"/>
  <c r="I113" i="2"/>
  <c r="I189" i="2"/>
  <c r="I169" i="2"/>
  <c r="I149" i="2"/>
  <c r="I224" i="2"/>
  <c r="J83" i="2"/>
  <c r="I155" i="2"/>
  <c r="I195" i="2"/>
  <c r="I175" i="2"/>
  <c r="I92" i="2"/>
  <c r="I72" i="2"/>
  <c r="I62" i="2"/>
  <c r="I68" i="2"/>
  <c r="I218" i="2"/>
  <c r="I222" i="2"/>
  <c r="I102" i="2"/>
  <c r="I108" i="2"/>
  <c r="I78" i="2"/>
  <c r="I106" i="2"/>
  <c r="I96" i="2"/>
  <c r="I86" i="2"/>
  <c r="I56" i="2"/>
  <c r="I82" i="2"/>
  <c r="I98" i="2"/>
  <c r="I66" i="2"/>
  <c r="I201" i="2"/>
  <c r="I191" i="2"/>
  <c r="I181" i="2"/>
  <c r="I171" i="2"/>
  <c r="I161" i="2"/>
  <c r="I151" i="2"/>
  <c r="I141" i="2"/>
  <c r="I216" i="2"/>
  <c r="I85" i="2"/>
  <c r="J85" i="2"/>
  <c r="J92" i="2"/>
  <c r="I124" i="2"/>
  <c r="I114" i="2"/>
  <c r="J125" i="2"/>
  <c r="I125" i="2"/>
  <c r="J62" i="2"/>
  <c r="I165" i="2"/>
  <c r="I164" i="2"/>
  <c r="J82" i="2"/>
  <c r="J12" i="2"/>
  <c r="N19" i="2"/>
  <c r="I41" i="2"/>
  <c r="P16" i="3" a="1"/>
  <c r="P16" i="3" s="1"/>
  <c r="L16" i="3" a="1"/>
  <c r="L16" i="3" s="1"/>
  <c r="O16" i="3" a="1"/>
  <c r="O16" i="3" s="1"/>
  <c r="L13" i="3" a="1"/>
  <c r="L13" i="3" s="1"/>
  <c r="N16" i="3" a="1"/>
  <c r="N16" i="3" s="1"/>
  <c r="M16" i="3" a="1"/>
  <c r="M16" i="3" s="1"/>
  <c r="M13" i="3" a="1"/>
  <c r="M13" i="3" s="1"/>
  <c r="L15" i="3" a="1"/>
  <c r="L15" i="3" s="1"/>
  <c r="I47" i="2"/>
  <c r="J47" i="2"/>
  <c r="I50" i="2"/>
  <c r="I55" i="2"/>
  <c r="I207" i="2"/>
  <c r="J207" i="2"/>
  <c r="I203" i="2"/>
  <c r="J102" i="2"/>
  <c r="N27" i="2" a="1"/>
  <c r="N27" i="2" s="1"/>
  <c r="J142" i="2"/>
  <c r="I88" i="2"/>
  <c r="J88" i="2"/>
  <c r="I54" i="2"/>
  <c r="I185" i="2"/>
  <c r="I145" i="2"/>
  <c r="J194" i="2"/>
  <c r="I194" i="2"/>
  <c r="J174" i="2"/>
  <c r="I174" i="2"/>
  <c r="J154" i="2"/>
  <c r="I154" i="2"/>
  <c r="J72" i="2"/>
  <c r="I87" i="2"/>
  <c r="J87" i="2"/>
  <c r="I135" i="2"/>
  <c r="I184" i="2"/>
  <c r="I144" i="2"/>
  <c r="I46" i="2"/>
  <c r="I196" i="2"/>
  <c r="I186" i="2"/>
  <c r="I176" i="2"/>
  <c r="I166" i="2"/>
  <c r="I156" i="2"/>
  <c r="I130" i="2"/>
  <c r="I32" i="2"/>
  <c r="I101" i="2"/>
  <c r="I81" i="2"/>
  <c r="I71" i="2"/>
  <c r="I107" i="2"/>
  <c r="I97" i="2"/>
  <c r="I77" i="2"/>
  <c r="I67" i="2"/>
  <c r="I57" i="2"/>
  <c r="I129" i="2"/>
  <c r="I119" i="2"/>
  <c r="I109" i="2"/>
  <c r="I139" i="2"/>
  <c r="I220" i="2"/>
  <c r="I210" i="2"/>
  <c r="J46" i="2"/>
  <c r="I163" i="2"/>
  <c r="I76" i="2"/>
  <c r="I116" i="2"/>
  <c r="I138" i="2"/>
  <c r="I193" i="2"/>
  <c r="I183" i="2"/>
  <c r="I173" i="2"/>
  <c r="I153" i="2"/>
  <c r="I143" i="2"/>
  <c r="I219" i="2"/>
  <c r="I89" i="2"/>
  <c r="I105" i="2"/>
  <c r="I95" i="2"/>
  <c r="I65" i="2"/>
  <c r="I192" i="2"/>
  <c r="I182" i="2"/>
  <c r="I172" i="2"/>
  <c r="I162" i="2"/>
  <c r="I152" i="2"/>
  <c r="I208" i="2"/>
  <c r="J204" i="2"/>
  <c r="Q41" i="3"/>
  <c r="Q31" i="3"/>
  <c r="Q40" i="3"/>
  <c r="Q42" i="3"/>
  <c r="Q45" i="3"/>
  <c r="Q35" i="3"/>
  <c r="Q44" i="3"/>
  <c r="Q34" i="3"/>
  <c r="Q33" i="3"/>
  <c r="Q30" i="3"/>
  <c r="Q36" i="3"/>
  <c r="Q28" i="3"/>
  <c r="Q47" i="3"/>
  <c r="Q27" i="3"/>
  <c r="H223" i="2" a="1"/>
  <c r="H223" i="2" s="1"/>
  <c r="I35" i="2"/>
  <c r="H215" i="2" a="1"/>
  <c r="H215" i="2" s="1"/>
  <c r="I33" i="2"/>
  <c r="I51" i="2"/>
  <c r="I127" i="2"/>
  <c r="I115" i="2"/>
  <c r="H225" i="2" a="1"/>
  <c r="H225" i="2" s="1"/>
  <c r="I221" i="2"/>
  <c r="I211" i="2"/>
  <c r="I214" i="2"/>
  <c r="I48" i="2"/>
  <c r="I43" i="2"/>
  <c r="I213" i="2"/>
  <c r="I49" i="2"/>
  <c r="I52" i="2"/>
  <c r="I79" i="2"/>
  <c r="I69" i="2"/>
  <c r="I59" i="2"/>
  <c r="I227" i="2"/>
  <c r="I226" i="2"/>
  <c r="H224" i="2" a="1"/>
  <c r="H224" i="2" s="1"/>
  <c r="H222" i="2" a="1"/>
  <c r="H222" i="2" s="1"/>
  <c r="H227" i="2" a="1"/>
  <c r="H227" i="2" s="1"/>
  <c r="H226" i="2" a="1"/>
  <c r="H226" i="2" s="1"/>
  <c r="H212" i="2" a="1"/>
  <c r="H212" i="2" s="1"/>
  <c r="H213" i="2" a="1"/>
  <c r="H213" i="2" s="1"/>
  <c r="I212" i="2"/>
  <c r="H217" i="2" a="1"/>
  <c r="H217" i="2" s="1"/>
  <c r="H214" i="2" a="1"/>
  <c r="H214" i="2" s="1"/>
  <c r="H221" i="2" a="1"/>
  <c r="H221" i="2" s="1"/>
  <c r="H211" i="2" a="1"/>
  <c r="H211" i="2" s="1"/>
  <c r="H220" i="2" a="1"/>
  <c r="H220" i="2" s="1"/>
  <c r="H210" i="2" a="1"/>
  <c r="H210" i="2" s="1"/>
  <c r="H219" i="2" a="1"/>
  <c r="H219" i="2" s="1"/>
  <c r="H209" i="2" a="1"/>
  <c r="H209" i="2" s="1"/>
  <c r="H216" i="2" a="1"/>
  <c r="H216" i="2" s="1"/>
  <c r="I217" i="2"/>
  <c r="H205" i="2" a="1"/>
  <c r="H205" i="2" s="1"/>
  <c r="H218" i="2" a="1"/>
  <c r="H218" i="2" s="1"/>
  <c r="H208" i="2" a="1"/>
  <c r="H208" i="2" s="1"/>
  <c r="H204" i="2" a="1"/>
  <c r="H204" i="2" s="1"/>
  <c r="I205" i="2"/>
  <c r="H207" i="2" a="1"/>
  <c r="H207" i="2" s="1"/>
  <c r="H206" i="2" a="1"/>
  <c r="H206" i="2" s="1"/>
  <c r="H203" i="2" a="1"/>
  <c r="H203" i="2" s="1"/>
  <c r="H202" i="2" a="1"/>
  <c r="H202" i="2" s="1"/>
  <c r="I206" i="2"/>
  <c r="H193" i="2" a="1"/>
  <c r="H193" i="2" s="1"/>
  <c r="H176" i="2" a="1"/>
  <c r="H176" i="2" s="1"/>
  <c r="H179" i="2" a="1"/>
  <c r="H179" i="2" s="1"/>
  <c r="H177" i="2" a="1"/>
  <c r="H177" i="2" s="1"/>
  <c r="H144" i="2" a="1"/>
  <c r="H144" i="2" s="1"/>
  <c r="H200" i="2" a="1"/>
  <c r="H200" i="2" s="1"/>
  <c r="H191" i="2" a="1"/>
  <c r="H191" i="2" s="1"/>
  <c r="H150" i="2" a="1"/>
  <c r="H150" i="2" s="1"/>
  <c r="H197" i="2" a="1"/>
  <c r="H197" i="2" s="1"/>
  <c r="H201" i="2" a="1"/>
  <c r="H201" i="2" s="1"/>
  <c r="H161" i="2" a="1"/>
  <c r="H161" i="2" s="1"/>
  <c r="H196" i="2" a="1"/>
  <c r="H196" i="2" s="1"/>
  <c r="H181" i="2" a="1"/>
  <c r="H181" i="2" s="1"/>
  <c r="H198" i="2" a="1"/>
  <c r="H198" i="2" s="1"/>
  <c r="H189" i="2" a="1"/>
  <c r="H189" i="2" s="1"/>
  <c r="H192" i="2" a="1"/>
  <c r="H192" i="2" s="1"/>
  <c r="H171" i="2" a="1"/>
  <c r="H171" i="2" s="1"/>
  <c r="H187" i="2" a="1"/>
  <c r="H187" i="2" s="1"/>
  <c r="H199" i="2" a="1"/>
  <c r="H199" i="2" s="1"/>
  <c r="H141" i="2" a="1"/>
  <c r="H141" i="2" s="1"/>
  <c r="H186" i="2" a="1"/>
  <c r="H186" i="2" s="1"/>
  <c r="H182" i="2" a="1"/>
  <c r="H182" i="2" s="1"/>
  <c r="I146" i="2"/>
  <c r="H151" i="2" a="1"/>
  <c r="H151" i="2" s="1"/>
  <c r="H183" i="2" a="1"/>
  <c r="H183" i="2" s="1"/>
  <c r="H173" i="2" a="1"/>
  <c r="H173" i="2" s="1"/>
  <c r="H163" i="2" a="1"/>
  <c r="H163" i="2" s="1"/>
  <c r="H153" i="2" a="1"/>
  <c r="H153" i="2" s="1"/>
  <c r="H143" i="2" a="1"/>
  <c r="H143" i="2" s="1"/>
  <c r="H172" i="2" a="1"/>
  <c r="H172" i="2" s="1"/>
  <c r="H162" i="2" a="1"/>
  <c r="H162" i="2" s="1"/>
  <c r="H152" i="2" a="1"/>
  <c r="H152" i="2" s="1"/>
  <c r="H142" i="2" a="1"/>
  <c r="H142" i="2" s="1"/>
  <c r="H190" i="2" a="1"/>
  <c r="H190" i="2" s="1"/>
  <c r="H180" i="2" a="1"/>
  <c r="H180" i="2" s="1"/>
  <c r="H170" i="2" a="1"/>
  <c r="H170" i="2" s="1"/>
  <c r="H160" i="2" a="1"/>
  <c r="H160" i="2" s="1"/>
  <c r="H140" i="2" a="1"/>
  <c r="H140" i="2" s="1"/>
  <c r="H169" i="2" a="1"/>
  <c r="H169" i="2" s="1"/>
  <c r="H159" i="2" a="1"/>
  <c r="H159" i="2" s="1"/>
  <c r="H149" i="2" a="1"/>
  <c r="H149" i="2" s="1"/>
  <c r="H139" i="2" a="1"/>
  <c r="H139" i="2" s="1"/>
  <c r="H188" i="2" a="1"/>
  <c r="H188" i="2" s="1"/>
  <c r="H178" i="2" a="1"/>
  <c r="H178" i="2" s="1"/>
  <c r="H168" i="2" a="1"/>
  <c r="H168" i="2" s="1"/>
  <c r="H158" i="2" a="1"/>
  <c r="H158" i="2" s="1"/>
  <c r="H148" i="2" a="1"/>
  <c r="H148" i="2" s="1"/>
  <c r="H167" i="2" a="1"/>
  <c r="H167" i="2" s="1"/>
  <c r="H157" i="2" a="1"/>
  <c r="H157" i="2" s="1"/>
  <c r="H147" i="2" a="1"/>
  <c r="H147" i="2" s="1"/>
  <c r="H138" i="2" a="1"/>
  <c r="H138" i="2" s="1"/>
  <c r="H137" i="2" a="1"/>
  <c r="H137" i="2" s="1"/>
  <c r="I140" i="2"/>
  <c r="H165" i="2" a="1"/>
  <c r="H165" i="2" s="1"/>
  <c r="H155" i="2" a="1"/>
  <c r="H155" i="2" s="1"/>
  <c r="H145" i="2" a="1"/>
  <c r="H145" i="2" s="1"/>
  <c r="H166" i="2" a="1"/>
  <c r="H166" i="2" s="1"/>
  <c r="H185" i="2" a="1"/>
  <c r="H185" i="2" s="1"/>
  <c r="H194" i="2" a="1"/>
  <c r="H194" i="2" s="1"/>
  <c r="H164" i="2" a="1"/>
  <c r="H164" i="2" s="1"/>
  <c r="H146" i="2" a="1"/>
  <c r="H146" i="2" s="1"/>
  <c r="H195" i="2" a="1"/>
  <c r="H195" i="2" s="1"/>
  <c r="H184" i="2" a="1"/>
  <c r="H184" i="2" s="1"/>
  <c r="H154" i="2" a="1"/>
  <c r="H154" i="2" s="1"/>
  <c r="H156" i="2" a="1"/>
  <c r="H156" i="2" s="1"/>
  <c r="H175" i="2" a="1"/>
  <c r="H175" i="2" s="1"/>
  <c r="H174" i="2" a="1"/>
  <c r="H174" i="2" s="1"/>
  <c r="I128" i="2"/>
  <c r="H118" i="2" a="1"/>
  <c r="H118" i="2" s="1"/>
  <c r="H119" i="2" a="1"/>
  <c r="H119" i="2" s="1"/>
  <c r="I136" i="2"/>
  <c r="I126" i="2"/>
  <c r="H125" i="2" a="1"/>
  <c r="H125" i="2" s="1"/>
  <c r="H124" i="2" a="1"/>
  <c r="H124" i="2" s="1"/>
  <c r="H133" i="2" a="1"/>
  <c r="H133" i="2" s="1"/>
  <c r="H109" i="2" a="1"/>
  <c r="H109" i="2" s="1"/>
  <c r="H132" i="2" a="1"/>
  <c r="H132" i="2" s="1"/>
  <c r="H130" i="2" a="1"/>
  <c r="H130" i="2" s="1"/>
  <c r="H115" i="2" a="1"/>
  <c r="H115" i="2" s="1"/>
  <c r="H129" i="2" a="1"/>
  <c r="H129" i="2" s="1"/>
  <c r="H122" i="2" a="1"/>
  <c r="H122" i="2" s="1"/>
  <c r="H114" i="2" a="1"/>
  <c r="H114" i="2" s="1"/>
  <c r="H131" i="2" a="1"/>
  <c r="H131" i="2" s="1"/>
  <c r="H113" i="2" a="1"/>
  <c r="H113" i="2" s="1"/>
  <c r="H136" i="2" a="1"/>
  <c r="H136" i="2" s="1"/>
  <c r="H128" i="2" a="1"/>
  <c r="H128" i="2" s="1"/>
  <c r="H116" i="2" a="1"/>
  <c r="H116" i="2" s="1"/>
  <c r="H112" i="2" a="1"/>
  <c r="H112" i="2" s="1"/>
  <c r="H135" i="2" a="1"/>
  <c r="H135" i="2" s="1"/>
  <c r="H127" i="2" a="1"/>
  <c r="H127" i="2" s="1"/>
  <c r="H123" i="2" a="1"/>
  <c r="H123" i="2" s="1"/>
  <c r="H134" i="2" a="1"/>
  <c r="H134" i="2" s="1"/>
  <c r="H126" i="2" a="1"/>
  <c r="H126" i="2" s="1"/>
  <c r="H117" i="2" a="1"/>
  <c r="H117" i="2" s="1"/>
  <c r="I118" i="2"/>
  <c r="H120" i="2" a="1"/>
  <c r="H120" i="2" s="1"/>
  <c r="H110" i="2" a="1"/>
  <c r="H110" i="2" s="1"/>
  <c r="H111" i="2" a="1"/>
  <c r="H111" i="2" s="1"/>
  <c r="H121" i="2" a="1"/>
  <c r="H121" i="2" s="1"/>
  <c r="I117" i="2"/>
  <c r="H96" i="2" a="1"/>
  <c r="H96" i="2" s="1"/>
  <c r="H76" i="2" a="1"/>
  <c r="H76" i="2" s="1"/>
  <c r="H56" i="2" a="1"/>
  <c r="H56" i="2" s="1"/>
  <c r="H98" i="2" a="1"/>
  <c r="H98" i="2" s="1"/>
  <c r="H86" i="2" a="1"/>
  <c r="H86" i="2" s="1"/>
  <c r="H66" i="2" a="1"/>
  <c r="H66" i="2" s="1"/>
  <c r="H107" i="2" a="1"/>
  <c r="H107" i="2" s="1"/>
  <c r="H97" i="2" a="1"/>
  <c r="H97" i="2" s="1"/>
  <c r="I100" i="2"/>
  <c r="I90" i="2"/>
  <c r="I80" i="2"/>
  <c r="I70" i="2"/>
  <c r="I60" i="2"/>
  <c r="H106" i="2" a="1"/>
  <c r="H106" i="2" s="1"/>
  <c r="H59" i="2" a="1"/>
  <c r="H59" i="2" s="1"/>
  <c r="H108" i="2" a="1"/>
  <c r="H108" i="2" s="1"/>
  <c r="H88" i="2" a="1"/>
  <c r="H88" i="2" s="1"/>
  <c r="H78" i="2" a="1"/>
  <c r="H78" i="2" s="1"/>
  <c r="H68" i="2" a="1"/>
  <c r="H68" i="2" s="1"/>
  <c r="H95" i="2" a="1"/>
  <c r="H95" i="2" s="1"/>
  <c r="H87" i="2" a="1"/>
  <c r="H87" i="2" s="1"/>
  <c r="H77" i="2" a="1"/>
  <c r="H77" i="2" s="1"/>
  <c r="H67" i="2" a="1"/>
  <c r="H67" i="2" s="1"/>
  <c r="H85" i="2" a="1"/>
  <c r="H85" i="2" s="1"/>
  <c r="H94" i="2" a="1"/>
  <c r="H94" i="2" s="1"/>
  <c r="H64" i="2" a="1"/>
  <c r="H64" i="2" s="1"/>
  <c r="H55" i="2" a="1"/>
  <c r="H55" i="2" s="1"/>
  <c r="H104" i="2" a="1"/>
  <c r="H104" i="2" s="1"/>
  <c r="H84" i="2" a="1"/>
  <c r="H84" i="2" s="1"/>
  <c r="H74" i="2" a="1"/>
  <c r="H74" i="2" s="1"/>
  <c r="H103" i="2" a="1"/>
  <c r="H103" i="2" s="1"/>
  <c r="H93" i="2" a="1"/>
  <c r="H93" i="2" s="1"/>
  <c r="H83" i="2" a="1"/>
  <c r="H83" i="2" s="1"/>
  <c r="H73" i="2" a="1"/>
  <c r="H73" i="2" s="1"/>
  <c r="H63" i="2" a="1"/>
  <c r="H63" i="2" s="1"/>
  <c r="H82" i="2" a="1"/>
  <c r="H82" i="2" s="1"/>
  <c r="H62" i="2" a="1"/>
  <c r="H62" i="2" s="1"/>
  <c r="H54" i="2" a="1"/>
  <c r="H54" i="2" s="1"/>
  <c r="H102" i="2" a="1"/>
  <c r="H102" i="2" s="1"/>
  <c r="H61" i="2" a="1"/>
  <c r="H61" i="2" s="1"/>
  <c r="H53" i="2" a="1"/>
  <c r="H53" i="2" s="1"/>
  <c r="H89" i="2" a="1"/>
  <c r="H89" i="2" s="1"/>
  <c r="H91" i="2" a="1"/>
  <c r="H91" i="2" s="1"/>
  <c r="H99" i="2" a="1"/>
  <c r="H99" i="2" s="1"/>
  <c r="I58" i="2"/>
  <c r="H72" i="2" a="1"/>
  <c r="H72" i="2" s="1"/>
  <c r="H81" i="2" a="1"/>
  <c r="H81" i="2" s="1"/>
  <c r="H90" i="2" a="1"/>
  <c r="H90" i="2" s="1"/>
  <c r="H70" i="2" a="1"/>
  <c r="H70" i="2" s="1"/>
  <c r="H69" i="2" a="1"/>
  <c r="H69" i="2" s="1"/>
  <c r="H58" i="2" a="1"/>
  <c r="H58" i="2" s="1"/>
  <c r="H92" i="2" a="1"/>
  <c r="H92" i="2" s="1"/>
  <c r="H101" i="2" a="1"/>
  <c r="H101" i="2" s="1"/>
  <c r="H100" i="2" a="1"/>
  <c r="H100" i="2" s="1"/>
  <c r="H80" i="2" a="1"/>
  <c r="H80" i="2" s="1"/>
  <c r="H60" i="2" a="1"/>
  <c r="H60" i="2" s="1"/>
  <c r="H79" i="2" a="1"/>
  <c r="H79" i="2" s="1"/>
  <c r="H57" i="2" a="1"/>
  <c r="H57" i="2" s="1"/>
  <c r="H71" i="2" a="1"/>
  <c r="H71" i="2" s="1"/>
  <c r="H105" i="2" a="1"/>
  <c r="H105" i="2" s="1"/>
  <c r="H75" i="2" a="1"/>
  <c r="H75" i="2" s="1"/>
  <c r="H65" i="2" a="1"/>
  <c r="H65" i="2" s="1"/>
  <c r="I38" i="2"/>
  <c r="I37" i="2"/>
  <c r="I45" i="2"/>
  <c r="I36" i="2"/>
  <c r="I34" i="2"/>
  <c r="H44" i="2" a="1"/>
  <c r="H44" i="2" s="1"/>
  <c r="H42" i="2" a="1"/>
  <c r="H42" i="2" s="1"/>
  <c r="H49" i="2" a="1"/>
  <c r="H49" i="2" s="1"/>
  <c r="I40" i="2"/>
  <c r="H43" i="2" a="1"/>
  <c r="H43" i="2" s="1"/>
  <c r="H48" i="2" a="1"/>
  <c r="H48" i="2" s="1"/>
  <c r="H47" i="2" a="1"/>
  <c r="H47" i="2" s="1"/>
  <c r="I44" i="2"/>
  <c r="I42" i="2"/>
  <c r="H46" i="2" a="1"/>
  <c r="H46" i="2" s="1"/>
  <c r="H45" i="2" a="1"/>
  <c r="H45" i="2" s="1"/>
  <c r="H52" i="2" a="1"/>
  <c r="H52" i="2" s="1"/>
  <c r="H51" i="2" a="1"/>
  <c r="H51" i="2" s="1"/>
  <c r="H50" i="2" a="1"/>
  <c r="H50" i="2" s="1"/>
  <c r="H39" i="2" a="1"/>
  <c r="H39" i="2" s="1"/>
  <c r="H40" i="2" a="1"/>
  <c r="H40" i="2" s="1"/>
  <c r="H33" i="2" a="1"/>
  <c r="H33" i="2" s="1"/>
  <c r="H32" i="2" a="1"/>
  <c r="H32" i="2" s="1"/>
  <c r="I39" i="2"/>
  <c r="H38" i="2" a="1"/>
  <c r="H38" i="2" s="1"/>
  <c r="H37" i="2" a="1"/>
  <c r="H37" i="2" s="1"/>
  <c r="H36" i="2" a="1"/>
  <c r="H36" i="2" s="1"/>
  <c r="H35" i="2" a="1"/>
  <c r="H35" i="2" s="1"/>
  <c r="H34" i="2" a="1"/>
  <c r="H34" i="2" s="1"/>
  <c r="H41" i="2" a="1"/>
  <c r="H41" i="2" s="1"/>
  <c r="I15" i="2"/>
  <c r="I31" i="2"/>
  <c r="I16" i="2"/>
  <c r="I12" i="2"/>
  <c r="I13" i="2"/>
  <c r="I14" i="2"/>
  <c r="I27" i="2"/>
  <c r="I29" i="2"/>
  <c r="I19" i="2"/>
  <c r="I22" i="2"/>
  <c r="I30" i="2"/>
  <c r="I28" i="2"/>
  <c r="I18" i="2"/>
  <c r="I26" i="2"/>
  <c r="I25" i="2"/>
  <c r="I21" i="2"/>
  <c r="I24" i="2"/>
  <c r="I23" i="2"/>
  <c r="I20" i="2"/>
  <c r="H19" i="2" a="1"/>
  <c r="H19" i="2" s="1"/>
  <c r="H12" i="2" a="1"/>
  <c r="H12" i="2" s="1"/>
  <c r="E11" i="5"/>
  <c r="H27" i="2" a="1"/>
  <c r="H27" i="2" s="1"/>
  <c r="H17" i="2" a="1"/>
  <c r="H17" i="2" s="1"/>
  <c r="I17" i="2"/>
  <c r="H25" i="2" a="1"/>
  <c r="H25" i="2" s="1"/>
  <c r="H31" i="2" a="1"/>
  <c r="H31" i="2" s="1"/>
  <c r="H21" i="2" a="1"/>
  <c r="H21" i="2" s="1"/>
  <c r="H30" i="2" a="1"/>
  <c r="H30" i="2" s="1"/>
  <c r="H20" i="2" a="1"/>
  <c r="H20" i="2" s="1"/>
  <c r="H18" i="2" a="1"/>
  <c r="H18" i="2" s="1"/>
  <c r="H26" i="2" a="1"/>
  <c r="H26" i="2" s="1"/>
  <c r="E9" i="5"/>
  <c r="E10" i="5" s="1"/>
  <c r="E12" i="5" a="1"/>
  <c r="E12" i="5" s="1"/>
  <c r="H16" i="2" a="1"/>
  <c r="H16" i="2" s="1"/>
  <c r="H24" i="2" a="1"/>
  <c r="H24" i="2" s="1"/>
  <c r="H14" i="2" a="1"/>
  <c r="H14" i="2" s="1"/>
  <c r="H29" i="2" a="1"/>
  <c r="H29" i="2" s="1"/>
  <c r="H28" i="2" a="1"/>
  <c r="H28" i="2" s="1"/>
  <c r="H15" i="2" a="1"/>
  <c r="H15" i="2" s="1"/>
  <c r="H23" i="2" a="1"/>
  <c r="H23" i="2" s="1"/>
  <c r="H13" i="2" a="1"/>
  <c r="H13" i="2" s="1"/>
  <c r="H22" i="2" a="1"/>
  <c r="H22" i="2" s="1"/>
  <c r="H13" i="7"/>
  <c r="C14" i="7" a="1"/>
  <c r="C14" i="7" s="1"/>
  <c r="G14" i="7" s="1" a="1"/>
  <c r="G14" i="7" s="1"/>
  <c r="J13" i="7" a="1"/>
  <c r="J13" i="7" s="1"/>
  <c r="E13" i="7" a="1"/>
  <c r="E13" i="7" s="1"/>
  <c r="G79" i="5"/>
  <c r="G100" i="5"/>
  <c r="G89" i="5"/>
  <c r="G63" i="5"/>
  <c r="G61" i="5"/>
  <c r="G68" i="5"/>
  <c r="G99" i="5"/>
  <c r="G77" i="5"/>
  <c r="G67" i="5"/>
  <c r="G97" i="5"/>
  <c r="G87" i="5"/>
  <c r="G76" i="5"/>
  <c r="G65" i="5"/>
  <c r="G96" i="5"/>
  <c r="G85" i="5"/>
  <c r="G75" i="5"/>
  <c r="G64" i="5"/>
  <c r="G95" i="5"/>
  <c r="G73" i="5"/>
  <c r="G57" i="5"/>
  <c r="G93" i="5"/>
  <c r="G83" i="5"/>
  <c r="G56" i="5"/>
  <c r="G92" i="5"/>
  <c r="G81" i="5"/>
  <c r="G71" i="5"/>
  <c r="G60" i="5"/>
  <c r="G88" i="5"/>
  <c r="G55" i="5"/>
  <c r="G84" i="5"/>
  <c r="G72" i="5"/>
  <c r="G101" i="5"/>
  <c r="G91" i="5"/>
  <c r="G80" i="5"/>
  <c r="G69" i="5"/>
  <c r="E21" i="5"/>
  <c r="Y11" i="7" s="1"/>
  <c r="N54" i="3"/>
  <c r="H26" i="3"/>
  <c r="G12" i="3"/>
  <c r="I12" i="3"/>
  <c r="G26" i="3"/>
  <c r="J12" i="3"/>
  <c r="M12" i="3"/>
  <c r="H12" i="3"/>
  <c r="Q54" i="3"/>
  <c r="Q12" i="3"/>
  <c r="K26" i="3"/>
  <c r="E54" i="3"/>
  <c r="M26" i="3"/>
  <c r="L54" i="3"/>
  <c r="N26" i="3"/>
  <c r="M54" i="3"/>
  <c r="S6" i="3"/>
  <c r="S12" i="3" s="1"/>
  <c r="E12" i="3"/>
  <c r="N12" i="3"/>
  <c r="O26" i="3"/>
  <c r="F54" i="3"/>
  <c r="O12" i="3"/>
  <c r="E26" i="3"/>
  <c r="P26" i="3"/>
  <c r="I54" i="3"/>
  <c r="F12" i="3"/>
  <c r="P12" i="3"/>
  <c r="F26" i="3"/>
  <c r="K54" i="3"/>
  <c r="L12" i="3"/>
  <c r="J26" i="3"/>
  <c r="H54" i="3"/>
  <c r="P54" i="3"/>
  <c r="L26" i="3"/>
  <c r="J54" i="3"/>
  <c r="K12" i="3"/>
  <c r="I26" i="3"/>
  <c r="Q26" i="3"/>
  <c r="G54" i="3"/>
  <c r="X52" i="3" a="1"/>
  <c r="I52" i="3" a="1"/>
  <c r="ER24" i="3" a="1"/>
  <c r="ES24" i="3" a="1"/>
  <c r="GL66" i="3" a="1"/>
  <c r="DT66" i="3" a="1"/>
  <c r="EA24" i="3" a="1"/>
  <c r="BG24" i="3" a="1"/>
  <c r="HW24" i="3" a="1"/>
  <c r="GF66" i="3" a="1"/>
  <c r="GP24" i="3" a="1"/>
  <c r="GC24" i="3" a="1"/>
  <c r="HJ52" i="3" a="1"/>
  <c r="GS52" i="3" a="1"/>
  <c r="DX52" i="3" a="1"/>
  <c r="AU52" i="3" a="1"/>
  <c r="FV52" i="3" a="1"/>
  <c r="EY52" i="3" a="1"/>
  <c r="GG66" i="3" a="1"/>
  <c r="IF52" i="3" a="1"/>
  <c r="CY24" i="3" a="1"/>
  <c r="DJ52" i="3" a="1"/>
  <c r="FN24" i="3" a="1"/>
  <c r="CD24" i="3" a="1"/>
  <c r="AY66" i="3" a="1"/>
  <c r="AU66" i="3" a="1"/>
  <c r="AW66" i="3" a="1"/>
  <c r="EW52" i="3" a="1"/>
  <c r="AK24" i="3" a="1"/>
  <c r="CQ52" i="3" a="1"/>
  <c r="GI66" i="3" a="1"/>
  <c r="CC24" i="3" a="1"/>
  <c r="DP24" i="3" a="1"/>
  <c r="EF24" i="3" a="1"/>
  <c r="BY52" i="3" a="1"/>
  <c r="CA66" i="3" a="1"/>
  <c r="DS52" i="3" a="1"/>
  <c r="EQ66" i="3" a="1"/>
  <c r="DQ66" i="3" a="1"/>
  <c r="FC24" i="3" a="1"/>
  <c r="AB52" i="3" a="1"/>
  <c r="ES52" i="3" a="1"/>
  <c r="V24" i="3" a="1"/>
  <c r="EL52" i="3" a="1"/>
  <c r="EF52" i="3" a="1"/>
  <c r="DA24" i="3" a="1"/>
  <c r="DB66" i="3" a="1"/>
  <c r="EK66" i="3" a="1"/>
  <c r="FZ24" i="3" a="1"/>
  <c r="FI52" i="3" a="1"/>
  <c r="HI66" i="3" a="1"/>
  <c r="GB66" i="3" a="1"/>
  <c r="EQ24" i="3" a="1"/>
  <c r="EJ66" i="3" a="1"/>
  <c r="BE66" i="3" a="1"/>
  <c r="EX24" i="3" a="1"/>
  <c r="EB66" i="3" a="1"/>
  <c r="GC66" i="3" a="1"/>
  <c r="HU24" i="3" a="1"/>
  <c r="EH66" i="3" a="1"/>
  <c r="BL52" i="3" a="1"/>
  <c r="DB24" i="3" a="1"/>
  <c r="CD66" i="3" a="1"/>
  <c r="HE52" i="3" a="1"/>
  <c r="IE52" i="3" a="1"/>
  <c r="CW66" i="3" a="1"/>
  <c r="N66" i="3" a="1"/>
  <c r="FR66" i="3" a="1"/>
  <c r="DI52" i="3" a="1"/>
  <c r="U24" i="3" a="1"/>
  <c r="Z66" i="3" a="1"/>
  <c r="O66" i="3" a="1"/>
  <c r="CY52" i="3" a="1"/>
  <c r="HV66" i="3" a="1"/>
  <c r="DD24" i="3" a="1"/>
  <c r="BT52" i="3" a="1"/>
  <c r="HL66" i="3" a="1"/>
  <c r="AP66" i="3" a="1"/>
  <c r="IF24" i="3" a="1"/>
  <c r="ID24" i="3" a="1"/>
  <c r="CI24" i="3" a="1"/>
  <c r="CR24" i="3" a="1"/>
  <c r="IE24" i="3" a="1"/>
  <c r="Y24" i="3" a="1"/>
  <c r="AZ24" i="3" a="1"/>
  <c r="DR66" i="3" a="1"/>
  <c r="CE52" i="3" a="1"/>
  <c r="AE66" i="3" a="1"/>
  <c r="AM52" i="3" a="1"/>
  <c r="BR66" i="3" a="1"/>
  <c r="AY24" i="3" a="1"/>
  <c r="DH52" i="3" a="1"/>
  <c r="GN52" i="3" a="1"/>
  <c r="DF52" i="3" a="1"/>
  <c r="DN66" i="3" a="1"/>
  <c r="AJ52" i="3" a="1"/>
  <c r="N52" i="3" a="1"/>
  <c r="P52" i="3" a="1"/>
  <c r="GC52" i="3" a="1"/>
  <c r="CB66" i="3" a="1"/>
  <c r="EQ52" i="3" a="1"/>
  <c r="GM24" i="3" a="1"/>
  <c r="BU24" i="3" a="1"/>
  <c r="AG52" i="3" a="1"/>
  <c r="DG52" i="3" a="1"/>
  <c r="CW24" i="3" a="1"/>
  <c r="DW66" i="3" a="1"/>
  <c r="AR66" i="3" a="1"/>
  <c r="DU52" i="3" a="1"/>
  <c r="EZ52" i="3" a="1"/>
  <c r="HK24" i="3" a="1"/>
  <c r="BN24" i="3" a="1"/>
  <c r="S66" i="3" a="1"/>
  <c r="EH24" i="3" a="1"/>
  <c r="AK52" i="3" a="1"/>
  <c r="HZ24" i="3" a="1"/>
  <c r="CQ66" i="3" a="1"/>
  <c r="HB52" i="3" a="1"/>
  <c r="EZ24" i="3" a="1"/>
  <c r="CM24" i="3" a="1"/>
  <c r="CB52" i="3" a="1"/>
  <c r="BG52" i="3" a="1"/>
  <c r="FC52" i="3" a="1"/>
  <c r="T24" i="3" a="1"/>
  <c r="GT24" i="3" a="1"/>
  <c r="BC52" i="3" a="1"/>
  <c r="AL52" i="3" a="1"/>
  <c r="EC24" i="3" a="1"/>
  <c r="GQ52" i="3" a="1"/>
  <c r="GK24" i="3" a="1"/>
  <c r="ID52" i="3" a="1"/>
  <c r="HR24" i="3" a="1"/>
  <c r="CP66" i="3" a="1"/>
  <c r="CQ24" i="3" a="1"/>
  <c r="AD52" i="3" a="1"/>
  <c r="HA24" i="3" a="1"/>
  <c r="FT66" i="3" a="1"/>
  <c r="HX24" i="3" a="1"/>
  <c r="FE52" i="3" a="1"/>
  <c r="DG66" i="3" a="1"/>
  <c r="HM24" i="3" a="1"/>
  <c r="IF66" i="3" a="1"/>
  <c r="CO52" i="3" a="1"/>
  <c r="HZ52" i="3" a="1"/>
  <c r="GE24" i="3" a="1"/>
  <c r="AR24" i="3" a="1"/>
  <c r="CI66" i="3" a="1"/>
  <c r="BY24" i="3" a="1"/>
  <c r="DU66" i="3" a="1"/>
  <c r="AP52" i="3" a="1"/>
  <c r="BD24" i="3" a="1"/>
  <c r="HB66" i="3" a="1"/>
  <c r="DD52" i="3" a="1"/>
  <c r="CE24" i="3" a="1"/>
  <c r="EX66" i="3" a="1"/>
  <c r="DP52" i="3" a="1"/>
  <c r="BJ52" i="3" a="1"/>
  <c r="BX66" i="3" a="1"/>
  <c r="CU66" i="3" a="1"/>
  <c r="FQ52" i="3" a="1"/>
  <c r="HQ52" i="3" a="1"/>
  <c r="FO24" i="3" a="1"/>
  <c r="EG24" i="3" a="1"/>
  <c r="AV66" i="3" a="1"/>
  <c r="W24" i="3" a="1"/>
  <c r="FJ24" i="3" a="1"/>
  <c r="BZ52" i="3" a="1"/>
  <c r="GV52" i="3" a="1"/>
  <c r="CP52" i="3" a="1"/>
  <c r="CT24" i="3" a="1"/>
  <c r="FD52" i="3" a="1"/>
  <c r="GM66" i="3" a="1"/>
  <c r="W66" i="3" a="1"/>
  <c r="BG66" i="3" a="1"/>
  <c r="V66" i="3" a="1"/>
  <c r="HH52" i="3" a="1"/>
  <c r="EU24" i="3" a="1"/>
  <c r="FC66" i="3" a="1"/>
  <c r="HC52" i="3" a="1"/>
  <c r="J66" i="3" a="1"/>
  <c r="FT52" i="3" a="1"/>
  <c r="HS66" i="3" a="1"/>
  <c r="BE24" i="3" a="1"/>
  <c r="GX24" i="3" a="1"/>
  <c r="BP24" i="3" a="1"/>
  <c r="FW66" i="3" a="1"/>
  <c r="EE24" i="3" a="1"/>
  <c r="DK24" i="3" a="1"/>
  <c r="DR52" i="3" a="1"/>
  <c r="H52" i="3" a="1"/>
  <c r="IA24" i="3" a="1"/>
  <c r="IG24" i="3" a="1"/>
  <c r="FK66" i="3" a="1"/>
  <c r="GE66" i="3" a="1"/>
  <c r="FG24" i="3" a="1"/>
  <c r="DS66" i="3" a="1"/>
  <c r="AI66" i="3" a="1"/>
  <c r="AX24" i="3" a="1"/>
  <c r="BF24" i="3" a="1"/>
  <c r="AJ24" i="3" a="1"/>
  <c r="FF24" i="3" a="1"/>
  <c r="BD52" i="3" a="1"/>
  <c r="FE66" i="3" a="1"/>
  <c r="CI52" i="3" a="1"/>
  <c r="EP52" i="3" a="1"/>
  <c r="HY52" i="3" a="1"/>
  <c r="HL52" i="3" a="1"/>
  <c r="AK66" i="3" a="1"/>
  <c r="GJ24" i="3" a="1"/>
  <c r="BK24" i="3" a="1"/>
  <c r="FL66" i="3" a="1"/>
  <c r="ER52" i="3" a="1"/>
  <c r="HD24" i="3" a="1"/>
  <c r="BN52" i="3" a="1"/>
  <c r="ET52" i="3" a="1"/>
  <c r="CZ66" i="3" a="1"/>
  <c r="AG66" i="3" a="1"/>
  <c r="BA66" i="3" a="1"/>
  <c r="DG24" i="3" a="1"/>
  <c r="ED24" i="3" a="1"/>
  <c r="FI66" i="3" a="1"/>
  <c r="CA52" i="3" a="1"/>
  <c r="GZ24" i="3" a="1"/>
  <c r="FA52" i="3" a="1"/>
  <c r="HK52" i="3" a="1"/>
  <c r="DS24" i="3" a="1"/>
  <c r="BS24" i="3" a="1"/>
  <c r="DK66" i="3" a="1"/>
  <c r="GN66" i="3" a="1"/>
  <c r="GX66" i="3" a="1"/>
  <c r="AQ52" i="3" a="1"/>
  <c r="BI52" i="3" a="1"/>
  <c r="DM24" i="3" a="1"/>
  <c r="HU52" i="3" a="1"/>
  <c r="CP24" i="3" a="1"/>
  <c r="BP66" i="3" a="1"/>
  <c r="V52" i="3" a="1"/>
  <c r="EC52" i="3" a="1"/>
  <c r="IG52" i="3" a="1"/>
  <c r="CG66" i="3" a="1"/>
  <c r="J52" i="3" a="1"/>
  <c r="EP24" i="3" a="1"/>
  <c r="FY24" i="3" a="1"/>
  <c r="AS52" i="3" a="1"/>
  <c r="GN24" i="3" a="1"/>
  <c r="AG24" i="3" a="1"/>
  <c r="HS52" i="3" a="1"/>
  <c r="ET24" i="3" a="1"/>
  <c r="DC52" i="3" a="1"/>
  <c r="AM24" i="3" a="1"/>
  <c r="HP24" i="3" a="1"/>
  <c r="DE24" i="3" a="1"/>
  <c r="AQ24" i="3" a="1"/>
  <c r="HG24" i="3" a="1"/>
  <c r="BJ66" i="3" a="1"/>
  <c r="AH24" i="3" a="1"/>
  <c r="FS66" i="3" a="1"/>
  <c r="FQ24" i="3" a="1"/>
  <c r="AB24" i="3" a="1"/>
  <c r="FW24" i="3" a="1"/>
  <c r="EM24" i="3" a="1"/>
  <c r="HH66" i="3" a="1"/>
  <c r="EM66" i="3" a="1"/>
  <c r="HM52" i="3" a="1"/>
  <c r="FJ66" i="3" a="1"/>
  <c r="GS24" i="3" a="1"/>
  <c r="IG66" i="3" a="1"/>
  <c r="HD52" i="3" a="1"/>
  <c r="AJ66" i="3" a="1"/>
  <c r="GT52" i="3" a="1"/>
  <c r="BX24" i="3" a="1"/>
  <c r="CO24" i="3" a="1"/>
  <c r="FF66" i="3" a="1"/>
  <c r="EY24" i="3" a="1"/>
  <c r="BQ24" i="3" a="1"/>
  <c r="X66" i="3" a="1"/>
  <c r="IE66" i="3" a="1"/>
  <c r="FQ66" i="3" a="1"/>
  <c r="CV24" i="3" a="1"/>
  <c r="DV66" i="3" a="1"/>
  <c r="DO66" i="3" a="1"/>
  <c r="HN24" i="3" a="1"/>
  <c r="DF24" i="3" a="1"/>
  <c r="CD52" i="3" a="1"/>
  <c r="HY24" i="3" a="1"/>
  <c r="HQ24" i="3" a="1"/>
  <c r="AH66" i="3" a="1"/>
  <c r="BM66" i="3" a="1"/>
  <c r="HO52" i="3" a="1"/>
  <c r="HX52" i="3" a="1"/>
  <c r="HC66" i="3" a="1"/>
  <c r="GI24" i="3" a="1"/>
  <c r="DE52" i="3" a="1"/>
  <c r="BC66" i="3" a="1"/>
  <c r="FX52" i="3" a="1"/>
  <c r="BR24" i="3" a="1"/>
  <c r="BM24" i="3" a="1"/>
  <c r="IC52" i="3" a="1"/>
  <c r="FK52" i="3" a="1"/>
  <c r="AO66" i="3" a="1"/>
  <c r="EV66" i="3" a="1"/>
  <c r="AA24" i="3" a="1"/>
  <c r="S24" i="3" a="1"/>
  <c r="HR52" i="3" a="1"/>
  <c r="IB66" i="3" a="1"/>
  <c r="E66" i="3" a="1"/>
  <c r="AI24" i="3" a="1"/>
  <c r="BX52" i="3" a="1"/>
  <c r="BY66" i="3" a="1"/>
  <c r="FN66" i="3" a="1"/>
  <c r="AS24" i="3" a="1"/>
  <c r="EA66" i="3" a="1"/>
  <c r="FY52" i="3" a="1"/>
  <c r="CK66" i="3" a="1"/>
  <c r="GK66" i="3" a="1"/>
  <c r="CS66" i="3" a="1"/>
  <c r="CS24" i="3" a="1"/>
  <c r="I66" i="3" a="1"/>
  <c r="FO66" i="3" a="1"/>
  <c r="FD24" i="3" a="1"/>
  <c r="M52" i="3" a="1"/>
  <c r="FK24" i="3" a="1"/>
  <c r="HC24" i="3" a="1"/>
  <c r="EW66" i="3" a="1"/>
  <c r="DD66" i="3" a="1"/>
  <c r="EP66" i="3" a="1"/>
  <c r="HK66" i="3" a="1"/>
  <c r="CK24" i="3" a="1"/>
  <c r="FV66" i="3" a="1"/>
  <c r="DW24" i="3" a="1"/>
  <c r="DX66" i="3" a="1"/>
  <c r="X24" i="3" a="1"/>
  <c r="DJ24" i="3" a="1"/>
  <c r="HN66" i="3" a="1"/>
  <c r="DA66" i="3" a="1"/>
  <c r="EL24" i="3" a="1"/>
  <c r="DH66" i="3" a="1"/>
  <c r="CM66" i="3" a="1"/>
  <c r="FR24" i="3" a="1"/>
  <c r="GU52" i="3" a="1"/>
  <c r="IA66" i="3" a="1"/>
  <c r="AC66" i="3" a="1"/>
  <c r="AC52" i="3" a="1"/>
  <c r="AL66" i="3" a="1"/>
  <c r="AY52" i="3" a="1"/>
  <c r="HO66" i="3" a="1"/>
  <c r="CC52" i="3" a="1"/>
  <c r="T66" i="3" a="1"/>
  <c r="IC24" i="3" a="1"/>
  <c r="CN24" i="3" a="1"/>
  <c r="AX52" i="3" a="1"/>
  <c r="FS52" i="3" a="1"/>
  <c r="DN52" i="3" a="1"/>
  <c r="BJ24" i="3" a="1"/>
  <c r="CL52" i="3" a="1"/>
  <c r="CG52" i="3" a="1"/>
  <c r="BO52" i="3" a="1"/>
  <c r="AN66" i="3" a="1"/>
  <c r="AU24" i="3" a="1"/>
  <c r="HI52" i="3" a="1"/>
  <c r="HV24" i="3" a="1"/>
  <c r="FA24" i="3" a="1"/>
  <c r="W52" i="3" a="1"/>
  <c r="GG52" i="3" a="1"/>
  <c r="GT66" i="3" a="1"/>
  <c r="AN24" i="3" a="1"/>
  <c r="DC24" i="3" a="1"/>
  <c r="CH66" i="3" a="1"/>
  <c r="HU66" i="3" a="1"/>
  <c r="AV52" i="3" a="1"/>
  <c r="AO24" i="3" a="1"/>
  <c r="EJ52" i="3" a="1"/>
  <c r="FX66" i="3" a="1"/>
  <c r="GK52" i="3" a="1"/>
  <c r="CZ24" i="3" a="1"/>
  <c r="GZ66" i="3" a="1"/>
  <c r="CT66" i="3" a="1"/>
  <c r="CR66" i="3" a="1"/>
  <c r="BN66" i="3" a="1"/>
  <c r="CL24" i="3" a="1"/>
  <c r="HB24" i="3" a="1"/>
  <c r="BW66" i="3" a="1"/>
  <c r="DQ24" i="3" a="1"/>
  <c r="HH24" i="3" a="1"/>
  <c r="DR24" i="3" a="1"/>
  <c r="DI24" i="3" a="1"/>
  <c r="BK52" i="3" a="1"/>
  <c r="DW52" i="3" a="1"/>
  <c r="BI66" i="3" a="1"/>
  <c r="GH66" i="3" a="1"/>
  <c r="CL66" i="3" a="1"/>
  <c r="HG52" i="3" a="1"/>
  <c r="AH52" i="3" a="1"/>
  <c r="DV52" i="3" a="1"/>
  <c r="DM66" i="3" a="1"/>
  <c r="F52" i="3" a="1"/>
  <c r="EK24" i="3" a="1"/>
  <c r="CF52" i="3" a="1"/>
  <c r="CG24" i="3" a="1"/>
  <c r="FH66" i="3" a="1"/>
  <c r="BE52" i="3" a="1"/>
  <c r="CR52" i="3" a="1"/>
  <c r="CN52" i="3" a="1"/>
  <c r="BZ24" i="3" a="1"/>
  <c r="EU52" i="3" a="1"/>
  <c r="CY66" i="3" a="1"/>
  <c r="DE66" i="3" a="1"/>
  <c r="AZ66" i="3" a="1"/>
  <c r="EO24" i="3" a="1"/>
  <c r="GH52" i="3" a="1"/>
  <c r="GS66" i="3" a="1"/>
  <c r="CB24" i="3" a="1"/>
  <c r="Y52" i="3" a="1"/>
  <c r="CZ52" i="3" a="1"/>
  <c r="EU66" i="3" a="1"/>
  <c r="Q52" i="3" a="1"/>
  <c r="IC66" i="3" a="1"/>
  <c r="G52" i="3" a="1"/>
  <c r="DK52" i="3" a="1"/>
  <c r="GY52" i="3" a="1"/>
  <c r="FH52" i="3" a="1"/>
  <c r="AD24" i="3" a="1"/>
  <c r="BB24" i="3" a="1"/>
  <c r="GV24" i="3" a="1"/>
  <c r="BM52" i="3" a="1"/>
  <c r="U52" i="3" a="1"/>
  <c r="DO24" i="3" a="1"/>
  <c r="EV52" i="3" a="1"/>
  <c r="E52" i="3" a="1"/>
  <c r="FU66" i="3" a="1"/>
  <c r="BF66" i="3" a="1"/>
  <c r="CF66" i="3" a="1"/>
  <c r="FA66" i="3" a="1"/>
  <c r="BO66" i="3" a="1"/>
  <c r="EA52" i="3" a="1"/>
  <c r="AR52" i="3" a="1"/>
  <c r="EI66" i="3" a="1"/>
  <c r="BR52" i="3" a="1"/>
  <c r="FY66" i="3" a="1"/>
  <c r="BC24" i="3" a="1"/>
  <c r="BS52" i="3" a="1"/>
  <c r="FM66" i="3" a="1"/>
  <c r="FG66" i="3" a="1"/>
  <c r="BW24" i="3" a="1"/>
  <c r="CK52" i="3" a="1"/>
  <c r="CF24" i="3" a="1"/>
  <c r="Z52" i="3" a="1"/>
  <c r="EB24" i="3" a="1"/>
  <c r="DH24" i="3" a="1"/>
  <c r="HO24" i="3" a="1"/>
  <c r="BL24" i="3" a="1"/>
  <c r="FH24" i="3" a="1"/>
  <c r="F66" i="3" a="1"/>
  <c r="IB52" i="3" a="1"/>
  <c r="CE66" i="3" a="1"/>
  <c r="GL24" i="3" a="1"/>
  <c r="FM24" i="3" a="1"/>
  <c r="GP66" i="3" a="1"/>
  <c r="GJ52" i="3" a="1"/>
  <c r="EW24" i="3" a="1"/>
  <c r="CS52" i="3" a="1"/>
  <c r="AI52" i="3" a="1"/>
  <c r="GU24" i="3" a="1"/>
  <c r="HN52" i="3" a="1"/>
  <c r="FZ52" i="3" a="1"/>
  <c r="BW52" i="3" a="1"/>
  <c r="CV52" i="3" a="1"/>
  <c r="AE24" i="3" a="1"/>
  <c r="GE52" i="3" a="1"/>
  <c r="FW52" i="3" a="1"/>
  <c r="GW66" i="3" a="1"/>
  <c r="HG66" i="3" a="1"/>
  <c r="AD66" i="3" a="1"/>
  <c r="AW24" i="3" a="1"/>
  <c r="AA66" i="3" a="1"/>
  <c r="AW52" i="3" a="1"/>
  <c r="HA66" i="3" a="1"/>
  <c r="GZ52" i="3" a="1"/>
  <c r="DA52" i="3" a="1"/>
  <c r="ED66" i="3" a="1"/>
  <c r="BK66" i="3" a="1"/>
  <c r="DC66" i="3" a="1"/>
  <c r="CA24" i="3" a="1"/>
  <c r="EJ24" i="3" a="1"/>
  <c r="GB52" i="3" a="1"/>
  <c r="DM52" i="3" a="1"/>
  <c r="FT24" i="3" a="1"/>
  <c r="Z24" i="3" a="1"/>
  <c r="BU66" i="3" a="1"/>
  <c r="EI52" i="3" a="1"/>
  <c r="FI24" i="3" a="1"/>
  <c r="FR52" i="3" a="1"/>
  <c r="GG24" i="3" a="1"/>
  <c r="ID66" i="3" a="1"/>
  <c r="BA24" i="3" a="1"/>
  <c r="GJ66" i="3" a="1"/>
  <c r="HP66" i="3" a="1"/>
  <c r="CH52" i="3" a="1"/>
  <c r="HJ66" i="3" a="1"/>
  <c r="BS66" i="3" a="1"/>
  <c r="FL24" i="3" a="1"/>
  <c r="HY66" i="3" a="1"/>
  <c r="K66" i="3" a="1"/>
  <c r="FJ52" i="3" a="1"/>
  <c r="EG66" i="3" a="1"/>
  <c r="FG52" i="3" a="1"/>
  <c r="HA52" i="3" a="1"/>
  <c r="FN52" i="3" a="1"/>
  <c r="GO66" i="3" a="1"/>
  <c r="EE52" i="3" a="1"/>
  <c r="EG52" i="3" a="1"/>
  <c r="DF66" i="3" a="1"/>
  <c r="HI24" i="3" a="1"/>
  <c r="U66" i="3" a="1"/>
  <c r="EV24" i="3" a="1"/>
  <c r="FU52" i="3" a="1"/>
  <c r="DY24" i="3" a="1"/>
  <c r="HP52" i="3" a="1"/>
  <c r="FL52" i="3" a="1"/>
  <c r="AL24" i="3" a="1"/>
  <c r="DP66" i="3" a="1"/>
  <c r="L52" i="3" a="1"/>
  <c r="IB24" i="3" a="1"/>
  <c r="EB52" i="3" a="1"/>
  <c r="BL66" i="3" a="1"/>
  <c r="FM52" i="3" a="1"/>
  <c r="BT66" i="3" a="1"/>
  <c r="BO24" i="3" a="1"/>
  <c r="EI24" i="3" a="1"/>
  <c r="AB66" i="3" a="1"/>
  <c r="EL66" i="3" a="1"/>
  <c r="ES66" i="3" a="1"/>
  <c r="GO52" i="3" a="1"/>
  <c r="GU66" i="3" a="1"/>
  <c r="AP24" i="3" a="1"/>
  <c r="FZ66" i="3" a="1"/>
  <c r="HW52" i="3" a="1"/>
  <c r="DQ52" i="3" a="1"/>
  <c r="GA52" i="3" a="1"/>
  <c r="GA24" i="3" a="1"/>
  <c r="DJ66" i="3" a="1"/>
  <c r="CV66" i="3" a="1"/>
  <c r="ET66" i="3" a="1"/>
  <c r="HX66" i="3" a="1"/>
  <c r="BZ66" i="3" a="1"/>
  <c r="BA52" i="3" a="1"/>
  <c r="AQ66" i="3" a="1"/>
  <c r="K52" i="3" a="1"/>
  <c r="GM52" i="3" a="1"/>
  <c r="GW52" i="3" a="1"/>
  <c r="CU52" i="3" a="1"/>
  <c r="AA52" i="3" a="1"/>
  <c r="BI24" i="3" a="1"/>
  <c r="GH24" i="3" a="1"/>
  <c r="M66" i="3" a="1"/>
  <c r="GV66" i="3" a="1"/>
  <c r="EO66" i="3" a="1"/>
  <c r="GX52" i="3" a="1"/>
  <c r="DB52" i="3" a="1"/>
  <c r="HZ66" i="3" a="1"/>
  <c r="GB24" i="3" a="1"/>
  <c r="FD66" i="3" a="1"/>
  <c r="FE24" i="3" a="1"/>
  <c r="GQ24" i="3" a="1"/>
  <c r="EE66" i="3" a="1"/>
  <c r="GA66" i="3" a="1"/>
  <c r="DI66" i="3" a="1"/>
  <c r="DT52" i="3" a="1"/>
  <c r="AX66" i="3" a="1"/>
  <c r="CT52" i="3" a="1"/>
  <c r="DY66" i="3" a="1"/>
  <c r="GY24" i="3" a="1"/>
  <c r="GY66" i="3" a="1"/>
  <c r="CC66" i="3" a="1"/>
  <c r="DT24" i="3" a="1"/>
  <c r="BQ52" i="3" a="1"/>
  <c r="BP52" i="3" a="1"/>
  <c r="CH24" i="3" a="1"/>
  <c r="DU24" i="3" a="1"/>
  <c r="CM52" i="3" a="1"/>
  <c r="AV24" i="3" a="1"/>
  <c r="HE66" i="3" a="1"/>
  <c r="GI52" i="3" a="1"/>
  <c r="EF66" i="3" a="1"/>
  <c r="H66" i="3" a="1"/>
  <c r="AS66" i="3" a="1"/>
  <c r="G66" i="3" a="1"/>
  <c r="EM52" i="3" a="1"/>
  <c r="FV24" i="3" a="1"/>
  <c r="HQ66" i="3" a="1"/>
  <c r="FF52" i="3" a="1"/>
  <c r="AO52" i="3" a="1"/>
  <c r="DV24" i="3" a="1"/>
  <c r="EZ66" i="3" a="1"/>
  <c r="HR66" i="3" a="1"/>
  <c r="ER66" i="3" a="1"/>
  <c r="FS24" i="3" a="1"/>
  <c r="FX24" i="3" a="1"/>
  <c r="DX24" i="3" a="1"/>
  <c r="CU24" i="3" a="1"/>
  <c r="HW66" i="3" a="1"/>
  <c r="BU52" i="3" a="1"/>
  <c r="HJ24" i="3" a="1"/>
  <c r="GP52" i="3" a="1"/>
  <c r="BD66" i="3" a="1"/>
  <c r="EK52" i="3" a="1"/>
  <c r="ED52" i="3" a="1"/>
  <c r="HM66" i="3" a="1"/>
  <c r="EX52" i="3" a="1"/>
  <c r="HS24" i="3" a="1"/>
  <c r="GO24" i="3" a="1"/>
  <c r="AN52" i="3" a="1"/>
  <c r="P66" i="3" a="1"/>
  <c r="T52" i="3" a="1"/>
  <c r="CO66" i="3" a="1"/>
  <c r="HV52" i="3" a="1"/>
  <c r="IA52" i="3" a="1"/>
  <c r="EC66" i="3" a="1"/>
  <c r="HL24" i="3" a="1"/>
  <c r="AZ52" i="3" a="1"/>
  <c r="HD66" i="3" a="1"/>
  <c r="BT24" i="3" a="1"/>
  <c r="BQ66" i="3" a="1"/>
  <c r="BB52" i="3" a="1"/>
  <c r="DN24" i="3" a="1"/>
  <c r="EY66" i="3" a="1"/>
  <c r="FO52" i="3" a="1"/>
  <c r="AM66" i="3" a="1"/>
  <c r="GW24" i="3" a="1"/>
  <c r="BB66" i="3" a="1"/>
  <c r="EH52" i="3" a="1"/>
  <c r="O52" i="3" a="1"/>
  <c r="CN66" i="3" a="1"/>
  <c r="DY52" i="3" a="1"/>
  <c r="AC24" i="3" a="1"/>
  <c r="EO52" i="3" a="1"/>
  <c r="FU24" i="3" a="1"/>
  <c r="GQ66" i="3" a="1"/>
  <c r="DO52" i="3" a="1"/>
  <c r="Y66" i="3" a="1"/>
  <c r="HE24" i="3" a="1"/>
  <c r="BF52" i="3" a="1"/>
  <c r="GF24" i="3" a="1"/>
  <c r="GL52" i="3" a="1"/>
  <c r="CW52" i="3" a="1"/>
  <c r="GF52" i="3" a="1"/>
  <c r="F57" i="5" l="1"/>
  <c r="F56" i="5"/>
  <c r="F55" i="5"/>
  <c r="F91" i="5"/>
  <c r="F93" i="5"/>
  <c r="F92" i="5"/>
  <c r="F63" i="5"/>
  <c r="F64" i="5"/>
  <c r="F65" i="5"/>
  <c r="F95" i="5"/>
  <c r="F96" i="5"/>
  <c r="F97" i="5"/>
  <c r="F72" i="5"/>
  <c r="F71" i="5"/>
  <c r="F73" i="5"/>
  <c r="F88" i="5"/>
  <c r="F89" i="5"/>
  <c r="F87" i="5"/>
  <c r="F68" i="5"/>
  <c r="F67" i="5"/>
  <c r="F69" i="5"/>
  <c r="F85" i="5"/>
  <c r="F83" i="5"/>
  <c r="F84" i="5"/>
  <c r="F101" i="5"/>
  <c r="F99" i="5"/>
  <c r="F100" i="5"/>
  <c r="F61" i="5"/>
  <c r="F59" i="5"/>
  <c r="F60" i="5"/>
  <c r="B2" i="10" a="1"/>
  <c r="L6" i="2" a="1"/>
  <c r="L6" i="2" s="1"/>
  <c r="N175" i="2" a="1"/>
  <c r="N175" i="2" s="1"/>
  <c r="P27" i="2"/>
  <c r="Q13" i="3"/>
  <c r="O47" i="2"/>
  <c r="Q16" i="3"/>
  <c r="O33" i="2"/>
  <c r="O38" i="2"/>
  <c r="Q15" i="3"/>
  <c r="P29" i="2"/>
  <c r="O30" i="2"/>
  <c r="P39" i="2"/>
  <c r="V27" i="2" s="1"/>
  <c r="P31" i="2"/>
  <c r="P41" i="2"/>
  <c r="P46" i="2"/>
  <c r="P32" i="2"/>
  <c r="O35" i="2"/>
  <c r="O32" i="2"/>
  <c r="O45" i="2"/>
  <c r="O42" i="2"/>
  <c r="P47" i="2"/>
  <c r="P34" i="2"/>
  <c r="O36" i="2"/>
  <c r="O27" i="2"/>
  <c r="P42" i="2"/>
  <c r="O43" i="2"/>
  <c r="O46" i="2"/>
  <c r="P30" i="2"/>
  <c r="O31" i="2"/>
  <c r="P35" i="2"/>
  <c r="P28" i="2"/>
  <c r="P40" i="2"/>
  <c r="O41" i="2"/>
  <c r="P45" i="2"/>
  <c r="P38" i="2"/>
  <c r="O29" i="2"/>
  <c r="P33" i="2"/>
  <c r="Q33" i="2" s="1"/>
  <c r="O34" i="2"/>
  <c r="P36" i="2"/>
  <c r="O37" i="2"/>
  <c r="O39" i="2"/>
  <c r="P43" i="2"/>
  <c r="O44" i="2"/>
  <c r="P37" i="2"/>
  <c r="O28" i="2"/>
  <c r="O40" i="2"/>
  <c r="P44" i="2"/>
  <c r="T26" i="3"/>
  <c r="J14" i="7" a="1"/>
  <c r="J14" i="7" s="1"/>
  <c r="E14" i="7" a="1"/>
  <c r="E14" i="7" s="1"/>
  <c r="C15" i="7" a="1"/>
  <c r="C15" i="7" s="1"/>
  <c r="G15" i="7" s="1" a="1"/>
  <c r="G15" i="7" s="1"/>
  <c r="H14" i="7"/>
  <c r="J79" i="5" a="1"/>
  <c r="J79" i="5" s="1"/>
  <c r="E13" i="5"/>
  <c r="E14" i="5" s="1"/>
  <c r="J88" i="5" a="1"/>
  <c r="J88" i="5" s="1"/>
  <c r="J76" i="5" a="1"/>
  <c r="J76" i="5" s="1"/>
  <c r="J65" i="5" a="1"/>
  <c r="J65" i="5" s="1"/>
  <c r="J80" i="5" a="1"/>
  <c r="J80" i="5" s="1"/>
  <c r="J75" i="5" a="1"/>
  <c r="J75" i="5" s="1"/>
  <c r="J83" i="5" a="1"/>
  <c r="J83" i="5" s="1"/>
  <c r="J61" i="5" a="1"/>
  <c r="J61" i="5" s="1"/>
  <c r="J56" i="5" a="1"/>
  <c r="J56" i="5" s="1"/>
  <c r="J67" i="5" a="1"/>
  <c r="J67" i="5" s="1"/>
  <c r="J84" i="5" a="1"/>
  <c r="J84" i="5" s="1"/>
  <c r="J59" i="5" a="1"/>
  <c r="J59" i="5" s="1"/>
  <c r="J64" i="5" a="1"/>
  <c r="J64" i="5" s="1"/>
  <c r="J71" i="5" a="1"/>
  <c r="J71" i="5" s="1"/>
  <c r="J100" i="5" a="1"/>
  <c r="J100" i="5" s="1"/>
  <c r="J72" i="5" a="1"/>
  <c r="J72" i="5" s="1"/>
  <c r="J77" i="5" a="1"/>
  <c r="J77" i="5" s="1"/>
  <c r="J93" i="5" a="1"/>
  <c r="J93" i="5" s="1"/>
  <c r="J68" i="5" a="1"/>
  <c r="J68" i="5" s="1"/>
  <c r="J60" i="5" a="1"/>
  <c r="J60" i="5" s="1"/>
  <c r="J91" i="5" a="1"/>
  <c r="J91" i="5" s="1"/>
  <c r="J89" i="5" a="1"/>
  <c r="J89" i="5" s="1"/>
  <c r="J81" i="5" a="1"/>
  <c r="J81" i="5" s="1"/>
  <c r="J73" i="5" a="1"/>
  <c r="J73" i="5" s="1"/>
  <c r="J57" i="5" a="1"/>
  <c r="J57" i="5" s="1"/>
  <c r="J92" i="5" a="1"/>
  <c r="J92" i="5" s="1"/>
  <c r="J95" i="5" a="1"/>
  <c r="J95" i="5" s="1"/>
  <c r="J87" i="5" a="1"/>
  <c r="J87" i="5" s="1"/>
  <c r="J97" i="5" a="1"/>
  <c r="J97" i="5" s="1"/>
  <c r="J55" i="5" a="1"/>
  <c r="J55" i="5" s="1"/>
  <c r="J69" i="5" a="1"/>
  <c r="J69" i="5" s="1"/>
  <c r="J101" i="5" a="1"/>
  <c r="J101" i="5" s="1"/>
  <c r="J99" i="5" a="1"/>
  <c r="J99" i="5" s="1"/>
  <c r="J85" i="5" a="1"/>
  <c r="J85" i="5" s="1"/>
  <c r="J96" i="5" a="1"/>
  <c r="J96" i="5" s="1"/>
  <c r="J63" i="5" a="1"/>
  <c r="J63" i="5" s="1"/>
  <c r="V54" i="3"/>
  <c r="AA54" i="3"/>
  <c r="AD54" i="3"/>
  <c r="AE12" i="3"/>
  <c r="AB26" i="3"/>
  <c r="U12" i="3"/>
  <c r="AC54" i="3"/>
  <c r="Z26" i="3"/>
  <c r="U54" i="3"/>
  <c r="AC12" i="3"/>
  <c r="AC26" i="3"/>
  <c r="S54" i="3"/>
  <c r="D13" i="7"/>
  <c r="I13" i="7" s="1" a="1"/>
  <c r="I13" i="7" s="1"/>
  <c r="F13" i="7"/>
  <c r="K13" i="7" a="1"/>
  <c r="K13" i="7" s="1"/>
  <c r="L13" i="7" a="1"/>
  <c r="L13" i="7" s="1"/>
  <c r="AA13" i="7"/>
  <c r="Z13" i="7"/>
  <c r="AD13" i="7"/>
  <c r="AC13" i="7"/>
  <c r="AB13" i="7"/>
  <c r="FH66" i="3"/>
  <c r="AC52" i="3"/>
  <c r="DF66" i="3"/>
  <c r="ID66" i="3"/>
  <c r="HE66" i="3"/>
  <c r="HM24" i="3"/>
  <c r="BS52" i="3"/>
  <c r="EA24" i="3"/>
  <c r="AL66" i="3"/>
  <c r="CP66" i="3"/>
  <c r="DY52" i="3"/>
  <c r="CB52" i="3"/>
  <c r="AJ66" i="3"/>
  <c r="DT24" i="3"/>
  <c r="HZ66" i="3"/>
  <c r="CW66" i="3"/>
  <c r="IE24" i="3"/>
  <c r="BQ52" i="3"/>
  <c r="O52" i="3"/>
  <c r="K96" i="5" s="1" a="1"/>
  <c r="K96" i="5" s="1"/>
  <c r="CN52" i="3"/>
  <c r="HD66" i="3"/>
  <c r="HR52" i="3"/>
  <c r="AH66" i="3"/>
  <c r="HN52" i="3"/>
  <c r="HP24" i="3"/>
  <c r="DM52" i="3"/>
  <c r="T52" i="3"/>
  <c r="BN52" i="3"/>
  <c r="AR52" i="3"/>
  <c r="CU24" i="3"/>
  <c r="FU52" i="3"/>
  <c r="CQ52" i="3"/>
  <c r="HN66" i="3"/>
  <c r="AQ24" i="3"/>
  <c r="CQ24" i="3"/>
  <c r="AQ66" i="3"/>
  <c r="AU52" i="3"/>
  <c r="Z66" i="3"/>
  <c r="BU52" i="3"/>
  <c r="CM24" i="3"/>
  <c r="GO24" i="3"/>
  <c r="ER52" i="3"/>
  <c r="BZ52" i="3"/>
  <c r="HL66" i="3"/>
  <c r="FQ66" i="3"/>
  <c r="ER66" i="3"/>
  <c r="T24" i="3"/>
  <c r="HA66" i="3"/>
  <c r="ED52" i="3"/>
  <c r="HS52" i="3"/>
  <c r="FU24" i="3"/>
  <c r="CB66" i="3"/>
  <c r="FI24" i="3"/>
  <c r="FW24" i="3"/>
  <c r="HR24" i="3"/>
  <c r="CG24" i="3"/>
  <c r="HS24" i="3"/>
  <c r="IC24" i="3"/>
  <c r="AA52" i="3"/>
  <c r="DR66" i="3"/>
  <c r="AX66" i="3"/>
  <c r="GK52" i="3"/>
  <c r="HL24" i="3"/>
  <c r="AP66" i="3"/>
  <c r="BL24" i="3"/>
  <c r="AG24" i="3"/>
  <c r="EJ52" i="3"/>
  <c r="ID52" i="3"/>
  <c r="DP66" i="3"/>
  <c r="EO24" i="3"/>
  <c r="BB52" i="3"/>
  <c r="EI52" i="3"/>
  <c r="DM66" i="3"/>
  <c r="FK66" i="3"/>
  <c r="DV24" i="3"/>
  <c r="V66" i="3"/>
  <c r="DC24" i="3"/>
  <c r="GW66" i="3"/>
  <c r="CN24" i="3"/>
  <c r="AD52" i="3"/>
  <c r="HW66" i="3"/>
  <c r="CF52" i="3"/>
  <c r="HQ24" i="3"/>
  <c r="EO52" i="3"/>
  <c r="GL24" i="3"/>
  <c r="AV52" i="3"/>
  <c r="IG66" i="3"/>
  <c r="EB52" i="3"/>
  <c r="HO24" i="3"/>
  <c r="BZ24" i="3"/>
  <c r="FI52" i="3"/>
  <c r="GF66" i="3"/>
  <c r="BA24" i="3"/>
  <c r="BC52" i="3"/>
  <c r="DN52" i="3"/>
  <c r="BS24" i="3"/>
  <c r="FR52" i="3"/>
  <c r="FV66" i="3"/>
  <c r="BS66" i="3"/>
  <c r="CC52" i="3"/>
  <c r="HG24" i="3"/>
  <c r="DG24" i="3"/>
  <c r="FF24" i="3"/>
  <c r="DA52" i="3"/>
  <c r="CK66" i="3"/>
  <c r="AH24" i="3"/>
  <c r="GQ66" i="3"/>
  <c r="IC52" i="3"/>
  <c r="AO24" i="3"/>
  <c r="J52" i="3"/>
  <c r="K76" i="5" s="1" a="1"/>
  <c r="K76" i="5" s="1"/>
  <c r="U52" i="3"/>
  <c r="DE24" i="3"/>
  <c r="GG52" i="3"/>
  <c r="HZ24" i="3"/>
  <c r="CK24" i="3"/>
  <c r="FK24" i="3"/>
  <c r="K52" i="3"/>
  <c r="K80" i="5" s="1" a="1"/>
  <c r="K80" i="5" s="1"/>
  <c r="CD66" i="3"/>
  <c r="AB24" i="3"/>
  <c r="GC52" i="3"/>
  <c r="GE52" i="3"/>
  <c r="G52" i="3"/>
  <c r="K64" i="5" s="1" a="1"/>
  <c r="K64" i="5" s="1"/>
  <c r="FR66" i="3"/>
  <c r="HM52" i="3"/>
  <c r="GF52" i="3"/>
  <c r="EP66" i="3"/>
  <c r="GJ52" i="3"/>
  <c r="FZ66" i="3"/>
  <c r="FJ66" i="3"/>
  <c r="FO66" i="3"/>
  <c r="AX24" i="3"/>
  <c r="S66" i="3"/>
  <c r="EV66" i="3"/>
  <c r="CE24" i="3"/>
  <c r="FX66" i="3"/>
  <c r="HM66" i="3"/>
  <c r="DU24" i="3"/>
  <c r="FW66" i="3"/>
  <c r="HB66" i="3"/>
  <c r="X24" i="3"/>
  <c r="BW66" i="3"/>
  <c r="BR52" i="3"/>
  <c r="EK24" i="3"/>
  <c r="HY52" i="3"/>
  <c r="BG66" i="3"/>
  <c r="E66" i="3"/>
  <c r="K57" i="5" s="1" a="1"/>
  <c r="K57" i="5" s="1"/>
  <c r="GX24" i="3"/>
  <c r="M66" i="3"/>
  <c r="K89" i="5" s="1" a="1"/>
  <c r="K89" i="5" s="1"/>
  <c r="BJ24" i="3"/>
  <c r="EJ66" i="3"/>
  <c r="GN66" i="3"/>
  <c r="IB24" i="3"/>
  <c r="EZ66" i="3"/>
  <c r="CM52" i="3"/>
  <c r="GI66" i="3"/>
  <c r="GZ52" i="3"/>
  <c r="GT66" i="3"/>
  <c r="EF24" i="3"/>
  <c r="Y66" i="3"/>
  <c r="BT66" i="3"/>
  <c r="CA52" i="3"/>
  <c r="AW66" i="3"/>
  <c r="CN66" i="3"/>
  <c r="CB24" i="3"/>
  <c r="FA24" i="3"/>
  <c r="BL52" i="3"/>
  <c r="HY66" i="3"/>
  <c r="AR24" i="3"/>
  <c r="I52" i="3"/>
  <c r="K72" i="5" s="1" a="1"/>
  <c r="K72" i="5" s="1"/>
  <c r="CE66" i="3"/>
  <c r="IA24" i="3"/>
  <c r="DW24" i="3"/>
  <c r="AA66" i="3"/>
  <c r="HA52" i="3"/>
  <c r="BA52" i="3"/>
  <c r="ED24" i="3"/>
  <c r="GP24" i="3"/>
  <c r="HB24" i="3"/>
  <c r="G66" i="3"/>
  <c r="K65" i="5" s="1" a="1"/>
  <c r="K65" i="5" s="1"/>
  <c r="X52" i="3"/>
  <c r="DP24" i="3"/>
  <c r="HQ52" i="3"/>
  <c r="FX24" i="3"/>
  <c r="AU24" i="3"/>
  <c r="DQ66" i="3"/>
  <c r="EC52" i="3"/>
  <c r="BF52" i="3"/>
  <c r="BM52" i="3"/>
  <c r="HX24" i="3"/>
  <c r="DK24" i="3"/>
  <c r="GN52" i="3"/>
  <c r="CA66" i="3"/>
  <c r="EX66" i="3"/>
  <c r="EQ24" i="3"/>
  <c r="EM52" i="3"/>
  <c r="EG24" i="3"/>
  <c r="CR66" i="3"/>
  <c r="BQ66" i="3"/>
  <c r="GH24" i="3"/>
  <c r="CS66" i="3"/>
  <c r="FL24" i="3"/>
  <c r="AM24" i="3"/>
  <c r="BN66" i="3"/>
  <c r="IB52" i="3"/>
  <c r="BX66" i="3"/>
  <c r="DQ52" i="3"/>
  <c r="EK52" i="3"/>
  <c r="EP24" i="3"/>
  <c r="HH66" i="3"/>
  <c r="FC52" i="3"/>
  <c r="BW24" i="3"/>
  <c r="CD52" i="3"/>
  <c r="F52" i="3"/>
  <c r="EE24" i="3"/>
  <c r="CH24" i="3"/>
  <c r="HH52" i="3"/>
  <c r="EB66" i="3"/>
  <c r="GU52" i="3"/>
  <c r="EX24" i="3"/>
  <c r="M52" i="3"/>
  <c r="EM24" i="3"/>
  <c r="IF24" i="3"/>
  <c r="EI66" i="3"/>
  <c r="GG66" i="3"/>
  <c r="FY24" i="3"/>
  <c r="GJ24" i="3"/>
  <c r="HJ24" i="3"/>
  <c r="ES52" i="3"/>
  <c r="CT52" i="3"/>
  <c r="AX52" i="3"/>
  <c r="BG24" i="3"/>
  <c r="FG52" i="3"/>
  <c r="V52" i="3"/>
  <c r="GO66" i="3"/>
  <c r="ET66" i="3"/>
  <c r="EQ66" i="3"/>
  <c r="BB66" i="3"/>
  <c r="DX24" i="3"/>
  <c r="FS66" i="3"/>
  <c r="AN66" i="3"/>
  <c r="IE66" i="3"/>
  <c r="HS66" i="3"/>
  <c r="BA66" i="3"/>
  <c r="BE24" i="3"/>
  <c r="DS52" i="3"/>
  <c r="GM66" i="3"/>
  <c r="AG66" i="3"/>
  <c r="HP66" i="3"/>
  <c r="BF66" i="3"/>
  <c r="HU52" i="3"/>
  <c r="CG66" i="3"/>
  <c r="GF24" i="3"/>
  <c r="FG66" i="3"/>
  <c r="BO24" i="3"/>
  <c r="HE24" i="3"/>
  <c r="DY24" i="3"/>
  <c r="BO66" i="3"/>
  <c r="EL66" i="3"/>
  <c r="HG52" i="3"/>
  <c r="ES24" i="3"/>
  <c r="BN24" i="3"/>
  <c r="EF66" i="3"/>
  <c r="GY52" i="3"/>
  <c r="HV66" i="3"/>
  <c r="DV52" i="3"/>
  <c r="HQ66" i="3"/>
  <c r="FN24" i="3"/>
  <c r="HG66" i="3"/>
  <c r="AK66" i="3"/>
  <c r="HC66" i="3"/>
  <c r="BD66" i="3"/>
  <c r="ET52" i="3"/>
  <c r="DI66" i="3"/>
  <c r="CZ52" i="3"/>
  <c r="DR24" i="3"/>
  <c r="BE66" i="3"/>
  <c r="AV66" i="3"/>
  <c r="CI24" i="3"/>
  <c r="P66" i="3"/>
  <c r="FH24" i="3"/>
  <c r="FW52" i="3"/>
  <c r="Z52" i="3"/>
  <c r="CP52" i="3"/>
  <c r="DP52" i="3"/>
  <c r="HI66" i="3"/>
  <c r="BU24" i="3"/>
  <c r="AS24" i="3"/>
  <c r="O66" i="3"/>
  <c r="K97" i="5" s="1" a="1"/>
  <c r="K97" i="5" s="1"/>
  <c r="DK52" i="3"/>
  <c r="CC66" i="3"/>
  <c r="AK24" i="3"/>
  <c r="CP24" i="3"/>
  <c r="Q52" i="3"/>
  <c r="DB66" i="3"/>
  <c r="AY52" i="3"/>
  <c r="IF66" i="3"/>
  <c r="L52" i="3"/>
  <c r="FZ52" i="3"/>
  <c r="GY66" i="3"/>
  <c r="CV66" i="3"/>
  <c r="EL52" i="3"/>
  <c r="FT24" i="3"/>
  <c r="GQ24" i="3"/>
  <c r="GA52" i="3"/>
  <c r="CO24" i="3"/>
  <c r="BK24" i="3"/>
  <c r="GV24" i="3"/>
  <c r="CL24" i="3"/>
  <c r="BM24" i="3"/>
  <c r="BD24" i="3"/>
  <c r="U66" i="3"/>
  <c r="GP66" i="3"/>
  <c r="EQ52" i="3"/>
  <c r="DW66" i="3"/>
  <c r="AY24" i="3"/>
  <c r="EM66" i="3"/>
  <c r="HK52" i="3"/>
  <c r="AV24" i="3"/>
  <c r="AS66" i="3"/>
  <c r="CW52" i="3"/>
  <c r="AU66" i="3"/>
  <c r="DG52" i="3"/>
  <c r="DG66" i="3"/>
  <c r="FO24" i="3"/>
  <c r="AK52" i="3"/>
  <c r="GC66" i="3"/>
  <c r="EF52" i="3"/>
  <c r="I66" i="3"/>
  <c r="CS24" i="3"/>
  <c r="DT52" i="3"/>
  <c r="AC66" i="3"/>
  <c r="FE52" i="3"/>
  <c r="DS24" i="3"/>
  <c r="BO52" i="3"/>
  <c r="EI24" i="3"/>
  <c r="BG52" i="3"/>
  <c r="BY66" i="3"/>
  <c r="HK24" i="3"/>
  <c r="FS24" i="3"/>
  <c r="BP66" i="3"/>
  <c r="AZ52" i="3"/>
  <c r="FU66" i="3"/>
  <c r="AR66" i="3"/>
  <c r="HN24" i="3"/>
  <c r="T66" i="3"/>
  <c r="FL52" i="3"/>
  <c r="EV52" i="3"/>
  <c r="BJ52" i="3"/>
  <c r="DE66" i="3"/>
  <c r="FN66" i="3"/>
  <c r="CT24" i="3"/>
  <c r="CS52" i="3"/>
  <c r="DH66" i="3"/>
  <c r="DO66" i="3"/>
  <c r="IB66" i="3"/>
  <c r="BJ66" i="3"/>
  <c r="GS24" i="3"/>
  <c r="HD24" i="3"/>
  <c r="DH24" i="3"/>
  <c r="HP52" i="3"/>
  <c r="BT52" i="3"/>
  <c r="HY24" i="3"/>
  <c r="Z24" i="3"/>
  <c r="EJ24" i="3"/>
  <c r="EZ24" i="3"/>
  <c r="H52" i="3"/>
  <c r="K68" i="5" s="1" a="1"/>
  <c r="K68" i="5" s="1"/>
  <c r="FN52" i="3"/>
  <c r="ER24" i="3"/>
  <c r="FH52" i="3"/>
  <c r="GT52" i="3"/>
  <c r="DU52" i="3"/>
  <c r="GJ66" i="3"/>
  <c r="GI24" i="3"/>
  <c r="EC66" i="3"/>
  <c r="EY66" i="3"/>
  <c r="CI66" i="3"/>
  <c r="CO66" i="3"/>
  <c r="ED66" i="3"/>
  <c r="W24" i="3"/>
  <c r="HO52" i="3"/>
  <c r="Y24" i="3"/>
  <c r="AC24" i="3"/>
  <c r="HD52" i="3"/>
  <c r="FV52" i="3"/>
  <c r="DM24" i="3"/>
  <c r="AI66" i="3"/>
  <c r="FK52" i="3"/>
  <c r="DA66" i="3"/>
  <c r="FJ24" i="3"/>
  <c r="BC24" i="3"/>
  <c r="GN24" i="3"/>
  <c r="EH52" i="3"/>
  <c r="AM52" i="3"/>
  <c r="CL52" i="3"/>
  <c r="DC52" i="3"/>
  <c r="HV52" i="3"/>
  <c r="HV24" i="3"/>
  <c r="BR66" i="3"/>
  <c r="DD52" i="3"/>
  <c r="FX52" i="3"/>
  <c r="CO52" i="3"/>
  <c r="GA24" i="3"/>
  <c r="EO66" i="3"/>
  <c r="DN66" i="3"/>
  <c r="AG52" i="3"/>
  <c r="GB66" i="3"/>
  <c r="FQ24" i="3"/>
  <c r="BF24" i="3"/>
  <c r="AI52" i="3"/>
  <c r="CE52" i="3"/>
  <c r="FJ52" i="3"/>
  <c r="HK66" i="3"/>
  <c r="HX66" i="3"/>
  <c r="GA66" i="3"/>
  <c r="CG52" i="3"/>
  <c r="AZ66" i="3"/>
  <c r="EU24" i="3"/>
  <c r="CF24" i="3"/>
  <c r="F66" i="3"/>
  <c r="BX24" i="3"/>
  <c r="X66" i="3"/>
  <c r="ID24" i="3"/>
  <c r="DB52" i="3"/>
  <c r="AS52" i="3"/>
  <c r="HC52" i="3"/>
  <c r="AM66" i="3"/>
  <c r="BZ66" i="3"/>
  <c r="DN24" i="3"/>
  <c r="DW52" i="3"/>
  <c r="IA52" i="3"/>
  <c r="K66" i="3"/>
  <c r="EU66" i="3"/>
  <c r="FF66" i="3"/>
  <c r="E52" i="3"/>
  <c r="K56" i="5" s="1" a="1"/>
  <c r="K56" i="5" s="1"/>
  <c r="S24" i="3"/>
  <c r="HZ52" i="3"/>
  <c r="CH66" i="3"/>
  <c r="FS52" i="3"/>
  <c r="EZ52" i="3"/>
  <c r="CA24" i="3"/>
  <c r="GK66" i="3"/>
  <c r="GL52" i="3"/>
  <c r="J66" i="3"/>
  <c r="K77" i="5" s="1" a="1"/>
  <c r="K77" i="5" s="1"/>
  <c r="AQ52" i="3"/>
  <c r="BP52" i="3"/>
  <c r="HX52" i="3"/>
  <c r="GS66" i="3"/>
  <c r="HH24" i="3"/>
  <c r="GZ24" i="3"/>
  <c r="DV66" i="3"/>
  <c r="FC24" i="3"/>
  <c r="Y52" i="3"/>
  <c r="FC66" i="3"/>
  <c r="IG24" i="3"/>
  <c r="BU66" i="3"/>
  <c r="GT24" i="3"/>
  <c r="AY66" i="3"/>
  <c r="AZ24" i="3"/>
  <c r="GE66" i="3"/>
  <c r="IA66" i="3"/>
  <c r="AL52" i="3"/>
  <c r="DO24" i="3"/>
  <c r="GH66" i="3"/>
  <c r="GM24" i="3"/>
  <c r="GP52" i="3"/>
  <c r="FM24" i="3"/>
  <c r="ET24" i="3"/>
  <c r="GX66" i="3"/>
  <c r="GV52" i="3"/>
  <c r="EC24" i="3"/>
  <c r="FV24" i="3"/>
  <c r="GS52" i="3"/>
  <c r="BI52" i="3"/>
  <c r="EW52" i="3"/>
  <c r="AW24" i="3"/>
  <c r="CY52" i="3"/>
  <c r="EA66" i="3"/>
  <c r="AO66" i="3"/>
  <c r="FY52" i="3"/>
  <c r="GO52" i="3"/>
  <c r="GV66" i="3"/>
  <c r="EL24" i="3"/>
  <c r="GK24" i="3"/>
  <c r="DH52" i="3"/>
  <c r="AB52" i="3"/>
  <c r="BT24" i="3"/>
  <c r="HE52" i="3"/>
  <c r="CV52" i="3"/>
  <c r="HU24" i="3"/>
  <c r="IE52" i="3"/>
  <c r="CU66" i="3"/>
  <c r="DY66" i="3"/>
  <c r="AW52" i="3"/>
  <c r="EG52" i="3"/>
  <c r="EW24" i="3"/>
  <c r="BB24" i="3"/>
  <c r="EG66" i="3"/>
  <c r="FZ24" i="3"/>
  <c r="AD24" i="3"/>
  <c r="EW66" i="3"/>
  <c r="FE66" i="3"/>
  <c r="DJ24" i="3"/>
  <c r="U24" i="3"/>
  <c r="DD24" i="3"/>
  <c r="AE66" i="3"/>
  <c r="AO52" i="3"/>
  <c r="DI52" i="3"/>
  <c r="AD66" i="3"/>
  <c r="EV24" i="3"/>
  <c r="DC66" i="3"/>
  <c r="CM66" i="3"/>
  <c r="FT52" i="3"/>
  <c r="GH52" i="3"/>
  <c r="CY24" i="3"/>
  <c r="EE52" i="3"/>
  <c r="CR52" i="3"/>
  <c r="W66" i="3"/>
  <c r="GW24" i="3"/>
  <c r="GU66" i="3"/>
  <c r="GX52" i="3"/>
  <c r="AJ24" i="3"/>
  <c r="DU66" i="3"/>
  <c r="CR24" i="3"/>
  <c r="AB66" i="3"/>
  <c r="FE24" i="3"/>
  <c r="HJ52" i="3"/>
  <c r="N52" i="3"/>
  <c r="K92" i="5" s="1" a="1"/>
  <c r="K92" i="5" s="1"/>
  <c r="BY52" i="3"/>
  <c r="DE52" i="3"/>
  <c r="FG24" i="3"/>
  <c r="BK52" i="3"/>
  <c r="GG24" i="3"/>
  <c r="DF52" i="3"/>
  <c r="FM52" i="3"/>
  <c r="AP24" i="3"/>
  <c r="FM66" i="3"/>
  <c r="FI66" i="3"/>
  <c r="GQ52" i="3"/>
  <c r="DI24" i="3"/>
  <c r="FD24" i="3"/>
  <c r="AP52" i="3"/>
  <c r="FR24" i="3"/>
  <c r="HO66" i="3"/>
  <c r="DB24" i="3"/>
  <c r="EY52" i="3"/>
  <c r="CD24" i="3"/>
  <c r="FA66" i="3"/>
  <c r="AI24" i="3"/>
  <c r="IG52" i="3"/>
  <c r="EE66" i="3"/>
  <c r="GU24" i="3"/>
  <c r="AJ52" i="3"/>
  <c r="BR24" i="3"/>
  <c r="DR52" i="3"/>
  <c r="HJ66" i="3"/>
  <c r="DF24" i="3"/>
  <c r="DS66" i="3"/>
  <c r="HA24" i="3"/>
  <c r="HL52" i="3"/>
  <c r="H66" i="3"/>
  <c r="CH52" i="3"/>
  <c r="IF52" i="3"/>
  <c r="GW52" i="3"/>
  <c r="DT66" i="3"/>
  <c r="BQ24" i="3"/>
  <c r="DD66" i="3"/>
  <c r="FQ52" i="3"/>
  <c r="DJ52" i="3"/>
  <c r="GB24" i="3"/>
  <c r="CW24" i="3"/>
  <c r="CQ66" i="3"/>
  <c r="FL66" i="3"/>
  <c r="HI24" i="3"/>
  <c r="CT66" i="3"/>
  <c r="BW52" i="3"/>
  <c r="HC24" i="3"/>
  <c r="DO52" i="3"/>
  <c r="DX66" i="3"/>
  <c r="DJ66" i="3"/>
  <c r="CY66" i="3"/>
  <c r="BE52" i="3"/>
  <c r="HU66" i="3"/>
  <c r="BX52" i="3"/>
  <c r="CK52" i="3"/>
  <c r="BI24" i="3"/>
  <c r="AN52" i="3"/>
  <c r="AN24" i="3"/>
  <c r="GY24" i="3"/>
  <c r="CI52" i="3"/>
  <c r="CV24" i="3"/>
  <c r="CU52" i="3"/>
  <c r="EY24" i="3"/>
  <c r="GZ66" i="3"/>
  <c r="BC66" i="3"/>
  <c r="FD52" i="3"/>
  <c r="FY66" i="3"/>
  <c r="EK66" i="3"/>
  <c r="BM66" i="3"/>
  <c r="EX52" i="3"/>
  <c r="BD52" i="3"/>
  <c r="AA24" i="3"/>
  <c r="FF52" i="3"/>
  <c r="V24" i="3"/>
  <c r="HR66" i="3"/>
  <c r="GB52" i="3"/>
  <c r="DA24" i="3"/>
  <c r="FD66" i="3"/>
  <c r="CL66" i="3"/>
  <c r="BK66" i="3"/>
  <c r="AH52" i="3"/>
  <c r="DK66" i="3"/>
  <c r="BL66" i="3"/>
  <c r="GE24" i="3"/>
  <c r="FO52" i="3"/>
  <c r="P52" i="3"/>
  <c r="K100" i="5" s="1" a="1"/>
  <c r="K100" i="5" s="1"/>
  <c r="IC66" i="3"/>
  <c r="BY24" i="3"/>
  <c r="HI52" i="3"/>
  <c r="EU52" i="3"/>
  <c r="HB52" i="3"/>
  <c r="GI52" i="3"/>
  <c r="BP24" i="3"/>
  <c r="BI66" i="3"/>
  <c r="FT66" i="3"/>
  <c r="CZ24" i="3"/>
  <c r="EP52" i="3"/>
  <c r="EA52" i="3"/>
  <c r="N66" i="3"/>
  <c r="K93" i="5" s="1" a="1"/>
  <c r="K93" i="5" s="1"/>
  <c r="DX52" i="3"/>
  <c r="CZ66" i="3"/>
  <c r="DQ24" i="3"/>
  <c r="EH24" i="3"/>
  <c r="EB24" i="3"/>
  <c r="GM52" i="3"/>
  <c r="EH66" i="3"/>
  <c r="HW52" i="3"/>
  <c r="AL24" i="3"/>
  <c r="CC24" i="3"/>
  <c r="GL66" i="3"/>
  <c r="AE24" i="3"/>
  <c r="CF66" i="3"/>
  <c r="W52" i="3"/>
  <c r="HW24" i="3"/>
  <c r="FA52" i="3"/>
  <c r="GC24" i="3"/>
  <c r="ES66" i="3"/>
  <c r="AF11" i="7"/>
  <c r="X12" i="3"/>
  <c r="AA12" i="3"/>
  <c r="W12" i="3"/>
  <c r="U26" i="3"/>
  <c r="AG6" i="3"/>
  <c r="AD12" i="3"/>
  <c r="V26" i="3"/>
  <c r="W26" i="3"/>
  <c r="T54" i="3"/>
  <c r="X26" i="3"/>
  <c r="W54" i="3"/>
  <c r="Z12" i="3"/>
  <c r="AB54" i="3"/>
  <c r="T12" i="3"/>
  <c r="Y26" i="3"/>
  <c r="X54" i="3"/>
  <c r="Z54" i="3"/>
  <c r="V12" i="3"/>
  <c r="AA26" i="3"/>
  <c r="Y54" i="3"/>
  <c r="Y12" i="3"/>
  <c r="AD26" i="3"/>
  <c r="AE26" i="3"/>
  <c r="AB12" i="3"/>
  <c r="S26" i="3"/>
  <c r="AE54" i="3"/>
  <c r="E24" i="3" a="1"/>
  <c r="K60" i="5" l="1" a="1"/>
  <c r="K60" i="5" s="1"/>
  <c r="L60" i="5" s="1"/>
  <c r="K81" i="5" a="1"/>
  <c r="K81" i="5" s="1"/>
  <c r="P81" i="5" s="1"/>
  <c r="K69" i="5" a="1"/>
  <c r="K69" i="5" s="1"/>
  <c r="L69" i="5" s="1"/>
  <c r="K61" i="5" a="1"/>
  <c r="K61" i="5" s="1"/>
  <c r="L61" i="5" s="1"/>
  <c r="K88" i="5" a="1"/>
  <c r="K88" i="5" s="1"/>
  <c r="L88" i="5" s="1"/>
  <c r="K73" i="5" a="1"/>
  <c r="K73" i="5" s="1"/>
  <c r="M73" i="5" s="1"/>
  <c r="K101" i="5" a="1"/>
  <c r="K101" i="5" s="1"/>
  <c r="P101" i="5" s="1"/>
  <c r="B2" i="10"/>
  <c r="F2" i="10" s="1" a="1"/>
  <c r="F2" i="10" s="1"/>
  <c r="F54" i="10" a="1"/>
  <c r="F54" i="10" s="1"/>
  <c r="F47" i="10" a="1"/>
  <c r="F47" i="10" s="1"/>
  <c r="G53" i="10" a="1"/>
  <c r="G53" i="10" s="1"/>
  <c r="G46" i="10" a="1"/>
  <c r="G46" i="10" s="1"/>
  <c r="F46" i="10" a="1"/>
  <c r="F46" i="10" s="1"/>
  <c r="F60" i="10" a="1"/>
  <c r="F60" i="10" s="1"/>
  <c r="G52" i="10" a="1"/>
  <c r="G52" i="10" s="1"/>
  <c r="F45" i="10" a="1"/>
  <c r="F45" i="10" s="1"/>
  <c r="G59" i="10" a="1"/>
  <c r="G59" i="10" s="1"/>
  <c r="F52" i="10" a="1"/>
  <c r="F52" i="10" s="1"/>
  <c r="F44" i="10" a="1"/>
  <c r="F44" i="10" s="1"/>
  <c r="F59" i="10" a="1"/>
  <c r="F59" i="10" s="1"/>
  <c r="F51" i="10" a="1"/>
  <c r="F51" i="10" s="1"/>
  <c r="F58" i="10" a="1"/>
  <c r="F58" i="10" s="1"/>
  <c r="F50" i="10" a="1"/>
  <c r="F50" i="10" s="1"/>
  <c r="F57" i="10" a="1"/>
  <c r="F57" i="10" s="1"/>
  <c r="F49" i="10" a="1"/>
  <c r="F49" i="10" s="1"/>
  <c r="F56" i="10" a="1"/>
  <c r="F56" i="10" s="1"/>
  <c r="G48" i="10" a="1"/>
  <c r="G48" i="10" s="1"/>
  <c r="F61" i="10" a="1"/>
  <c r="F61" i="10" s="1"/>
  <c r="G50" i="10" a="1"/>
  <c r="G50" i="10" s="1"/>
  <c r="G45" i="10" a="1"/>
  <c r="G45" i="10" s="1"/>
  <c r="G57" i="10" a="1"/>
  <c r="G57" i="10" s="1"/>
  <c r="G55" i="10" a="1"/>
  <c r="G55" i="10" s="1"/>
  <c r="G56" i="10" a="1"/>
  <c r="G56" i="10" s="1"/>
  <c r="F48" i="10" a="1"/>
  <c r="F48" i="10" s="1"/>
  <c r="F55" i="10" a="1"/>
  <c r="F55" i="10" s="1"/>
  <c r="G54" i="10" a="1"/>
  <c r="G54" i="10" s="1"/>
  <c r="G60" i="10" a="1"/>
  <c r="G60" i="10" s="1"/>
  <c r="G61" i="10" a="1"/>
  <c r="G61" i="10" s="1"/>
  <c r="F53" i="10" a="1"/>
  <c r="F53" i="10" s="1"/>
  <c r="G58" i="10" a="1"/>
  <c r="G58" i="10" s="1"/>
  <c r="G51" i="10" a="1"/>
  <c r="G51" i="10" s="1"/>
  <c r="G47" i="10" a="1"/>
  <c r="G47" i="10" s="1"/>
  <c r="G44" i="10" a="1"/>
  <c r="G44" i="10" s="1"/>
  <c r="G49" i="10" a="1"/>
  <c r="G49" i="10" s="1"/>
  <c r="G42" i="10" a="1"/>
  <c r="G42" i="10" s="1"/>
  <c r="G33" i="10" a="1"/>
  <c r="G33" i="10" s="1"/>
  <c r="G15" i="10" a="1"/>
  <c r="G15" i="10" s="1"/>
  <c r="G8" i="10" a="1"/>
  <c r="G8" i="10" s="1"/>
  <c r="G35" i="10" a="1"/>
  <c r="G35" i="10" s="1"/>
  <c r="F12" i="10" a="1"/>
  <c r="F12" i="10" s="1"/>
  <c r="G38" i="10" a="1"/>
  <c r="G38" i="10" s="1"/>
  <c r="G27" i="10" a="1"/>
  <c r="G27" i="10" s="1"/>
  <c r="G26" i="10" a="1"/>
  <c r="G26" i="10" s="1"/>
  <c r="G10" i="10" a="1"/>
  <c r="G10" i="10" s="1"/>
  <c r="G28" i="10" a="1"/>
  <c r="G28" i="10" s="1"/>
  <c r="F24" i="10" a="1"/>
  <c r="F24" i="10" s="1"/>
  <c r="G5" i="10" a="1"/>
  <c r="G5" i="10" s="1"/>
  <c r="F41" i="10" a="1"/>
  <c r="F41" i="10" s="1"/>
  <c r="F39" i="10" a="1"/>
  <c r="F39" i="10" s="1"/>
  <c r="F37" i="10" a="1"/>
  <c r="F37" i="10" s="1"/>
  <c r="F15" i="10" a="1"/>
  <c r="F15" i="10" s="1"/>
  <c r="F35" i="10" a="1"/>
  <c r="F35" i="10" s="1"/>
  <c r="F16" i="10" a="1"/>
  <c r="F16" i="10" s="1"/>
  <c r="F36" i="10" a="1"/>
  <c r="F36" i="10" s="1"/>
  <c r="G25" i="10" a="1"/>
  <c r="G25" i="10" s="1"/>
  <c r="F31" i="10" a="1"/>
  <c r="F31" i="10" s="1"/>
  <c r="F29" i="10" a="1"/>
  <c r="F29" i="10" s="1"/>
  <c r="F27" i="10" a="1"/>
  <c r="F27" i="10" s="1"/>
  <c r="G7" i="10" a="1"/>
  <c r="G7" i="10" s="1"/>
  <c r="G31" i="10" a="1"/>
  <c r="G31" i="10" s="1"/>
  <c r="G3" i="10" a="1"/>
  <c r="G3" i="10" s="1"/>
  <c r="G41" i="10" a="1"/>
  <c r="G41" i="10" s="1"/>
  <c r="G20" i="10" a="1"/>
  <c r="G20" i="10" s="1"/>
  <c r="F21" i="10" a="1"/>
  <c r="F21" i="10" s="1"/>
  <c r="F19" i="10" a="1"/>
  <c r="F19" i="10" s="1"/>
  <c r="F17" i="10" a="1"/>
  <c r="F17" i="10" s="1"/>
  <c r="G40" i="10" a="1"/>
  <c r="G40" i="10" s="1"/>
  <c r="F13" i="10" a="1"/>
  <c r="F13" i="10" s="1"/>
  <c r="F33" i="10" a="1"/>
  <c r="F33" i="10" s="1"/>
  <c r="G11" i="10" a="1"/>
  <c r="G11" i="10" s="1"/>
  <c r="G22" i="10" a="1"/>
  <c r="G22" i="10" s="1"/>
  <c r="F11" i="10" a="1"/>
  <c r="F11" i="10" s="1"/>
  <c r="F9" i="10" a="1"/>
  <c r="F9" i="10" s="1"/>
  <c r="F7" i="10" a="1"/>
  <c r="F7" i="10" s="1"/>
  <c r="G6" i="10" a="1"/>
  <c r="G6" i="10" s="1"/>
  <c r="G43" i="10" a="1"/>
  <c r="G43" i="10" s="1"/>
  <c r="G34" i="10" a="1"/>
  <c r="G34" i="10" s="1"/>
  <c r="G12" i="10" a="1"/>
  <c r="G12" i="10" s="1"/>
  <c r="G30" i="10" a="1"/>
  <c r="G30" i="10" s="1"/>
  <c r="G2" i="10" a="1"/>
  <c r="G2" i="10" s="1"/>
  <c r="G37" i="10" a="1"/>
  <c r="G37" i="10" s="1"/>
  <c r="G23" i="10" a="1"/>
  <c r="G23" i="10" s="1"/>
  <c r="G14" i="10" a="1"/>
  <c r="G14" i="10" s="1"/>
  <c r="G36" i="10" a="1"/>
  <c r="G36" i="10" s="1"/>
  <c r="G19" i="10" a="1"/>
  <c r="G19" i="10" s="1"/>
  <c r="F14" i="10" a="1"/>
  <c r="F14" i="10" s="1"/>
  <c r="G16" i="10" a="1"/>
  <c r="G16" i="10" s="1"/>
  <c r="F4" i="10" a="1"/>
  <c r="F4" i="10" s="1"/>
  <c r="F40" i="10" a="1"/>
  <c r="F40" i="10" s="1"/>
  <c r="F38" i="10" a="1"/>
  <c r="F38" i="10" s="1"/>
  <c r="G18" i="10" a="1"/>
  <c r="G18" i="10" s="1"/>
  <c r="G9" i="10" a="1"/>
  <c r="G9" i="10" s="1"/>
  <c r="F25" i="10" a="1"/>
  <c r="F25" i="10" s="1"/>
  <c r="F6" i="10" a="1"/>
  <c r="F6" i="10" s="1"/>
  <c r="F26" i="10" a="1"/>
  <c r="F26" i="10" s="1"/>
  <c r="F34" i="10" a="1"/>
  <c r="F34" i="10" s="1"/>
  <c r="F42" i="10" a="1"/>
  <c r="F42" i="10" s="1"/>
  <c r="F30" i="10" a="1"/>
  <c r="F30" i="10" s="1"/>
  <c r="F28" i="10" a="1"/>
  <c r="F28" i="10" s="1"/>
  <c r="G17" i="10" a="1"/>
  <c r="G17" i="10" s="1"/>
  <c r="F5" i="10" a="1"/>
  <c r="F5" i="10" s="1"/>
  <c r="G4" i="10" a="1"/>
  <c r="G4" i="10" s="1"/>
  <c r="G39" i="10" a="1"/>
  <c r="G39" i="10" s="1"/>
  <c r="G24" i="10" a="1"/>
  <c r="G24" i="10" s="1"/>
  <c r="G32" i="10" a="1"/>
  <c r="G32" i="10" s="1"/>
  <c r="F32" i="10" a="1"/>
  <c r="F32" i="10" s="1"/>
  <c r="F20" i="10" a="1"/>
  <c r="F20" i="10" s="1"/>
  <c r="F18" i="10" a="1"/>
  <c r="F18" i="10" s="1"/>
  <c r="G13" i="10" a="1"/>
  <c r="G13" i="10" s="1"/>
  <c r="G21" i="10" a="1"/>
  <c r="G21" i="10" s="1"/>
  <c r="F3" i="10" a="1"/>
  <c r="F3" i="10" s="1"/>
  <c r="F23" i="10" a="1"/>
  <c r="F23" i="10" s="1"/>
  <c r="F43" i="10" a="1"/>
  <c r="F43" i="10" s="1"/>
  <c r="G29" i="10" a="1"/>
  <c r="G29" i="10" s="1"/>
  <c r="F22" i="10" a="1"/>
  <c r="F22" i="10" s="1"/>
  <c r="F10" i="10" a="1"/>
  <c r="F10" i="10" s="1"/>
  <c r="F8" i="10" a="1"/>
  <c r="F8" i="10" s="1"/>
  <c r="K84" i="5" a="1"/>
  <c r="K84" i="5" s="1"/>
  <c r="M84" i="5" s="1"/>
  <c r="Q27" i="2"/>
  <c r="R27" i="2" s="1"/>
  <c r="Q32" i="2"/>
  <c r="R32" i="2" s="1"/>
  <c r="Q46" i="2"/>
  <c r="R46" i="2" s="1"/>
  <c r="Q31" i="2"/>
  <c r="R31" i="2" s="1"/>
  <c r="Q38" i="2"/>
  <c r="S38" i="2" s="1"/>
  <c r="Q45" i="2"/>
  <c r="S45" i="2" s="1"/>
  <c r="Q39" i="2"/>
  <c r="S39" i="2" s="1"/>
  <c r="Q47" i="2"/>
  <c r="R47" i="2" s="1"/>
  <c r="Q30" i="2"/>
  <c r="R30" i="2" s="1"/>
  <c r="Q29" i="2"/>
  <c r="R29" i="2" s="1"/>
  <c r="Q41" i="2"/>
  <c r="R41" i="2" s="1"/>
  <c r="Q36" i="2"/>
  <c r="S36" i="2" s="1"/>
  <c r="Q34" i="2"/>
  <c r="S34" i="2" s="1"/>
  <c r="Q40" i="2"/>
  <c r="R40" i="2" s="1"/>
  <c r="Q42" i="2"/>
  <c r="R42" i="2" s="1"/>
  <c r="Q44" i="2"/>
  <c r="R44" i="2" s="1"/>
  <c r="Q43" i="2"/>
  <c r="S43" i="2" s="1"/>
  <c r="P16" i="2" a="1"/>
  <c r="P16" i="2" s="1"/>
  <c r="Q28" i="2"/>
  <c r="R28" i="2" s="1"/>
  <c r="Q37" i="2"/>
  <c r="S37" i="2" s="1"/>
  <c r="Q35" i="2"/>
  <c r="S35" i="2" s="1"/>
  <c r="R33" i="2"/>
  <c r="S33" i="2"/>
  <c r="H15" i="7"/>
  <c r="E15" i="7" a="1"/>
  <c r="E15" i="7" s="1"/>
  <c r="J15" i="7" a="1"/>
  <c r="J15" i="7" s="1"/>
  <c r="C16" i="7" a="1"/>
  <c r="C16" i="7" s="1"/>
  <c r="G16" i="7" s="1" a="1"/>
  <c r="G16" i="7" s="1"/>
  <c r="F14" i="7"/>
  <c r="L14" i="7" a="1"/>
  <c r="L14" i="7" s="1"/>
  <c r="D14" i="7"/>
  <c r="I14" i="7" s="1" a="1"/>
  <c r="I14" i="7" s="1"/>
  <c r="K14" i="7" s="1" a="1"/>
  <c r="K14" i="7" s="1"/>
  <c r="P13" i="7"/>
  <c r="W13" i="7"/>
  <c r="V13" i="7"/>
  <c r="O13" i="7"/>
  <c r="X13" i="7"/>
  <c r="Y13" i="7" s="1"/>
  <c r="N13" i="7" a="1"/>
  <c r="N13" i="7" s="1"/>
  <c r="U13" i="7"/>
  <c r="S13" i="7"/>
  <c r="R13" i="7"/>
  <c r="T13" i="7"/>
  <c r="Q13" i="7"/>
  <c r="M13" i="7" a="1"/>
  <c r="M13" i="7" s="1"/>
  <c r="AL8" i="3"/>
  <c r="AL7" i="3" s="1"/>
  <c r="M97" i="5"/>
  <c r="P97" i="5"/>
  <c r="M93" i="5"/>
  <c r="P93" i="5"/>
  <c r="M68" i="5"/>
  <c r="P68" i="5"/>
  <c r="M76" i="5"/>
  <c r="P76" i="5"/>
  <c r="M92" i="5"/>
  <c r="P92" i="5"/>
  <c r="M77" i="5"/>
  <c r="P77" i="5"/>
  <c r="M65" i="5"/>
  <c r="P65" i="5"/>
  <c r="M89" i="5"/>
  <c r="P89" i="5"/>
  <c r="M80" i="5"/>
  <c r="P80" i="5"/>
  <c r="M72" i="5"/>
  <c r="P72" i="5"/>
  <c r="M96" i="5"/>
  <c r="P96" i="5"/>
  <c r="M100" i="5"/>
  <c r="P100" i="5"/>
  <c r="M64" i="5"/>
  <c r="P64" i="5"/>
  <c r="M56" i="5"/>
  <c r="P56" i="5"/>
  <c r="M57" i="5"/>
  <c r="P57" i="5"/>
  <c r="L93" i="5"/>
  <c r="L68" i="5"/>
  <c r="L77" i="5"/>
  <c r="L76" i="5"/>
  <c r="L65" i="5"/>
  <c r="L89" i="5"/>
  <c r="L80" i="5"/>
  <c r="L100" i="5"/>
  <c r="L96" i="5"/>
  <c r="L92" i="5"/>
  <c r="L72" i="5"/>
  <c r="L64" i="5"/>
  <c r="L97" i="5"/>
  <c r="L56" i="5"/>
  <c r="L57" i="5"/>
  <c r="CD8" i="3"/>
  <c r="CD7" i="3" s="1"/>
  <c r="BZ8" i="3"/>
  <c r="BZ7" i="3" s="1"/>
  <c r="IE8" i="3"/>
  <c r="IE7" i="3" s="1"/>
  <c r="FI8" i="3"/>
  <c r="FI7" i="3" s="1"/>
  <c r="V8" i="3"/>
  <c r="V7" i="3" s="1"/>
  <c r="EP8" i="3"/>
  <c r="EP7" i="3" s="1"/>
  <c r="GA8" i="3"/>
  <c r="GA7" i="3" s="1"/>
  <c r="BY8" i="3"/>
  <c r="BY7" i="3" s="1"/>
  <c r="AJ8" i="3"/>
  <c r="AJ7" i="3" s="1"/>
  <c r="FK8" i="3"/>
  <c r="FK7" i="3" s="1"/>
  <c r="GP8" i="3"/>
  <c r="GP7" i="3" s="1"/>
  <c r="GW8" i="3"/>
  <c r="GW7" i="3" s="1"/>
  <c r="BK8" i="3"/>
  <c r="BK7" i="3" s="1"/>
  <c r="ET8" i="3"/>
  <c r="ET7" i="3" s="1"/>
  <c r="EZ8" i="3"/>
  <c r="EZ7" i="3" s="1"/>
  <c r="BN8" i="3"/>
  <c r="BN7" i="3" s="1"/>
  <c r="CK8" i="3"/>
  <c r="CK7" i="3" s="1"/>
  <c r="GG8" i="3"/>
  <c r="GG7" i="3" s="1"/>
  <c r="BQ8" i="3"/>
  <c r="BQ7" i="3" s="1"/>
  <c r="EK8" i="3"/>
  <c r="EK7" i="3" s="1"/>
  <c r="EI8" i="3"/>
  <c r="EI7" i="3" s="1"/>
  <c r="AW8" i="3"/>
  <c r="AW7" i="3" s="1"/>
  <c r="GE8" i="3"/>
  <c r="GE7" i="3" s="1"/>
  <c r="DS8" i="3"/>
  <c r="DS7" i="3" s="1"/>
  <c r="T8" i="3"/>
  <c r="T7" i="3" s="1"/>
  <c r="GQ8" i="3"/>
  <c r="GQ7" i="3" s="1"/>
  <c r="FE8" i="3"/>
  <c r="FE7" i="3" s="1"/>
  <c r="BC8" i="3"/>
  <c r="BC7" i="3" s="1"/>
  <c r="FH8" i="3"/>
  <c r="FH7" i="3" s="1"/>
  <c r="HP8" i="3"/>
  <c r="HP7" i="3" s="1"/>
  <c r="BG8" i="3"/>
  <c r="BG7" i="3" s="1"/>
  <c r="AG8" i="3"/>
  <c r="AG7" i="3" s="1"/>
  <c r="W8" i="3"/>
  <c r="W7" i="3" s="1"/>
  <c r="DU8" i="3"/>
  <c r="DU7" i="3" s="1"/>
  <c r="AO8" i="3"/>
  <c r="AO7" i="3" s="1"/>
  <c r="FM8" i="3"/>
  <c r="FM7" i="3" s="1"/>
  <c r="CF8" i="3"/>
  <c r="CF7" i="3" s="1"/>
  <c r="HO8" i="3"/>
  <c r="HO7" i="3" s="1"/>
  <c r="CL8" i="3"/>
  <c r="CL7" i="3" s="1"/>
  <c r="CP8" i="3"/>
  <c r="CP7" i="3" s="1"/>
  <c r="GF8" i="3"/>
  <c r="GF7" i="3" s="1"/>
  <c r="BW8" i="3"/>
  <c r="BW7" i="3" s="1"/>
  <c r="FW8" i="3"/>
  <c r="FW7" i="3" s="1"/>
  <c r="FR8" i="3"/>
  <c r="FR7" i="3" s="1"/>
  <c r="FY8" i="3"/>
  <c r="FY7" i="3" s="1"/>
  <c r="GY8" i="3"/>
  <c r="GY7" i="3" s="1"/>
  <c r="DF8" i="3"/>
  <c r="DF7" i="3" s="1"/>
  <c r="DY8" i="3"/>
  <c r="DY7" i="3" s="1"/>
  <c r="DH8" i="3"/>
  <c r="DH7" i="3" s="1"/>
  <c r="AQ8" i="3"/>
  <c r="AQ7" i="3" s="1"/>
  <c r="DN8" i="3"/>
  <c r="DN7" i="3" s="1"/>
  <c r="BX8" i="3"/>
  <c r="BX7" i="3" s="1"/>
  <c r="AC8" i="3"/>
  <c r="AC7" i="3" s="1"/>
  <c r="HD8" i="3"/>
  <c r="HD7" i="3" s="1"/>
  <c r="CI8" i="3"/>
  <c r="CI7" i="3" s="1"/>
  <c r="AX8" i="3"/>
  <c r="AX7" i="3" s="1"/>
  <c r="HQ8" i="3"/>
  <c r="HQ7" i="3" s="1"/>
  <c r="HY8" i="3"/>
  <c r="HY7" i="3" s="1"/>
  <c r="FX8" i="3"/>
  <c r="FX7" i="3" s="1"/>
  <c r="BS8" i="3"/>
  <c r="BS7" i="3" s="1"/>
  <c r="HN8" i="3"/>
  <c r="HN7" i="3" s="1"/>
  <c r="CC8" i="3"/>
  <c r="CC7" i="3" s="1"/>
  <c r="IC8" i="3"/>
  <c r="IC7" i="3" s="1"/>
  <c r="GZ8" i="3"/>
  <c r="GZ7" i="3" s="1"/>
  <c r="CS8" i="3"/>
  <c r="CS7" i="3" s="1"/>
  <c r="GB8" i="3"/>
  <c r="GB7" i="3" s="1"/>
  <c r="CT8" i="3"/>
  <c r="CT7" i="3" s="1"/>
  <c r="HX8" i="3"/>
  <c r="HX7" i="3" s="1"/>
  <c r="HR8" i="3"/>
  <c r="HR7" i="3" s="1"/>
  <c r="BP8" i="3"/>
  <c r="BP7" i="3" s="1"/>
  <c r="CH8" i="3"/>
  <c r="CH7" i="3" s="1"/>
  <c r="GH8" i="3"/>
  <c r="GH7" i="3" s="1"/>
  <c r="DI8" i="3"/>
  <c r="DI7" i="3" s="1"/>
  <c r="DC8" i="3"/>
  <c r="DC7" i="3" s="1"/>
  <c r="FO8" i="3"/>
  <c r="FO7" i="3" s="1"/>
  <c r="AY8" i="3"/>
  <c r="AY7" i="3" s="1"/>
  <c r="GO8" i="3"/>
  <c r="GO7" i="3" s="1"/>
  <c r="HE8" i="3"/>
  <c r="HE7" i="3" s="1"/>
  <c r="FV8" i="3"/>
  <c r="FV7" i="3" s="1"/>
  <c r="DM8" i="3"/>
  <c r="DM7" i="3" s="1"/>
  <c r="ES8" i="3"/>
  <c r="ES7" i="3" s="1"/>
  <c r="IB8" i="3"/>
  <c r="IB7" i="3" s="1"/>
  <c r="EG8" i="3"/>
  <c r="EG7" i="3" s="1"/>
  <c r="EV8" i="3"/>
  <c r="EV7" i="3" s="1"/>
  <c r="DG8" i="3"/>
  <c r="DG7" i="3" s="1"/>
  <c r="EO8" i="3"/>
  <c r="EO7" i="3" s="1"/>
  <c r="ER8" i="3"/>
  <c r="ER7" i="3" s="1"/>
  <c r="Z8" i="3"/>
  <c r="Z7" i="3" s="1"/>
  <c r="HM8" i="3"/>
  <c r="HM7" i="3" s="1"/>
  <c r="HW8" i="3"/>
  <c r="HW7" i="3" s="1"/>
  <c r="FD8" i="3"/>
  <c r="FD7" i="3" s="1"/>
  <c r="EW8" i="3"/>
  <c r="EW7" i="3" s="1"/>
  <c r="EB8" i="3"/>
  <c r="EB7" i="3" s="1"/>
  <c r="BI8" i="3"/>
  <c r="BI7" i="3" s="1"/>
  <c r="FS8" i="3"/>
  <c r="FS7" i="3" s="1"/>
  <c r="DR8" i="3"/>
  <c r="DR7" i="3" s="1"/>
  <c r="AR8" i="3"/>
  <c r="AR7" i="3" s="1"/>
  <c r="GM8" i="3"/>
  <c r="GM7" i="3" s="1"/>
  <c r="DX8" i="3"/>
  <c r="DX7" i="3" s="1"/>
  <c r="HC8" i="3"/>
  <c r="HC7" i="3" s="1"/>
  <c r="DB8" i="3"/>
  <c r="DB7" i="3" s="1"/>
  <c r="DD8" i="3"/>
  <c r="DD7" i="3" s="1"/>
  <c r="BB8" i="3"/>
  <c r="BB7" i="3" s="1"/>
  <c r="CV8" i="3"/>
  <c r="CV7" i="3" s="1"/>
  <c r="HH8" i="3"/>
  <c r="HH7" i="3" s="1"/>
  <c r="CA8" i="3"/>
  <c r="CA7" i="3" s="1"/>
  <c r="AS8" i="3"/>
  <c r="AS7" i="3" s="1"/>
  <c r="BF8" i="3"/>
  <c r="BF7" i="3" s="1"/>
  <c r="CO8" i="3"/>
  <c r="CO7" i="3" s="1"/>
  <c r="ED8" i="3"/>
  <c r="ED7" i="3" s="1"/>
  <c r="FL8" i="3"/>
  <c r="FL7" i="3" s="1"/>
  <c r="HS8" i="3"/>
  <c r="HS7" i="3" s="1"/>
  <c r="GU8" i="3"/>
  <c r="GU7" i="3" s="1"/>
  <c r="AM8" i="3"/>
  <c r="AM7" i="3" s="1"/>
  <c r="ID8" i="3"/>
  <c r="ID7" i="3" s="1"/>
  <c r="AD8" i="3"/>
  <c r="AD7" i="3" s="1"/>
  <c r="BT8" i="3"/>
  <c r="BT7" i="3" s="1"/>
  <c r="DV8" i="3"/>
  <c r="DV7" i="3" s="1"/>
  <c r="HV8" i="3"/>
  <c r="HV7" i="3" s="1"/>
  <c r="AH8" i="3"/>
  <c r="AH7" i="3" s="1"/>
  <c r="CW8" i="3"/>
  <c r="CW7" i="3" s="1"/>
  <c r="FG8" i="3"/>
  <c r="FG7" i="3" s="1"/>
  <c r="FZ8" i="3"/>
  <c r="FZ7" i="3" s="1"/>
  <c r="AZ8" i="3"/>
  <c r="AZ7" i="3" s="1"/>
  <c r="CR8" i="3"/>
  <c r="CR7" i="3" s="1"/>
  <c r="CY8" i="3"/>
  <c r="CY7" i="3" s="1"/>
  <c r="AI8" i="3"/>
  <c r="AI7" i="3" s="1"/>
  <c r="EC8" i="3"/>
  <c r="EC7" i="3" s="1"/>
  <c r="AV8" i="3"/>
  <c r="AV7" i="3" s="1"/>
  <c r="BD8" i="3"/>
  <c r="BD7" i="3" s="1"/>
  <c r="FT8" i="3"/>
  <c r="FT7" i="3" s="1"/>
  <c r="DQ8" i="3"/>
  <c r="DQ7" i="3" s="1"/>
  <c r="DA8" i="3"/>
  <c r="DA7" i="3" s="1"/>
  <c r="AP8" i="3"/>
  <c r="AP7" i="3" s="1"/>
  <c r="CG8" i="3"/>
  <c r="CG7" i="3" s="1"/>
  <c r="CM8" i="3"/>
  <c r="CM7" i="3" s="1"/>
  <c r="AN8" i="3"/>
  <c r="AN7" i="3" s="1"/>
  <c r="DJ8" i="3"/>
  <c r="DJ7" i="3" s="1"/>
  <c r="GK8" i="3"/>
  <c r="GK7" i="3" s="1"/>
  <c r="FC8" i="3"/>
  <c r="FC7" i="3" s="1"/>
  <c r="FJ8" i="3"/>
  <c r="FJ7" i="3" s="1"/>
  <c r="Y8" i="3"/>
  <c r="Y7" i="3" s="1"/>
  <c r="GI8" i="3"/>
  <c r="GI7" i="3" s="1"/>
  <c r="GS8" i="3"/>
  <c r="GS7" i="3" s="1"/>
  <c r="DE8" i="3"/>
  <c r="DE7" i="3" s="1"/>
  <c r="HK8" i="3"/>
  <c r="HK7" i="3" s="1"/>
  <c r="BM8" i="3"/>
  <c r="BM7" i="3" s="1"/>
  <c r="HI8" i="3"/>
  <c r="HI7" i="3" s="1"/>
  <c r="DP8" i="3"/>
  <c r="DP7" i="3" s="1"/>
  <c r="BL8" i="3"/>
  <c r="BL7" i="3" s="1"/>
  <c r="EF8" i="3"/>
  <c r="EF7" i="3" s="1"/>
  <c r="EJ8" i="3"/>
  <c r="EJ7" i="3" s="1"/>
  <c r="CE8" i="3"/>
  <c r="CE7" i="3" s="1"/>
  <c r="GJ8" i="3"/>
  <c r="GJ7" i="3" s="1"/>
  <c r="AB8" i="3"/>
  <c r="AB7" i="3" s="1"/>
  <c r="U8" i="3"/>
  <c r="U7" i="3" s="1"/>
  <c r="CN8" i="3"/>
  <c r="CN7" i="3" s="1"/>
  <c r="HL8" i="3"/>
  <c r="HL7" i="3" s="1"/>
  <c r="BU8" i="3"/>
  <c r="BU7" i="3" s="1"/>
  <c r="FU8" i="3"/>
  <c r="FU7" i="3" s="1"/>
  <c r="BJ8" i="3"/>
  <c r="BJ7" i="3" s="1"/>
  <c r="CU8" i="3"/>
  <c r="CU7" i="3" s="1"/>
  <c r="DT8" i="3"/>
  <c r="DT7" i="3" s="1"/>
  <c r="BE8" i="3"/>
  <c r="BE7" i="3" s="1"/>
  <c r="CZ8" i="3"/>
  <c r="CZ7" i="3" s="1"/>
  <c r="DO8" i="3"/>
  <c r="DO7" i="3" s="1"/>
  <c r="HU8" i="3"/>
  <c r="HU7" i="3" s="1"/>
  <c r="FN8" i="3"/>
  <c r="FN7" i="3" s="1"/>
  <c r="EX8" i="3"/>
  <c r="EX7" i="3" s="1"/>
  <c r="CB8" i="3"/>
  <c r="CB7" i="3" s="1"/>
  <c r="X8" i="3"/>
  <c r="X7" i="3" s="1"/>
  <c r="HG8" i="3"/>
  <c r="HG7" i="3" s="1"/>
  <c r="BA8" i="3"/>
  <c r="BA7" i="3" s="1"/>
  <c r="GL8" i="3"/>
  <c r="GL7" i="3" s="1"/>
  <c r="EQ8" i="3"/>
  <c r="EQ7" i="3" s="1"/>
  <c r="IG8" i="3"/>
  <c r="IG7" i="3" s="1"/>
  <c r="AU8" i="3"/>
  <c r="AU7" i="3" s="1"/>
  <c r="HZ8" i="3"/>
  <c r="HZ7" i="3" s="1"/>
  <c r="EH8" i="3"/>
  <c r="EH7" i="3" s="1"/>
  <c r="HB8" i="3"/>
  <c r="HB7" i="3" s="1"/>
  <c r="GX8" i="3"/>
  <c r="GX7" i="3" s="1"/>
  <c r="FA8" i="3"/>
  <c r="FA7" i="3" s="1"/>
  <c r="BO8" i="3"/>
  <c r="BO7" i="3" s="1"/>
  <c r="IF8" i="3"/>
  <c r="IF7" i="3" s="1"/>
  <c r="EE8" i="3"/>
  <c r="EE7" i="3" s="1"/>
  <c r="DK8" i="3"/>
  <c r="DK7" i="3" s="1"/>
  <c r="GC8" i="3"/>
  <c r="GC7" i="3" s="1"/>
  <c r="CQ8" i="3"/>
  <c r="CQ7" i="3" s="1"/>
  <c r="EA8" i="3"/>
  <c r="EA7" i="3" s="1"/>
  <c r="EU8" i="3"/>
  <c r="EU7" i="3" s="1"/>
  <c r="GV8" i="3"/>
  <c r="GV7" i="3" s="1"/>
  <c r="AK8" i="3"/>
  <c r="AK7" i="3" s="1"/>
  <c r="HJ8" i="3"/>
  <c r="HJ7" i="3" s="1"/>
  <c r="IA8" i="3"/>
  <c r="IA7" i="3" s="1"/>
  <c r="EL8" i="3"/>
  <c r="EL7" i="3" s="1"/>
  <c r="BR8" i="3"/>
  <c r="BR7" i="3" s="1"/>
  <c r="FF8" i="3"/>
  <c r="FF7" i="3" s="1"/>
  <c r="AA8" i="3"/>
  <c r="AA7" i="3" s="1"/>
  <c r="FQ8" i="3"/>
  <c r="FQ7" i="3" s="1"/>
  <c r="EM8" i="3"/>
  <c r="EM7" i="3" s="1"/>
  <c r="GT8" i="3"/>
  <c r="GT7" i="3" s="1"/>
  <c r="DW8" i="3"/>
  <c r="DW7" i="3" s="1"/>
  <c r="EY8" i="3"/>
  <c r="EY7" i="3" s="1"/>
  <c r="HA8" i="3"/>
  <c r="HA7" i="3" s="1"/>
  <c r="GN8" i="3"/>
  <c r="GN7" i="3" s="1"/>
  <c r="AL54" i="3"/>
  <c r="AL12" i="3"/>
  <c r="AJ12" i="3"/>
  <c r="AH26" i="3"/>
  <c r="AK54" i="3"/>
  <c r="AI12" i="3"/>
  <c r="AK12" i="3"/>
  <c r="AG12" i="3"/>
  <c r="AR12" i="3"/>
  <c r="AP26" i="3"/>
  <c r="AS54" i="3"/>
  <c r="AP12" i="3"/>
  <c r="AJ26" i="3"/>
  <c r="AM54" i="3"/>
  <c r="AQ12" i="3"/>
  <c r="AG26" i="3"/>
  <c r="AI54" i="3"/>
  <c r="AO12" i="3"/>
  <c r="AO54" i="3"/>
  <c r="AM26" i="3"/>
  <c r="AR54" i="3"/>
  <c r="AN26" i="3"/>
  <c r="AO26" i="3"/>
  <c r="AQ54" i="3"/>
  <c r="AL26" i="3"/>
  <c r="AN12" i="3"/>
  <c r="AK26" i="3"/>
  <c r="AH12" i="3"/>
  <c r="AG54" i="3"/>
  <c r="AH54" i="3"/>
  <c r="AI26" i="3"/>
  <c r="AJ54" i="3"/>
  <c r="AP54" i="3"/>
  <c r="AS26" i="3"/>
  <c r="AN54" i="3"/>
  <c r="AU6" i="3"/>
  <c r="AS12" i="3"/>
  <c r="AR26" i="3"/>
  <c r="AM12" i="3"/>
  <c r="AQ26" i="3"/>
  <c r="E24" i="3"/>
  <c r="J24" i="3" a="1"/>
  <c r="P60" i="5" l="1"/>
  <c r="M60" i="5"/>
  <c r="P69" i="5"/>
  <c r="M69" i="5"/>
  <c r="L81" i="5"/>
  <c r="Q81" i="5" s="1"/>
  <c r="M81" i="5"/>
  <c r="M101" i="5"/>
  <c r="L73" i="5"/>
  <c r="Q73" i="5" s="1"/>
  <c r="P61" i="5"/>
  <c r="M61" i="5"/>
  <c r="P73" i="5"/>
  <c r="L101" i="5"/>
  <c r="Q101" i="5" s="1"/>
  <c r="P88" i="5"/>
  <c r="M88" i="5"/>
  <c r="F15" i="7"/>
  <c r="L84" i="5"/>
  <c r="N84" i="5" s="1"/>
  <c r="P84" i="5"/>
  <c r="S46" i="2"/>
  <c r="S32" i="2"/>
  <c r="S27" i="2"/>
  <c r="R38" i="2"/>
  <c r="S31" i="2"/>
  <c r="R39" i="2"/>
  <c r="R45" i="2"/>
  <c r="S47" i="2"/>
  <c r="S29" i="2"/>
  <c r="S30" i="2"/>
  <c r="C17" i="7" a="1"/>
  <c r="C17" i="7" s="1"/>
  <c r="N14" i="7" s="1" a="1"/>
  <c r="N14" i="7" s="1"/>
  <c r="E16" i="7" a="1"/>
  <c r="E16" i="7" s="1"/>
  <c r="H16" i="7"/>
  <c r="R36" i="2"/>
  <c r="S41" i="2"/>
  <c r="R35" i="2"/>
  <c r="S40" i="2"/>
  <c r="R43" i="2"/>
  <c r="R34" i="2"/>
  <c r="S44" i="2"/>
  <c r="S28" i="2"/>
  <c r="S42" i="2"/>
  <c r="R37" i="2"/>
  <c r="L15" i="7" a="1"/>
  <c r="L15" i="7" s="1"/>
  <c r="J16" i="7" a="1"/>
  <c r="J16" i="7" s="1"/>
  <c r="D15" i="7"/>
  <c r="I15" i="7" s="1" a="1"/>
  <c r="I15" i="7" s="1"/>
  <c r="K15" i="7" s="1" a="1"/>
  <c r="K15" i="7" s="1"/>
  <c r="M14" i="7" a="1"/>
  <c r="M14" i="7" s="1"/>
  <c r="V14" i="7" s="1"/>
  <c r="Q76" i="5"/>
  <c r="R76" i="5"/>
  <c r="R92" i="5"/>
  <c r="Q92" i="5"/>
  <c r="Q65" i="5"/>
  <c r="R65" i="5"/>
  <c r="Q96" i="5"/>
  <c r="R96" i="5"/>
  <c r="Q88" i="5"/>
  <c r="R88" i="5"/>
  <c r="Q60" i="5"/>
  <c r="R60" i="5"/>
  <c r="Q97" i="5"/>
  <c r="R97" i="5"/>
  <c r="Q100" i="5"/>
  <c r="R100" i="5"/>
  <c r="R61" i="5"/>
  <c r="Q61" i="5"/>
  <c r="Q69" i="5"/>
  <c r="R69" i="5"/>
  <c r="Q77" i="5"/>
  <c r="R77" i="5"/>
  <c r="Q64" i="5"/>
  <c r="R64" i="5"/>
  <c r="Q80" i="5"/>
  <c r="R80" i="5"/>
  <c r="Q68" i="5"/>
  <c r="R68" i="5"/>
  <c r="R72" i="5"/>
  <c r="Q72" i="5"/>
  <c r="Q89" i="5"/>
  <c r="R89" i="5"/>
  <c r="R93" i="5"/>
  <c r="Q93" i="5"/>
  <c r="N97" i="5"/>
  <c r="O97" i="5"/>
  <c r="N100" i="5"/>
  <c r="O100" i="5"/>
  <c r="O61" i="5"/>
  <c r="N61" i="5"/>
  <c r="N69" i="5"/>
  <c r="O69" i="5"/>
  <c r="N77" i="5"/>
  <c r="O77" i="5"/>
  <c r="N68" i="5"/>
  <c r="O68" i="5"/>
  <c r="O72" i="5"/>
  <c r="N72" i="5"/>
  <c r="N89" i="5"/>
  <c r="O89" i="5"/>
  <c r="O93" i="5"/>
  <c r="N93" i="5"/>
  <c r="N92" i="5"/>
  <c r="O92" i="5"/>
  <c r="N65" i="5"/>
  <c r="O65" i="5"/>
  <c r="N96" i="5"/>
  <c r="O96" i="5"/>
  <c r="N76" i="5"/>
  <c r="O76" i="5"/>
  <c r="N64" i="5"/>
  <c r="O64" i="5"/>
  <c r="N88" i="5"/>
  <c r="O88" i="5"/>
  <c r="N80" i="5"/>
  <c r="O80" i="5"/>
  <c r="N60" i="5"/>
  <c r="O60" i="5"/>
  <c r="Q57" i="5"/>
  <c r="R57" i="5"/>
  <c r="Q56" i="5"/>
  <c r="R56" i="5"/>
  <c r="N56" i="5"/>
  <c r="O56" i="5"/>
  <c r="N57" i="5"/>
  <c r="O57" i="5"/>
  <c r="K55" i="5" a="1"/>
  <c r="K55" i="5" s="1"/>
  <c r="P55" i="5" s="1"/>
  <c r="E8" i="3"/>
  <c r="E7" i="3" s="1"/>
  <c r="BB54" i="3"/>
  <c r="AY54" i="3"/>
  <c r="AW54" i="3"/>
  <c r="BF54" i="3"/>
  <c r="BE26" i="3"/>
  <c r="AW12" i="3"/>
  <c r="BG54" i="3"/>
  <c r="AZ12" i="3"/>
  <c r="BE54" i="3"/>
  <c r="AW26" i="3"/>
  <c r="BF26" i="3"/>
  <c r="AZ54" i="3"/>
  <c r="BE12" i="3"/>
  <c r="AY12" i="3"/>
  <c r="BB26" i="3"/>
  <c r="BC12" i="3"/>
  <c r="AV12" i="3"/>
  <c r="AV26" i="3"/>
  <c r="AY26" i="3"/>
  <c r="BG12" i="3"/>
  <c r="AV54" i="3"/>
  <c r="BI6" i="3"/>
  <c r="BD12" i="3"/>
  <c r="AU54" i="3"/>
  <c r="BG26" i="3"/>
  <c r="BA26" i="3"/>
  <c r="BD54" i="3"/>
  <c r="BB12" i="3"/>
  <c r="AX26" i="3"/>
  <c r="BA12" i="3"/>
  <c r="BA54" i="3"/>
  <c r="AX12" i="3"/>
  <c r="BC54" i="3"/>
  <c r="BD26" i="3"/>
  <c r="AZ26" i="3"/>
  <c r="AU12" i="3"/>
  <c r="BC26" i="3"/>
  <c r="AX54" i="3"/>
  <c r="BF12" i="3"/>
  <c r="AU26" i="3"/>
  <c r="J24" i="3"/>
  <c r="I24" i="3" a="1"/>
  <c r="G17" i="7" l="1" a="1"/>
  <c r="G17" i="7" s="1"/>
  <c r="N81" i="5"/>
  <c r="R81" i="5"/>
  <c r="O81" i="5"/>
  <c r="R73" i="5"/>
  <c r="O73" i="5"/>
  <c r="N101" i="5"/>
  <c r="N73" i="5"/>
  <c r="O101" i="5"/>
  <c r="R101" i="5"/>
  <c r="L16" i="7" a="1"/>
  <c r="L16" i="7" s="1"/>
  <c r="J17" i="7" a="1"/>
  <c r="J17" i="7" s="1"/>
  <c r="H17" i="7"/>
  <c r="E17" i="7" a="1"/>
  <c r="E17" i="7" s="1"/>
  <c r="F16" i="7"/>
  <c r="C18" i="7" a="1"/>
  <c r="C18" i="7" s="1"/>
  <c r="J18" i="7" s="1" a="1"/>
  <c r="J18" i="7" s="1"/>
  <c r="R84" i="5"/>
  <c r="Q84" i="5"/>
  <c r="O84" i="5"/>
  <c r="D16" i="7"/>
  <c r="N15" i="7" a="1"/>
  <c r="N15" i="7" s="1"/>
  <c r="M15" i="7" a="1"/>
  <c r="M15" i="7" s="1"/>
  <c r="V15" i="7" s="1"/>
  <c r="V26" i="2"/>
  <c r="V28" i="2" s="1"/>
  <c r="W28" i="2" s="1"/>
  <c r="O14" i="7"/>
  <c r="Q14" i="7"/>
  <c r="T14" i="7"/>
  <c r="M55" i="5"/>
  <c r="L55" i="5"/>
  <c r="J8" i="3"/>
  <c r="J7" i="3" s="1"/>
  <c r="K75" i="5" a="1"/>
  <c r="K75" i="5" s="1"/>
  <c r="BN12" i="3"/>
  <c r="BJ26" i="3"/>
  <c r="BS26" i="3"/>
  <c r="BT26" i="3"/>
  <c r="BM12" i="3"/>
  <c r="BL54" i="3"/>
  <c r="BU54" i="3"/>
  <c r="BO26" i="3"/>
  <c r="BL12" i="3"/>
  <c r="BI54" i="3"/>
  <c r="BP54" i="3"/>
  <c r="BI12" i="3"/>
  <c r="BQ12" i="3"/>
  <c r="BL26" i="3"/>
  <c r="BP26" i="3"/>
  <c r="BR26" i="3"/>
  <c r="BM54" i="3"/>
  <c r="BN54" i="3"/>
  <c r="BU12" i="3"/>
  <c r="BJ54" i="3"/>
  <c r="BK12" i="3"/>
  <c r="BT54" i="3"/>
  <c r="BN26" i="3"/>
  <c r="BJ12" i="3"/>
  <c r="BR12" i="3"/>
  <c r="BO54" i="3"/>
  <c r="BK26" i="3"/>
  <c r="BR54" i="3"/>
  <c r="BS12" i="3"/>
  <c r="BW6" i="3"/>
  <c r="BM26" i="3"/>
  <c r="BQ26" i="3"/>
  <c r="BT12" i="3"/>
  <c r="BQ54" i="3"/>
  <c r="BU26" i="3"/>
  <c r="BP12" i="3"/>
  <c r="BO12" i="3"/>
  <c r="BS54" i="3"/>
  <c r="BI26" i="3"/>
  <c r="BK54" i="3"/>
  <c r="I24" i="3"/>
  <c r="M24" i="3" a="1"/>
  <c r="F17" i="7" l="1"/>
  <c r="D17" i="7"/>
  <c r="I17" i="7" s="1" a="1"/>
  <c r="I17" i="7" s="1"/>
  <c r="K17" i="7" s="1" a="1"/>
  <c r="K17" i="7" s="1"/>
  <c r="G18" i="7" a="1"/>
  <c r="G18" i="7" s="1"/>
  <c r="H18" i="7"/>
  <c r="C19" i="7" a="1"/>
  <c r="C19" i="7" s="1"/>
  <c r="J19" i="7" s="1" a="1"/>
  <c r="J19" i="7" s="1"/>
  <c r="E18" i="7" a="1"/>
  <c r="E18" i="7" s="1"/>
  <c r="M16" i="7" a="1"/>
  <c r="M16" i="7" s="1"/>
  <c r="N16" i="7" a="1"/>
  <c r="N16" i="7" s="1"/>
  <c r="I16" i="7" a="1"/>
  <c r="I16" i="7" s="1"/>
  <c r="K16" i="7" s="1" a="1"/>
  <c r="K16" i="7" s="1"/>
  <c r="O15" i="7"/>
  <c r="T15" i="7"/>
  <c r="Q15" i="7"/>
  <c r="M75" i="5"/>
  <c r="P75" i="5"/>
  <c r="Q55" i="5"/>
  <c r="R55" i="5"/>
  <c r="N55" i="5"/>
  <c r="O55" i="5"/>
  <c r="L75" i="5"/>
  <c r="I8" i="3"/>
  <c r="I7" i="3" s="1"/>
  <c r="K71" i="5" a="1"/>
  <c r="K71" i="5" s="1"/>
  <c r="CK6" i="3"/>
  <c r="CF26" i="3"/>
  <c r="CI54" i="3"/>
  <c r="CA26" i="3"/>
  <c r="CC26" i="3"/>
  <c r="CC12" i="3"/>
  <c r="BZ54" i="3"/>
  <c r="BX12" i="3"/>
  <c r="CI26" i="3"/>
  <c r="BW54" i="3"/>
  <c r="BW26" i="3"/>
  <c r="CF12" i="3"/>
  <c r="CC54" i="3"/>
  <c r="CA12" i="3"/>
  <c r="CE26" i="3"/>
  <c r="BZ12" i="3"/>
  <c r="CH26" i="3"/>
  <c r="BY26" i="3"/>
  <c r="CG26" i="3"/>
  <c r="CE12" i="3"/>
  <c r="CD26" i="3"/>
  <c r="CB54" i="3"/>
  <c r="BX54" i="3"/>
  <c r="CF54" i="3"/>
  <c r="CE54" i="3"/>
  <c r="BW12" i="3"/>
  <c r="CB12" i="3"/>
  <c r="CH12" i="3"/>
  <c r="CG54" i="3"/>
  <c r="BY12" i="3"/>
  <c r="BZ26" i="3"/>
  <c r="BY54" i="3"/>
  <c r="CB26" i="3"/>
  <c r="CD54" i="3"/>
  <c r="CD12" i="3"/>
  <c r="BX26" i="3"/>
  <c r="CA54" i="3"/>
  <c r="CG12" i="3"/>
  <c r="CI12" i="3"/>
  <c r="CH54" i="3"/>
  <c r="M24" i="3"/>
  <c r="P15" i="7"/>
  <c r="H24" i="3" a="1"/>
  <c r="P14" i="7"/>
  <c r="N17" i="7" l="1" a="1"/>
  <c r="N17" i="7" s="1"/>
  <c r="M17" i="7" a="1"/>
  <c r="M17" i="7" s="1"/>
  <c r="V17" i="7" s="1"/>
  <c r="E19" i="7" a="1"/>
  <c r="E19" i="7" s="1"/>
  <c r="G19" i="7" a="1"/>
  <c r="G19" i="7" s="1"/>
  <c r="D18" i="7"/>
  <c r="I18" i="7" s="1" a="1"/>
  <c r="I18" i="7" s="1"/>
  <c r="K18" i="7" s="1" a="1"/>
  <c r="K18" i="7" s="1"/>
  <c r="H19" i="7"/>
  <c r="O16" i="7"/>
  <c r="F18" i="7"/>
  <c r="P18" i="7" s="1"/>
  <c r="C20" i="7" a="1"/>
  <c r="C20" i="7" s="1"/>
  <c r="G20" i="7" s="1" a="1"/>
  <c r="G20" i="7" s="1"/>
  <c r="V16" i="7"/>
  <c r="Q16" i="7"/>
  <c r="T16" i="7"/>
  <c r="O17" i="7"/>
  <c r="Q75" i="5"/>
  <c r="R75" i="5"/>
  <c r="M71" i="5"/>
  <c r="P71" i="5"/>
  <c r="N75" i="5"/>
  <c r="O75" i="5"/>
  <c r="L71" i="5"/>
  <c r="M8" i="3"/>
  <c r="M7" i="3" s="1"/>
  <c r="M10" i="3" s="1" a="1"/>
  <c r="M10" i="3" s="1"/>
  <c r="K87" i="5" a="1"/>
  <c r="K87" i="5" s="1"/>
  <c r="CP26" i="3"/>
  <c r="CT26" i="3"/>
  <c r="CQ12" i="3"/>
  <c r="CW54" i="3"/>
  <c r="CK54" i="3"/>
  <c r="CR54" i="3"/>
  <c r="CN26" i="3"/>
  <c r="CV12" i="3"/>
  <c r="CM54" i="3"/>
  <c r="CU12" i="3"/>
  <c r="CL54" i="3"/>
  <c r="CN12" i="3"/>
  <c r="CM12" i="3"/>
  <c r="CU54" i="3"/>
  <c r="CW12" i="3"/>
  <c r="CP54" i="3"/>
  <c r="CS26" i="3"/>
  <c r="CQ26" i="3"/>
  <c r="CV54" i="3"/>
  <c r="CQ54" i="3"/>
  <c r="CT12" i="3"/>
  <c r="CS54" i="3"/>
  <c r="CY6" i="3"/>
  <c r="CW26" i="3"/>
  <c r="CT54" i="3"/>
  <c r="CU26" i="3"/>
  <c r="CS12" i="3"/>
  <c r="CK12" i="3"/>
  <c r="CO12" i="3"/>
  <c r="CR26" i="3"/>
  <c r="CO54" i="3"/>
  <c r="CL12" i="3"/>
  <c r="CL26" i="3"/>
  <c r="CM26" i="3"/>
  <c r="CV26" i="3"/>
  <c r="CO26" i="3"/>
  <c r="CP12" i="3"/>
  <c r="CR12" i="3"/>
  <c r="CN54" i="3"/>
  <c r="CK26" i="3"/>
  <c r="H24" i="3"/>
  <c r="P16" i="7"/>
  <c r="P17" i="7"/>
  <c r="G24" i="3" a="1"/>
  <c r="K19" i="7" l="1" a="1"/>
  <c r="K19" i="7" s="1"/>
  <c r="R18" i="7"/>
  <c r="Q17" i="7"/>
  <c r="T17" i="7"/>
  <c r="Q18" i="7"/>
  <c r="S18" i="7"/>
  <c r="O18" i="7"/>
  <c r="T18" i="7"/>
  <c r="AA19" i="7"/>
  <c r="AB19" i="7"/>
  <c r="M18" i="7" a="1"/>
  <c r="M18" i="7" s="1"/>
  <c r="V18" i="7"/>
  <c r="D19" i="7"/>
  <c r="I19" i="7" s="1" a="1"/>
  <c r="I19" i="7" s="1"/>
  <c r="L19" i="7" a="1"/>
  <c r="L19" i="7" s="1"/>
  <c r="W18" i="7"/>
  <c r="Z19" i="7"/>
  <c r="AD19" i="7"/>
  <c r="AC19" i="7"/>
  <c r="F19" i="7"/>
  <c r="S19" i="7" s="1"/>
  <c r="U18" i="7"/>
  <c r="N18" i="7" a="1"/>
  <c r="N18" i="7" s="1"/>
  <c r="X18" i="7"/>
  <c r="J20" i="7" a="1"/>
  <c r="J20" i="7" s="1"/>
  <c r="C21" i="7" a="1"/>
  <c r="C21" i="7" s="1"/>
  <c r="J21" i="7" s="1" a="1"/>
  <c r="J21" i="7" s="1"/>
  <c r="H20" i="7"/>
  <c r="E20" i="7" a="1"/>
  <c r="E20" i="7" s="1"/>
  <c r="M9" i="3"/>
  <c r="R71" i="5"/>
  <c r="Q71" i="5"/>
  <c r="M87" i="5"/>
  <c r="P87" i="5"/>
  <c r="N71" i="5"/>
  <c r="O71" i="5"/>
  <c r="L87" i="5"/>
  <c r="H8" i="3"/>
  <c r="H7" i="3" s="1"/>
  <c r="K67" i="5" a="1"/>
  <c r="K67" i="5" s="1"/>
  <c r="DB54" i="3"/>
  <c r="DB12" i="3"/>
  <c r="CY26" i="3"/>
  <c r="CY54" i="3"/>
  <c r="DI54" i="3"/>
  <c r="DB26" i="3"/>
  <c r="DD26" i="3"/>
  <c r="DA26" i="3"/>
  <c r="DH26" i="3"/>
  <c r="DI12" i="3"/>
  <c r="DE54" i="3"/>
  <c r="DD12" i="3"/>
  <c r="DE12" i="3"/>
  <c r="DJ12" i="3"/>
  <c r="DJ26" i="3"/>
  <c r="DE26" i="3"/>
  <c r="DG26" i="3"/>
  <c r="CY12" i="3"/>
  <c r="DM6" i="3"/>
  <c r="DI26" i="3"/>
  <c r="DF12" i="3"/>
  <c r="CZ26" i="3"/>
  <c r="DF54" i="3"/>
  <c r="DC12" i="3"/>
  <c r="DC54" i="3"/>
  <c r="DH54" i="3"/>
  <c r="DD54" i="3"/>
  <c r="DF26" i="3"/>
  <c r="DA54" i="3"/>
  <c r="DJ54" i="3"/>
  <c r="DA12" i="3"/>
  <c r="DC26" i="3"/>
  <c r="DK12" i="3"/>
  <c r="CZ54" i="3"/>
  <c r="DK26" i="3"/>
  <c r="CZ12" i="3"/>
  <c r="DG54" i="3"/>
  <c r="DK54" i="3"/>
  <c r="DH12" i="3"/>
  <c r="DG12" i="3"/>
  <c r="G24" i="3"/>
  <c r="K24" i="3" a="1"/>
  <c r="Q19" i="7" l="1"/>
  <c r="M19" i="7" a="1"/>
  <c r="M19" i="7" s="1"/>
  <c r="N19" i="7" a="1"/>
  <c r="N19" i="7" s="1"/>
  <c r="C22" i="7" a="1"/>
  <c r="C22" i="7" s="1"/>
  <c r="J22" i="7" s="1" a="1"/>
  <c r="J22" i="7" s="1"/>
  <c r="O19" i="7"/>
  <c r="W19" i="7"/>
  <c r="T19" i="7"/>
  <c r="R19" i="7"/>
  <c r="P19" i="7"/>
  <c r="U19" i="7"/>
  <c r="V19" i="7"/>
  <c r="X19" i="7"/>
  <c r="F20" i="7"/>
  <c r="M20" i="7" s="1" a="1"/>
  <c r="M20" i="7" s="1"/>
  <c r="V20" i="7" s="1"/>
  <c r="G21" i="7" a="1"/>
  <c r="G21" i="7" s="1"/>
  <c r="H21" i="7"/>
  <c r="E21" i="7" a="1"/>
  <c r="E21" i="7" s="1"/>
  <c r="L21" i="7" s="1" a="1"/>
  <c r="L21" i="7" s="1"/>
  <c r="L20" i="7" a="1"/>
  <c r="L20" i="7" s="1"/>
  <c r="D20" i="7"/>
  <c r="I20" i="7" s="1" a="1"/>
  <c r="I20" i="7" s="1"/>
  <c r="K20" i="7" s="1" a="1"/>
  <c r="K20" i="7" s="1"/>
  <c r="Q87" i="5"/>
  <c r="R87" i="5"/>
  <c r="M67" i="5"/>
  <c r="P67" i="5"/>
  <c r="N87" i="5"/>
  <c r="O87" i="5"/>
  <c r="L67" i="5"/>
  <c r="G8" i="3"/>
  <c r="G7" i="3" s="1"/>
  <c r="K63" i="5" a="1"/>
  <c r="K63" i="5" s="1"/>
  <c r="G22" i="7" a="1"/>
  <c r="G22" i="7" s="1"/>
  <c r="EA6" i="3"/>
  <c r="DN26" i="3"/>
  <c r="DM12" i="3"/>
  <c r="DQ54" i="3"/>
  <c r="DT12" i="3"/>
  <c r="DY26" i="3"/>
  <c r="DO54" i="3"/>
  <c r="DR54" i="3"/>
  <c r="DW12" i="3"/>
  <c r="DU26" i="3"/>
  <c r="DQ12" i="3"/>
  <c r="DS12" i="3"/>
  <c r="DS26" i="3"/>
  <c r="DX26" i="3"/>
  <c r="DQ26" i="3"/>
  <c r="DR12" i="3"/>
  <c r="DO26" i="3"/>
  <c r="DV12" i="3"/>
  <c r="DM54" i="3"/>
  <c r="DV26" i="3"/>
  <c r="DN12" i="3"/>
  <c r="DT26" i="3"/>
  <c r="DX54" i="3"/>
  <c r="DO12" i="3"/>
  <c r="DW54" i="3"/>
  <c r="DX12" i="3"/>
  <c r="DP54" i="3"/>
  <c r="DU12" i="3"/>
  <c r="DV54" i="3"/>
  <c r="DS54" i="3"/>
  <c r="DP12" i="3"/>
  <c r="DY54" i="3"/>
  <c r="DY12" i="3"/>
  <c r="DT54" i="3"/>
  <c r="DN54" i="3"/>
  <c r="DM26" i="3"/>
  <c r="DU54" i="3"/>
  <c r="DW26" i="3"/>
  <c r="DP26" i="3"/>
  <c r="DR26" i="3"/>
  <c r="K24" i="3"/>
  <c r="Q24" i="3" a="1"/>
  <c r="C23" i="7" l="1" a="1"/>
  <c r="C23" i="7" s="1"/>
  <c r="E22" i="7" a="1"/>
  <c r="E22" i="7" s="1"/>
  <c r="D21" i="7"/>
  <c r="H22" i="7"/>
  <c r="D22" i="7" s="1"/>
  <c r="F21" i="7"/>
  <c r="Q67" i="5"/>
  <c r="R67" i="5"/>
  <c r="M63" i="5"/>
  <c r="P63" i="5"/>
  <c r="N67" i="5"/>
  <c r="O67" i="5"/>
  <c r="L63" i="5"/>
  <c r="K8" i="3"/>
  <c r="K7" i="3" s="1"/>
  <c r="K79" i="5" a="1"/>
  <c r="K79" i="5" s="1"/>
  <c r="Y19" i="7"/>
  <c r="C24" i="7" a="1"/>
  <c r="C24" i="7" s="1"/>
  <c r="H23" i="7"/>
  <c r="G23" i="7" a="1"/>
  <c r="G23" i="7" s="1"/>
  <c r="E23" i="7" a="1"/>
  <c r="E23" i="7" s="1"/>
  <c r="J23" i="7" a="1"/>
  <c r="J23" i="7" s="1"/>
  <c r="I21" i="7" a="1"/>
  <c r="I21" i="7" s="1"/>
  <c r="K21" i="7" s="1" a="1"/>
  <c r="K21" i="7" s="1"/>
  <c r="EE12" i="3"/>
  <c r="EK26" i="3"/>
  <c r="EH12" i="3"/>
  <c r="EB12" i="3"/>
  <c r="EJ54" i="3"/>
  <c r="EM54" i="3"/>
  <c r="EM26" i="3"/>
  <c r="ED12" i="3"/>
  <c r="EA54" i="3"/>
  <c r="ED54" i="3"/>
  <c r="EI54" i="3"/>
  <c r="EL54" i="3"/>
  <c r="EF12" i="3"/>
  <c r="EK54" i="3"/>
  <c r="EM12" i="3"/>
  <c r="EE54" i="3"/>
  <c r="EE26" i="3"/>
  <c r="EJ12" i="3"/>
  <c r="EC12" i="3"/>
  <c r="EB26" i="3"/>
  <c r="EG26" i="3"/>
  <c r="EG54" i="3"/>
  <c r="EG12" i="3"/>
  <c r="EA26" i="3"/>
  <c r="EK12" i="3"/>
  <c r="EF26" i="3"/>
  <c r="EI12" i="3"/>
  <c r="EL26" i="3"/>
  <c r="EB54" i="3"/>
  <c r="EJ26" i="3"/>
  <c r="EO6" i="3"/>
  <c r="EL12" i="3"/>
  <c r="EA12" i="3"/>
  <c r="ED26" i="3"/>
  <c r="EI26" i="3"/>
  <c r="EH26" i="3"/>
  <c r="EC54" i="3"/>
  <c r="EC26" i="3"/>
  <c r="EH54" i="3"/>
  <c r="EF54" i="3"/>
  <c r="Q24" i="3"/>
  <c r="P24" i="3" a="1"/>
  <c r="L22" i="7" l="1" a="1"/>
  <c r="L22" i="7" s="1"/>
  <c r="F22" i="7"/>
  <c r="Q4" i="3"/>
  <c r="Q5" i="3"/>
  <c r="M21" i="7" a="1"/>
  <c r="M21" i="7" s="1"/>
  <c r="V21" i="7" s="1"/>
  <c r="Q63" i="5"/>
  <c r="R63" i="5"/>
  <c r="M79" i="5"/>
  <c r="P79" i="5"/>
  <c r="N63" i="5"/>
  <c r="O63" i="5"/>
  <c r="L79" i="5"/>
  <c r="F23" i="7"/>
  <c r="L23" i="7" a="1"/>
  <c r="L23" i="7" s="1"/>
  <c r="C25" i="7" a="1"/>
  <c r="C25" i="7" s="1"/>
  <c r="G24" i="7" a="1"/>
  <c r="G24" i="7" s="1"/>
  <c r="H24" i="7"/>
  <c r="E24" i="7" a="1"/>
  <c r="E24" i="7" s="1"/>
  <c r="D23" i="7"/>
  <c r="I22" i="7" a="1"/>
  <c r="I22" i="7" s="1"/>
  <c r="K22" i="7" s="1" a="1"/>
  <c r="K22" i="7" s="1"/>
  <c r="J24" i="7" a="1"/>
  <c r="J24" i="7" s="1"/>
  <c r="M22" i="7" a="1"/>
  <c r="M22" i="7" s="1"/>
  <c r="V22" i="7" s="1"/>
  <c r="EV12" i="3"/>
  <c r="FC6" i="3"/>
  <c r="EV26" i="3"/>
  <c r="EY54" i="3"/>
  <c r="EY26" i="3"/>
  <c r="ES26" i="3"/>
  <c r="EP12" i="3"/>
  <c r="EP54" i="3"/>
  <c r="ES12" i="3"/>
  <c r="ES54" i="3"/>
  <c r="FA26" i="3"/>
  <c r="EX12" i="3"/>
  <c r="EX54" i="3"/>
  <c r="FA54" i="3"/>
  <c r="EU54" i="3"/>
  <c r="EU26" i="3"/>
  <c r="ET12" i="3"/>
  <c r="EO12" i="3"/>
  <c r="EO26" i="3"/>
  <c r="EW26" i="3"/>
  <c r="EQ26" i="3"/>
  <c r="EX26" i="3"/>
  <c r="EW54" i="3"/>
  <c r="EQ54" i="3"/>
  <c r="FA12" i="3"/>
  <c r="EP26" i="3"/>
  <c r="EO54" i="3"/>
  <c r="EZ26" i="3"/>
  <c r="EY12" i="3"/>
  <c r="ER12" i="3"/>
  <c r="EZ12" i="3"/>
  <c r="EU12" i="3"/>
  <c r="ER54" i="3"/>
  <c r="EZ54" i="3"/>
  <c r="ET54" i="3"/>
  <c r="EQ12" i="3"/>
  <c r="EW12" i="3"/>
  <c r="ER26" i="3"/>
  <c r="ET26" i="3"/>
  <c r="EV54" i="3"/>
  <c r="P24" i="3"/>
  <c r="P8" i="3" s="1"/>
  <c r="L24" i="3" a="1"/>
  <c r="Q79" i="5" l="1"/>
  <c r="R79" i="5"/>
  <c r="N79" i="5"/>
  <c r="O79" i="5"/>
  <c r="P7" i="3"/>
  <c r="K99" i="5" a="1"/>
  <c r="K99" i="5" s="1"/>
  <c r="F24" i="7"/>
  <c r="L24" i="7" a="1"/>
  <c r="L24" i="7" s="1"/>
  <c r="C26" i="7" a="1"/>
  <c r="C26" i="7" s="1"/>
  <c r="J26" i="7" s="1" a="1"/>
  <c r="J26" i="7" s="1"/>
  <c r="G25" i="7" a="1"/>
  <c r="G25" i="7" s="1"/>
  <c r="E25" i="7" a="1"/>
  <c r="E25" i="7" s="1"/>
  <c r="H25" i="7"/>
  <c r="J25" i="7" a="1"/>
  <c r="J25" i="7" s="1"/>
  <c r="M23" i="7" a="1"/>
  <c r="M23" i="7" s="1"/>
  <c r="V23" i="7" s="1"/>
  <c r="D24" i="7"/>
  <c r="I23" i="7" a="1"/>
  <c r="I23" i="7" s="1"/>
  <c r="K23" i="7" s="1" a="1"/>
  <c r="K23" i="7" s="1"/>
  <c r="FI12" i="3"/>
  <c r="FE54" i="3"/>
  <c r="FK12" i="3"/>
  <c r="FM12" i="3"/>
  <c r="FO12" i="3"/>
  <c r="FE12" i="3"/>
  <c r="FM54" i="3"/>
  <c r="FE26" i="3"/>
  <c r="FG26" i="3"/>
  <c r="FK26" i="3"/>
  <c r="FL26" i="3"/>
  <c r="FG12" i="3"/>
  <c r="FO26" i="3"/>
  <c r="FI54" i="3"/>
  <c r="FC54" i="3"/>
  <c r="FD54" i="3"/>
  <c r="FD26" i="3"/>
  <c r="FG54" i="3"/>
  <c r="FC12" i="3"/>
  <c r="FK54" i="3"/>
  <c r="FN26" i="3"/>
  <c r="FN12" i="3"/>
  <c r="FL12" i="3"/>
  <c r="FN54" i="3"/>
  <c r="FL54" i="3"/>
  <c r="FO54" i="3"/>
  <c r="FJ12" i="3"/>
  <c r="FF12" i="3"/>
  <c r="FH12" i="3"/>
  <c r="FF26" i="3"/>
  <c r="FF54" i="3"/>
  <c r="FC26" i="3"/>
  <c r="FH26" i="3"/>
  <c r="FM26" i="3"/>
  <c r="FQ6" i="3"/>
  <c r="FD12" i="3"/>
  <c r="FI26" i="3"/>
  <c r="FJ54" i="3"/>
  <c r="FH54" i="3"/>
  <c r="FJ26" i="3"/>
  <c r="L24" i="3"/>
  <c r="O24" i="3" a="1"/>
  <c r="P10" i="3" l="1" a="1"/>
  <c r="P10" i="3" s="1"/>
  <c r="P9" i="3" s="1"/>
  <c r="M99" i="5"/>
  <c r="P99" i="5"/>
  <c r="L99" i="5"/>
  <c r="K83" i="5" a="1"/>
  <c r="K83" i="5" s="1"/>
  <c r="F25" i="7"/>
  <c r="L25" i="7" a="1"/>
  <c r="L25" i="7" s="1"/>
  <c r="C27" i="7" a="1"/>
  <c r="C27" i="7" s="1"/>
  <c r="J27" i="7" s="1" a="1"/>
  <c r="J27" i="7" s="1"/>
  <c r="H26" i="7"/>
  <c r="G26" i="7" a="1"/>
  <c r="G26" i="7" s="1"/>
  <c r="E26" i="7" a="1"/>
  <c r="E26" i="7" s="1"/>
  <c r="M24" i="7" a="1"/>
  <c r="M24" i="7" s="1"/>
  <c r="V24" i="7" s="1"/>
  <c r="D25" i="7"/>
  <c r="I24" i="7" a="1"/>
  <c r="I24" i="7" s="1"/>
  <c r="K24" i="7" s="1" a="1"/>
  <c r="K24" i="7" s="1"/>
  <c r="FR12" i="3"/>
  <c r="GA54" i="3"/>
  <c r="FR26" i="3"/>
  <c r="FU26" i="3"/>
  <c r="FZ12" i="3"/>
  <c r="GA12" i="3"/>
  <c r="FW54" i="3"/>
  <c r="FV26" i="3"/>
  <c r="GB12" i="3"/>
  <c r="FU12" i="3"/>
  <c r="GB54" i="3"/>
  <c r="FX26" i="3"/>
  <c r="FZ54" i="3"/>
  <c r="FT12" i="3"/>
  <c r="FV12" i="3"/>
  <c r="GC26" i="3"/>
  <c r="FS54" i="3"/>
  <c r="GE6" i="3"/>
  <c r="FW26" i="3"/>
  <c r="FZ26" i="3"/>
  <c r="FQ54" i="3"/>
  <c r="GC12" i="3"/>
  <c r="FY54" i="3"/>
  <c r="GA26" i="3"/>
  <c r="GC54" i="3"/>
  <c r="FY26" i="3"/>
  <c r="FT26" i="3"/>
  <c r="FR54" i="3"/>
  <c r="FS12" i="3"/>
  <c r="FS26" i="3"/>
  <c r="FX54" i="3"/>
  <c r="FY12" i="3"/>
  <c r="FU54" i="3"/>
  <c r="FW12" i="3"/>
  <c r="FT54" i="3"/>
  <c r="GB26" i="3"/>
  <c r="FQ12" i="3"/>
  <c r="FV54" i="3"/>
  <c r="FX12" i="3"/>
  <c r="FQ26" i="3"/>
  <c r="O24" i="3"/>
  <c r="N24" i="3" a="1"/>
  <c r="M83" i="5" l="1"/>
  <c r="P83" i="5"/>
  <c r="Q99" i="5"/>
  <c r="R99" i="5"/>
  <c r="N99" i="5"/>
  <c r="O99" i="5"/>
  <c r="L83" i="5"/>
  <c r="O8" i="3"/>
  <c r="O7" i="3" s="1"/>
  <c r="O10" i="3" s="1" a="1"/>
  <c r="O10" i="3" s="1"/>
  <c r="K95" i="5" a="1"/>
  <c r="K95" i="5" s="1"/>
  <c r="M25" i="7" a="1"/>
  <c r="M25" i="7" s="1"/>
  <c r="V25" i="7" s="1"/>
  <c r="C28" i="7" a="1"/>
  <c r="C28" i="7" s="1"/>
  <c r="H27" i="7"/>
  <c r="E27" i="7" a="1"/>
  <c r="E27" i="7" s="1"/>
  <c r="G27" i="7" a="1"/>
  <c r="G27" i="7" s="1"/>
  <c r="F26" i="7"/>
  <c r="L26" i="7" a="1"/>
  <c r="L26" i="7" s="1"/>
  <c r="D26" i="7"/>
  <c r="I25" i="7" a="1"/>
  <c r="I25" i="7" s="1"/>
  <c r="K25" i="7" s="1" a="1"/>
  <c r="K25" i="7" s="1"/>
  <c r="GP26" i="3"/>
  <c r="GI12" i="3"/>
  <c r="GL12" i="3"/>
  <c r="GF26" i="3"/>
  <c r="GP54" i="3"/>
  <c r="GS6" i="3"/>
  <c r="GM12" i="3"/>
  <c r="GK12" i="3"/>
  <c r="GO26" i="3"/>
  <c r="GL26" i="3"/>
  <c r="GF12" i="3"/>
  <c r="GH26" i="3"/>
  <c r="GE12" i="3"/>
  <c r="GJ54" i="3"/>
  <c r="GE26" i="3"/>
  <c r="GP12" i="3"/>
  <c r="GQ12" i="3"/>
  <c r="GN54" i="3"/>
  <c r="GK26" i="3"/>
  <c r="GQ26" i="3"/>
  <c r="GN12" i="3"/>
  <c r="GJ12" i="3"/>
  <c r="GG54" i="3"/>
  <c r="GF54" i="3"/>
  <c r="GI54" i="3"/>
  <c r="GM26" i="3"/>
  <c r="GE54" i="3"/>
  <c r="GN26" i="3"/>
  <c r="GQ54" i="3"/>
  <c r="GO54" i="3"/>
  <c r="GJ26" i="3"/>
  <c r="GK54" i="3"/>
  <c r="GO12" i="3"/>
  <c r="GI26" i="3"/>
  <c r="GG26" i="3"/>
  <c r="GM54" i="3"/>
  <c r="GG12" i="3"/>
  <c r="GH12" i="3"/>
  <c r="GH54" i="3"/>
  <c r="GL54" i="3"/>
  <c r="N24" i="3"/>
  <c r="L18" i="7" s="1" a="1"/>
  <c r="L18" i="7" s="1"/>
  <c r="F24" i="3" a="1"/>
  <c r="O9" i="3" l="1"/>
  <c r="R83" i="5"/>
  <c r="Q83" i="5"/>
  <c r="M95" i="5"/>
  <c r="P95" i="5"/>
  <c r="O83" i="5"/>
  <c r="N83" i="5"/>
  <c r="L95" i="5"/>
  <c r="N8" i="3"/>
  <c r="N7" i="3" s="1"/>
  <c r="N10" i="3" s="1" a="1"/>
  <c r="N10" i="3" s="1"/>
  <c r="N9" i="3" s="1"/>
  <c r="K91" i="5" a="1"/>
  <c r="K91" i="5" s="1"/>
  <c r="M26" i="7" a="1"/>
  <c r="M26" i="7" s="1"/>
  <c r="J28" i="7" a="1"/>
  <c r="J28" i="7" s="1"/>
  <c r="C29" i="7" a="1"/>
  <c r="C29" i="7" s="1"/>
  <c r="E28" i="7" a="1"/>
  <c r="E28" i="7" s="1"/>
  <c r="G28" i="7" a="1"/>
  <c r="G28" i="7" s="1"/>
  <c r="H28" i="7"/>
  <c r="D27" i="7"/>
  <c r="I26" i="7" a="1"/>
  <c r="I26" i="7" s="1"/>
  <c r="K26" i="7" s="1" a="1"/>
  <c r="K26" i="7" s="1"/>
  <c r="F27" i="7"/>
  <c r="L27" i="7" a="1"/>
  <c r="L27" i="7" s="1"/>
  <c r="GZ12" i="3"/>
  <c r="GS26" i="3"/>
  <c r="GS12" i="3"/>
  <c r="GV54" i="3"/>
  <c r="HD54" i="3"/>
  <c r="GU12" i="3"/>
  <c r="HD26" i="3"/>
  <c r="GT12" i="3"/>
  <c r="HC12" i="3"/>
  <c r="HE54" i="3"/>
  <c r="GY12" i="3"/>
  <c r="HB26" i="3"/>
  <c r="HA12" i="3"/>
  <c r="GY26" i="3"/>
  <c r="GT26" i="3"/>
  <c r="GU26" i="3"/>
  <c r="HC54" i="3"/>
  <c r="HE26" i="3"/>
  <c r="HA26" i="3"/>
  <c r="HB12" i="3"/>
  <c r="HE12" i="3"/>
  <c r="GV12" i="3"/>
  <c r="GZ26" i="3"/>
  <c r="GS54" i="3"/>
  <c r="GW26" i="3"/>
  <c r="GZ54" i="3"/>
  <c r="GX54" i="3"/>
  <c r="GW54" i="3"/>
  <c r="HA54" i="3"/>
  <c r="GY54" i="3"/>
  <c r="HG6" i="3"/>
  <c r="HC26" i="3"/>
  <c r="GW12" i="3"/>
  <c r="HD12" i="3"/>
  <c r="GT54" i="3"/>
  <c r="GX26" i="3"/>
  <c r="GU54" i="3"/>
  <c r="GX12" i="3"/>
  <c r="GV26" i="3"/>
  <c r="HB54" i="3"/>
  <c r="F24" i="3"/>
  <c r="K59" i="5" s="1" a="1"/>
  <c r="K59" i="5" s="1"/>
  <c r="M59" i="5" l="1"/>
  <c r="P59" i="5"/>
  <c r="Q95" i="5"/>
  <c r="R95" i="5"/>
  <c r="M91" i="5"/>
  <c r="P91" i="5"/>
  <c r="N95" i="5"/>
  <c r="O95" i="5"/>
  <c r="L91" i="5"/>
  <c r="L59" i="5"/>
  <c r="F28" i="7"/>
  <c r="L28" i="7" a="1"/>
  <c r="L28" i="7" s="1"/>
  <c r="V26" i="7"/>
  <c r="C30" i="7" a="1"/>
  <c r="C30" i="7" s="1"/>
  <c r="G29" i="7" a="1"/>
  <c r="G29" i="7" s="1"/>
  <c r="H29" i="7"/>
  <c r="E29" i="7" a="1"/>
  <c r="E29" i="7" s="1"/>
  <c r="D28" i="7"/>
  <c r="I27" i="7" a="1"/>
  <c r="I27" i="7" s="1"/>
  <c r="K27" i="7" s="1" a="1"/>
  <c r="K27" i="7" s="1"/>
  <c r="J29" i="7" a="1"/>
  <c r="J29" i="7" s="1"/>
  <c r="M27" i="7" a="1"/>
  <c r="M27" i="7" s="1"/>
  <c r="V27" i="7" s="1"/>
  <c r="F8" i="3"/>
  <c r="F7" i="3" s="1"/>
  <c r="L17" i="7" a="1"/>
  <c r="L17" i="7" s="1"/>
  <c r="HI12" i="3"/>
  <c r="HM12" i="3"/>
  <c r="HG54" i="3"/>
  <c r="HJ12" i="3"/>
  <c r="HM26" i="3"/>
  <c r="HP12" i="3"/>
  <c r="HL26" i="3"/>
  <c r="HQ54" i="3"/>
  <c r="HG12" i="3"/>
  <c r="HI26" i="3"/>
  <c r="HJ26" i="3"/>
  <c r="HL12" i="3"/>
  <c r="HN26" i="3"/>
  <c r="HQ12" i="3"/>
  <c r="HK12" i="3"/>
  <c r="HS26" i="3"/>
  <c r="HU6" i="3"/>
  <c r="HN54" i="3"/>
  <c r="HK26" i="3"/>
  <c r="HH26" i="3"/>
  <c r="HH12" i="3"/>
  <c r="HM54" i="3"/>
  <c r="HN12" i="3"/>
  <c r="HG26" i="3"/>
  <c r="HL54" i="3"/>
  <c r="HQ26" i="3"/>
  <c r="HR54" i="3"/>
  <c r="HO26" i="3"/>
  <c r="HP54" i="3"/>
  <c r="HP26" i="3"/>
  <c r="HS12" i="3"/>
  <c r="HK54" i="3"/>
  <c r="HI54" i="3"/>
  <c r="HJ54" i="3"/>
  <c r="HR12" i="3"/>
  <c r="HO12" i="3"/>
  <c r="HO54" i="3"/>
  <c r="HR26" i="3"/>
  <c r="HH54" i="3"/>
  <c r="HS54" i="3"/>
  <c r="R14" i="7"/>
  <c r="R16" i="7"/>
  <c r="R15" i="7"/>
  <c r="S14" i="7" l="1"/>
  <c r="S15" i="7"/>
  <c r="S16" i="7"/>
  <c r="Q59" i="5"/>
  <c r="R59" i="5"/>
  <c r="Q91" i="5"/>
  <c r="R91" i="5"/>
  <c r="N59" i="5"/>
  <c r="O59" i="5"/>
  <c r="N91" i="5"/>
  <c r="O91" i="5"/>
  <c r="F29" i="7"/>
  <c r="L29" i="7" a="1"/>
  <c r="L29" i="7" s="1"/>
  <c r="C31" i="7" a="1"/>
  <c r="C31" i="7" s="1"/>
  <c r="J31" i="7" s="1" a="1"/>
  <c r="J31" i="7" s="1"/>
  <c r="G30" i="7" a="1"/>
  <c r="G30" i="7" s="1"/>
  <c r="H30" i="7"/>
  <c r="E30" i="7" a="1"/>
  <c r="E30" i="7" s="1"/>
  <c r="D29" i="7"/>
  <c r="I29" i="7" s="1" a="1"/>
  <c r="I29" i="7" s="1"/>
  <c r="K29" i="7" s="1" a="1"/>
  <c r="K29" i="7" s="1"/>
  <c r="I28" i="7" a="1"/>
  <c r="I28" i="7" s="1"/>
  <c r="K28" i="7" s="1" a="1"/>
  <c r="K28" i="7" s="1"/>
  <c r="J30" i="7" a="1"/>
  <c r="J30" i="7" s="1"/>
  <c r="M28" i="7" a="1"/>
  <c r="M28" i="7" s="1"/>
  <c r="HZ12" i="3"/>
  <c r="IA26" i="3"/>
  <c r="HY26" i="3"/>
  <c r="IF54" i="3"/>
  <c r="IA54" i="3"/>
  <c r="HV12" i="3"/>
  <c r="IG54" i="3"/>
  <c r="IE26" i="3"/>
  <c r="HU26" i="3"/>
  <c r="IG26" i="3"/>
  <c r="HZ54" i="3"/>
  <c r="HW54" i="3"/>
  <c r="HU12" i="3"/>
  <c r="IC12" i="3"/>
  <c r="HU54" i="3"/>
  <c r="HZ26" i="3"/>
  <c r="HV26" i="3"/>
  <c r="IB12" i="3"/>
  <c r="IB54" i="3"/>
  <c r="HW26" i="3"/>
  <c r="HX54" i="3"/>
  <c r="IC26" i="3"/>
  <c r="IB26" i="3"/>
  <c r="IE54" i="3"/>
  <c r="IC54" i="3"/>
  <c r="IE12" i="3"/>
  <c r="HY54" i="3"/>
  <c r="HW12" i="3"/>
  <c r="HX12" i="3"/>
  <c r="HY12" i="3"/>
  <c r="HX26" i="3"/>
  <c r="ID12" i="3"/>
  <c r="ID26" i="3"/>
  <c r="IF12" i="3"/>
  <c r="IF26" i="3"/>
  <c r="IG12" i="3"/>
  <c r="IA12" i="3"/>
  <c r="ID54" i="3"/>
  <c r="HV54" i="3"/>
  <c r="R17" i="7"/>
  <c r="S17" i="7" l="1"/>
  <c r="D30" i="7"/>
  <c r="I30" i="7" s="1" a="1"/>
  <c r="I30" i="7" s="1"/>
  <c r="K30" i="7" s="1" a="1"/>
  <c r="K30" i="7" s="1"/>
  <c r="F30" i="7"/>
  <c r="L30" i="7" a="1"/>
  <c r="L30" i="7" s="1"/>
  <c r="C32" i="7" a="1"/>
  <c r="C32" i="7" s="1"/>
  <c r="H31" i="7"/>
  <c r="G31" i="7" a="1"/>
  <c r="G31" i="7" s="1"/>
  <c r="E31" i="7" a="1"/>
  <c r="E31" i="7" s="1"/>
  <c r="V28" i="7"/>
  <c r="M29" i="7" a="1"/>
  <c r="M29" i="7" s="1"/>
  <c r="U16" i="7"/>
  <c r="U15" i="7"/>
  <c r="U14" i="7"/>
  <c r="V29" i="7" l="1"/>
  <c r="D31" i="7"/>
  <c r="I31" i="7" s="1" a="1"/>
  <c r="I31" i="7" s="1"/>
  <c r="K31" i="7" s="1" a="1"/>
  <c r="K31" i="7" s="1"/>
  <c r="L31" i="7" a="1"/>
  <c r="L31" i="7" s="1"/>
  <c r="F31" i="7"/>
  <c r="C33" i="7" a="1"/>
  <c r="C33" i="7" s="1"/>
  <c r="J33" i="7" s="1" a="1"/>
  <c r="J33" i="7" s="1"/>
  <c r="H32" i="7"/>
  <c r="G32" i="7" a="1"/>
  <c r="G32" i="7" s="1"/>
  <c r="E32" i="7" a="1"/>
  <c r="E32" i="7" s="1"/>
  <c r="M30" i="7" a="1"/>
  <c r="M30" i="7" s="1"/>
  <c r="J32" i="7" a="1"/>
  <c r="J32" i="7" s="1"/>
  <c r="W14" i="7"/>
  <c r="U17" i="7"/>
  <c r="W15" i="7"/>
  <c r="W16" i="7"/>
  <c r="X16" i="7" l="1"/>
  <c r="X15" i="7"/>
  <c r="X14" i="7"/>
  <c r="V30" i="7"/>
  <c r="F32" i="7"/>
  <c r="D32" i="7"/>
  <c r="L32" i="7" a="1"/>
  <c r="L32" i="7" s="1"/>
  <c r="M31" i="7" a="1"/>
  <c r="M31" i="7" s="1"/>
  <c r="C34" i="7" a="1"/>
  <c r="C34" i="7" s="1"/>
  <c r="J34" i="7" s="1" a="1"/>
  <c r="J34" i="7" s="1"/>
  <c r="H33" i="7"/>
  <c r="E33" i="7" a="1"/>
  <c r="E33" i="7" s="1"/>
  <c r="G33" i="7" a="1"/>
  <c r="G33" i="7" s="1"/>
  <c r="W17" i="7"/>
  <c r="X17" i="7" l="1"/>
  <c r="V31" i="7"/>
  <c r="M32" i="7" a="1"/>
  <c r="M32" i="7" s="1"/>
  <c r="V32" i="7" s="1"/>
  <c r="D33" i="7"/>
  <c r="I32" i="7" a="1"/>
  <c r="I32" i="7" s="1"/>
  <c r="K32" i="7" s="1" a="1"/>
  <c r="K32" i="7" s="1"/>
  <c r="C35" i="7" a="1"/>
  <c r="C35" i="7" s="1"/>
  <c r="J35" i="7" s="1" a="1"/>
  <c r="J35" i="7" s="1"/>
  <c r="H34" i="7"/>
  <c r="E34" i="7" a="1"/>
  <c r="E34" i="7" s="1"/>
  <c r="G34" i="7" a="1"/>
  <c r="G34" i="7" s="1"/>
  <c r="F33" i="7"/>
  <c r="L33" i="7" a="1"/>
  <c r="L33" i="7" s="1"/>
  <c r="Y18" i="7" l="1"/>
  <c r="Z18" i="7"/>
  <c r="AA18" i="7"/>
  <c r="F41" i="5" a="1"/>
  <c r="F41" i="5" s="1"/>
  <c r="AJ22" i="7" s="1"/>
  <c r="D34" i="7"/>
  <c r="I33" i="7" a="1"/>
  <c r="I33" i="7" s="1"/>
  <c r="K33" i="7" s="1" a="1"/>
  <c r="K33" i="7" s="1"/>
  <c r="F34" i="7"/>
  <c r="L34" i="7" a="1"/>
  <c r="L34" i="7" s="1"/>
  <c r="M33" i="7" a="1"/>
  <c r="M33" i="7" s="1"/>
  <c r="C36" i="7" a="1"/>
  <c r="C36" i="7" s="1"/>
  <c r="H35" i="7"/>
  <c r="G35" i="7" a="1"/>
  <c r="G35" i="7" s="1"/>
  <c r="E35" i="7" a="1"/>
  <c r="E35" i="7" s="1"/>
  <c r="AC18" i="7" l="1"/>
  <c r="AD18" i="7"/>
  <c r="AB18" i="7"/>
  <c r="F35" i="7"/>
  <c r="L35" i="7" a="1"/>
  <c r="L35" i="7" s="1"/>
  <c r="M34" i="7" a="1"/>
  <c r="M34" i="7" s="1"/>
  <c r="C37" i="7" a="1"/>
  <c r="C37" i="7" s="1"/>
  <c r="G36" i="7" a="1"/>
  <c r="G36" i="7" s="1"/>
  <c r="H36" i="7"/>
  <c r="E36" i="7" a="1"/>
  <c r="E36" i="7" s="1"/>
  <c r="V33" i="7"/>
  <c r="D35" i="7"/>
  <c r="I34" i="7" a="1"/>
  <c r="I34" i="7" s="1"/>
  <c r="K34" i="7" s="1" a="1"/>
  <c r="K34" i="7" s="1"/>
  <c r="J36" i="7" a="1"/>
  <c r="J36" i="7" s="1"/>
  <c r="V34" i="7" l="1"/>
  <c r="C38" i="7" a="1"/>
  <c r="C38" i="7" s="1"/>
  <c r="J38" i="7" s="1" a="1"/>
  <c r="J38" i="7" s="1"/>
  <c r="E37" i="7" a="1"/>
  <c r="E37" i="7" s="1"/>
  <c r="H37" i="7"/>
  <c r="G37" i="7" a="1"/>
  <c r="G37" i="7" s="1"/>
  <c r="J37" i="7" a="1"/>
  <c r="J37" i="7" s="1"/>
  <c r="D36" i="7"/>
  <c r="I35" i="7" a="1"/>
  <c r="I35" i="7" s="1"/>
  <c r="K35" i="7" s="1" a="1"/>
  <c r="K35" i="7" s="1"/>
  <c r="F36" i="7"/>
  <c r="L36" i="7" a="1"/>
  <c r="L36" i="7" s="1"/>
  <c r="M35" i="7" a="1"/>
  <c r="M35" i="7" s="1"/>
  <c r="D37" i="7" l="1"/>
  <c r="I37" i="7" s="1" a="1"/>
  <c r="I37" i="7" s="1"/>
  <c r="K37" i="7" s="1" a="1"/>
  <c r="K37" i="7" s="1"/>
  <c r="I36" i="7" a="1"/>
  <c r="I36" i="7" s="1"/>
  <c r="K36" i="7" s="1" a="1"/>
  <c r="K36" i="7" s="1"/>
  <c r="V35" i="7"/>
  <c r="M36" i="7" a="1"/>
  <c r="M36" i="7" s="1"/>
  <c r="F37" i="7"/>
  <c r="L37" i="7" a="1"/>
  <c r="L37" i="7" s="1"/>
  <c r="C39" i="7" a="1"/>
  <c r="C39" i="7" s="1"/>
  <c r="E38" i="7" a="1"/>
  <c r="E38" i="7" s="1"/>
  <c r="H38" i="7"/>
  <c r="G38" i="7" a="1"/>
  <c r="G38" i="7" s="1"/>
  <c r="V36" i="7" l="1"/>
  <c r="D38" i="7"/>
  <c r="I38" i="7" s="1" a="1"/>
  <c r="I38" i="7" s="1"/>
  <c r="K38" i="7" s="1" a="1"/>
  <c r="K38" i="7" s="1"/>
  <c r="L38" i="7" a="1"/>
  <c r="L38" i="7" s="1"/>
  <c r="F38" i="7"/>
  <c r="C40" i="7" a="1"/>
  <c r="C40" i="7" s="1"/>
  <c r="E39" i="7" a="1"/>
  <c r="E39" i="7" s="1"/>
  <c r="G39" i="7" a="1"/>
  <c r="G39" i="7" s="1"/>
  <c r="H39" i="7"/>
  <c r="M37" i="7" a="1"/>
  <c r="M37" i="7" s="1"/>
  <c r="V37" i="7" s="1"/>
  <c r="J39" i="7" a="1"/>
  <c r="J39" i="7" s="1"/>
  <c r="C41" i="7" l="1" a="1"/>
  <c r="C41" i="7" s="1"/>
  <c r="N37" i="7" s="1" a="1"/>
  <c r="N37" i="7" s="1"/>
  <c r="T37" i="7" s="1"/>
  <c r="E40" i="7" a="1"/>
  <c r="E40" i="7" s="1"/>
  <c r="H40" i="7"/>
  <c r="G40" i="7" a="1"/>
  <c r="G40" i="7" s="1"/>
  <c r="M38" i="7" a="1"/>
  <c r="M38" i="7" s="1"/>
  <c r="J40" i="7" a="1"/>
  <c r="J40" i="7" s="1"/>
  <c r="D39" i="7"/>
  <c r="I39" i="7" s="1" a="1"/>
  <c r="I39" i="7" s="1"/>
  <c r="K39" i="7" s="1" a="1"/>
  <c r="K39" i="7" s="1"/>
  <c r="F39" i="7"/>
  <c r="L39" i="7" a="1"/>
  <c r="L39" i="7" s="1"/>
  <c r="N23" i="7" l="1" a="1"/>
  <c r="N23" i="7" s="1"/>
  <c r="O23" i="7" s="1"/>
  <c r="N36" i="7" a="1"/>
  <c r="N36" i="7" s="1"/>
  <c r="O36" i="7" s="1"/>
  <c r="N32" i="7" a="1"/>
  <c r="N32" i="7" s="1"/>
  <c r="T32" i="7" s="1"/>
  <c r="N29" i="7" a="1"/>
  <c r="N29" i="7" s="1"/>
  <c r="N34" i="7" a="1"/>
  <c r="N34" i="7" s="1"/>
  <c r="T34" i="7" s="1"/>
  <c r="N27" i="7" a="1"/>
  <c r="N27" i="7" s="1"/>
  <c r="T27" i="7" s="1"/>
  <c r="N30" i="7" a="1"/>
  <c r="N30" i="7" s="1"/>
  <c r="T30" i="7" s="1"/>
  <c r="N24" i="7" a="1"/>
  <c r="N24" i="7" s="1"/>
  <c r="T24" i="7" s="1"/>
  <c r="N33" i="7" a="1"/>
  <c r="N33" i="7" s="1"/>
  <c r="T33" i="7" s="1"/>
  <c r="N26" i="7" a="1"/>
  <c r="N26" i="7" s="1"/>
  <c r="O26" i="7" s="1"/>
  <c r="N21" i="7" a="1"/>
  <c r="N21" i="7" s="1"/>
  <c r="T21" i="7" s="1"/>
  <c r="N22" i="7" a="1"/>
  <c r="N22" i="7" s="1"/>
  <c r="O22" i="7" s="1"/>
  <c r="N25" i="7" a="1"/>
  <c r="N25" i="7" s="1"/>
  <c r="O25" i="7" s="1"/>
  <c r="N28" i="7" a="1"/>
  <c r="N28" i="7" s="1"/>
  <c r="N31" i="7" a="1"/>
  <c r="N31" i="7" s="1"/>
  <c r="T31" i="7" s="1"/>
  <c r="N35" i="7" a="1"/>
  <c r="N35" i="7" s="1"/>
  <c r="Q36" i="7"/>
  <c r="Q23" i="7"/>
  <c r="Q29" i="7"/>
  <c r="Q34" i="7"/>
  <c r="O37" i="7"/>
  <c r="Q37" i="7"/>
  <c r="N38" i="7" a="1"/>
  <c r="N38" i="7" s="1"/>
  <c r="O38" i="7" s="1"/>
  <c r="V38" i="7"/>
  <c r="M39" i="7" a="1"/>
  <c r="M39" i="7" s="1"/>
  <c r="V39" i="7" s="1"/>
  <c r="F40" i="7"/>
  <c r="L40" i="7" a="1"/>
  <c r="L40" i="7" s="1"/>
  <c r="D40" i="7"/>
  <c r="I40" i="7" s="1" a="1"/>
  <c r="I40" i="7" s="1"/>
  <c r="K40" i="7" s="1" a="1"/>
  <c r="K40" i="7" s="1"/>
  <c r="C42" i="7" a="1"/>
  <c r="C42" i="7" s="1"/>
  <c r="G41" i="7" a="1"/>
  <c r="G41" i="7" s="1"/>
  <c r="H41" i="7"/>
  <c r="E41" i="7" a="1"/>
  <c r="E41" i="7" s="1"/>
  <c r="J41" i="7" a="1"/>
  <c r="J41" i="7" s="1"/>
  <c r="O34" i="7" l="1"/>
  <c r="Q32" i="7"/>
  <c r="O32" i="7"/>
  <c r="Q27" i="7"/>
  <c r="T22" i="7"/>
  <c r="T25" i="7"/>
  <c r="T36" i="7"/>
  <c r="O21" i="7"/>
  <c r="Q22" i="7"/>
  <c r="T23" i="7"/>
  <c r="Q21" i="7"/>
  <c r="Q24" i="7"/>
  <c r="O33" i="7"/>
  <c r="O29" i="7"/>
  <c r="T29" i="7"/>
  <c r="O27" i="7"/>
  <c r="O30" i="7"/>
  <c r="Q30" i="7"/>
  <c r="O24" i="7"/>
  <c r="O28" i="7"/>
  <c r="T28" i="7"/>
  <c r="Q28" i="7"/>
  <c r="Q35" i="7"/>
  <c r="T35" i="7"/>
  <c r="O35" i="7"/>
  <c r="O31" i="7"/>
  <c r="Q25" i="7"/>
  <c r="T26" i="7"/>
  <c r="Q26" i="7"/>
  <c r="Q31" i="7"/>
  <c r="Q33" i="7"/>
  <c r="T38" i="7"/>
  <c r="Q38" i="7"/>
  <c r="C43" i="7" a="1"/>
  <c r="C43" i="7" s="1"/>
  <c r="J43" i="7" s="1" a="1"/>
  <c r="J43" i="7" s="1"/>
  <c r="H42" i="7"/>
  <c r="E42" i="7" a="1"/>
  <c r="E42" i="7" s="1"/>
  <c r="G42" i="7" a="1"/>
  <c r="G42" i="7" s="1"/>
  <c r="J42" i="7" a="1"/>
  <c r="J42" i="7" s="1"/>
  <c r="M40" i="7" a="1"/>
  <c r="M40" i="7" s="1"/>
  <c r="L41" i="7" a="1"/>
  <c r="L41" i="7" s="1"/>
  <c r="F41" i="7"/>
  <c r="D41" i="7"/>
  <c r="I41" i="7" s="1" a="1"/>
  <c r="I41" i="7" s="1"/>
  <c r="K41" i="7" s="1" a="1"/>
  <c r="K41" i="7" s="1"/>
  <c r="P28" i="7"/>
  <c r="R31" i="7"/>
  <c r="R25" i="7"/>
  <c r="R26" i="7"/>
  <c r="R33" i="7"/>
  <c r="R28" i="7"/>
  <c r="R35" i="7"/>
  <c r="P22" i="7"/>
  <c r="P37" i="7"/>
  <c r="P21" i="7"/>
  <c r="P33" i="7"/>
  <c r="P27" i="7"/>
  <c r="P26" i="7"/>
  <c r="P24" i="7"/>
  <c r="P36" i="7"/>
  <c r="P32" i="7"/>
  <c r="P30" i="7"/>
  <c r="P23" i="7"/>
  <c r="P25" i="7"/>
  <c r="P29" i="7"/>
  <c r="P38" i="7"/>
  <c r="P34" i="7"/>
  <c r="P35" i="7"/>
  <c r="P31" i="7"/>
  <c r="R36" i="7"/>
  <c r="R22" i="7"/>
  <c r="R30" i="7"/>
  <c r="R29" i="7"/>
  <c r="R32" i="7"/>
  <c r="R23" i="7"/>
  <c r="R21" i="7"/>
  <c r="R24" i="7"/>
  <c r="R34" i="7"/>
  <c r="R27" i="7"/>
  <c r="R37" i="7"/>
  <c r="S31" i="7" l="1"/>
  <c r="S35" i="7"/>
  <c r="S34" i="7"/>
  <c r="S29" i="7"/>
  <c r="S25" i="7"/>
  <c r="S23" i="7"/>
  <c r="S30" i="7"/>
  <c r="S32" i="7"/>
  <c r="S36" i="7"/>
  <c r="S24" i="7"/>
  <c r="S26" i="7"/>
  <c r="S27" i="7"/>
  <c r="S33" i="7"/>
  <c r="S21" i="7"/>
  <c r="S22" i="7"/>
  <c r="S28" i="7"/>
  <c r="N39" i="7" a="1"/>
  <c r="N39" i="7" s="1"/>
  <c r="S37" i="7"/>
  <c r="V40" i="7"/>
  <c r="L42" i="7" a="1"/>
  <c r="L42" i="7" s="1"/>
  <c r="F42" i="7"/>
  <c r="D42" i="7"/>
  <c r="I42" i="7" s="1" a="1"/>
  <c r="I42" i="7" s="1"/>
  <c r="K42" i="7" s="1" a="1"/>
  <c r="K42" i="7" s="1"/>
  <c r="M41" i="7" a="1"/>
  <c r="M41" i="7" s="1"/>
  <c r="C44" i="7" a="1"/>
  <c r="C44" i="7" s="1"/>
  <c r="J44" i="7" s="1" a="1"/>
  <c r="J44" i="7" s="1"/>
  <c r="H43" i="7"/>
  <c r="E43" i="7" a="1"/>
  <c r="E43" i="7" s="1"/>
  <c r="G43" i="7" a="1"/>
  <c r="G43" i="7" s="1"/>
  <c r="R38" i="7"/>
  <c r="N40" i="7" l="1" a="1"/>
  <c r="N40" i="7" s="1"/>
  <c r="O39" i="7"/>
  <c r="T39" i="7"/>
  <c r="Q39" i="7"/>
  <c r="S38" i="7"/>
  <c r="V41" i="7"/>
  <c r="M42" i="7" a="1"/>
  <c r="M42" i="7" s="1"/>
  <c r="V42" i="7" s="1"/>
  <c r="C45" i="7" a="1"/>
  <c r="C45" i="7" s="1"/>
  <c r="J45" i="7" s="1" a="1"/>
  <c r="J45" i="7" s="1"/>
  <c r="H44" i="7"/>
  <c r="E44" i="7" a="1"/>
  <c r="E44" i="7" s="1"/>
  <c r="G44" i="7" a="1"/>
  <c r="G44" i="7" s="1"/>
  <c r="L43" i="7" a="1"/>
  <c r="L43" i="7" s="1"/>
  <c r="F43" i="7"/>
  <c r="D43" i="7"/>
  <c r="I43" i="7" s="1" a="1"/>
  <c r="I43" i="7" s="1"/>
  <c r="K43" i="7" s="1" a="1"/>
  <c r="K43" i="7" s="1"/>
  <c r="P39" i="7"/>
  <c r="R39" i="7"/>
  <c r="N41" i="7" l="1" a="1"/>
  <c r="N41" i="7" s="1"/>
  <c r="Q41" i="7" s="1"/>
  <c r="T40" i="7"/>
  <c r="Q40" i="7"/>
  <c r="O40" i="7"/>
  <c r="S39" i="7"/>
  <c r="M43" i="7" a="1"/>
  <c r="M43" i="7" s="1"/>
  <c r="L44" i="7" a="1"/>
  <c r="L44" i="7" s="1"/>
  <c r="F44" i="7"/>
  <c r="D44" i="7"/>
  <c r="I44" i="7" s="1" a="1"/>
  <c r="I44" i="7" s="1"/>
  <c r="K44" i="7" s="1" a="1"/>
  <c r="K44" i="7" s="1"/>
  <c r="C46" i="7" a="1"/>
  <c r="C46" i="7" s="1"/>
  <c r="N42" i="7" s="1" a="1"/>
  <c r="N42" i="7" s="1"/>
  <c r="H45" i="7"/>
  <c r="E45" i="7" a="1"/>
  <c r="E45" i="7" s="1"/>
  <c r="G45" i="7" a="1"/>
  <c r="G45" i="7" s="1"/>
  <c r="R40" i="7"/>
  <c r="P40" i="7"/>
  <c r="O41" i="7" l="1"/>
  <c r="O42" i="7"/>
  <c r="Q42" i="7"/>
  <c r="T42" i="7"/>
  <c r="T41" i="7"/>
  <c r="S40" i="7"/>
  <c r="V43" i="7"/>
  <c r="C47" i="7" a="1"/>
  <c r="C47" i="7" s="1"/>
  <c r="J47" i="7" s="1" a="1"/>
  <c r="J47" i="7" s="1"/>
  <c r="E46" i="7" a="1"/>
  <c r="E46" i="7" s="1"/>
  <c r="H46" i="7"/>
  <c r="G46" i="7" a="1"/>
  <c r="G46" i="7" s="1"/>
  <c r="M44" i="7" a="1"/>
  <c r="M44" i="7" s="1"/>
  <c r="J46" i="7" a="1"/>
  <c r="J46" i="7" s="1"/>
  <c r="D45" i="7"/>
  <c r="I45" i="7" s="1" a="1"/>
  <c r="I45" i="7" s="1"/>
  <c r="K45" i="7" s="1" a="1"/>
  <c r="K45" i="7" s="1"/>
  <c r="F45" i="7"/>
  <c r="L45" i="7" a="1"/>
  <c r="L45" i="7" s="1"/>
  <c r="P41" i="7"/>
  <c r="R41" i="7"/>
  <c r="N43" i="7" l="1" a="1"/>
  <c r="N43" i="7" s="1"/>
  <c r="Q43" i="7" s="1"/>
  <c r="S41" i="7"/>
  <c r="V44" i="7"/>
  <c r="M45" i="7" a="1"/>
  <c r="M45" i="7" s="1"/>
  <c r="D46" i="7"/>
  <c r="I46" i="7" s="1" a="1"/>
  <c r="I46" i="7" s="1"/>
  <c r="K46" i="7" s="1" a="1"/>
  <c r="K46" i="7" s="1"/>
  <c r="L46" i="7" a="1"/>
  <c r="L46" i="7" s="1"/>
  <c r="F46" i="7"/>
  <c r="C48" i="7" a="1"/>
  <c r="C48" i="7" s="1"/>
  <c r="J48" i="7" s="1" a="1"/>
  <c r="J48" i="7" s="1"/>
  <c r="H47" i="7"/>
  <c r="E47" i="7" a="1"/>
  <c r="E47" i="7" s="1"/>
  <c r="G47" i="7" a="1"/>
  <c r="G47" i="7" s="1"/>
  <c r="P42" i="7"/>
  <c r="R42" i="7"/>
  <c r="T43" i="7" l="1"/>
  <c r="O43" i="7"/>
  <c r="S42" i="7"/>
  <c r="V45" i="7"/>
  <c r="C49" i="7" a="1"/>
  <c r="C49" i="7" s="1"/>
  <c r="H48" i="7"/>
  <c r="E48" i="7" a="1"/>
  <c r="E48" i="7" s="1"/>
  <c r="G48" i="7" a="1"/>
  <c r="G48" i="7" s="1"/>
  <c r="M46" i="7" a="1"/>
  <c r="M46" i="7" s="1"/>
  <c r="D47" i="7"/>
  <c r="I47" i="7" s="1" a="1"/>
  <c r="I47" i="7" s="1"/>
  <c r="K47" i="7" s="1" a="1"/>
  <c r="K47" i="7" s="1"/>
  <c r="F47" i="7"/>
  <c r="P43" i="7"/>
  <c r="N44" i="7" l="1" a="1"/>
  <c r="N44" i="7" s="1"/>
  <c r="V46" i="7"/>
  <c r="C50" i="7" a="1"/>
  <c r="C50" i="7" s="1"/>
  <c r="N46" i="7" s="1" a="1"/>
  <c r="N46" i="7" s="1"/>
  <c r="Q46" i="7" s="1"/>
  <c r="G49" i="7" a="1"/>
  <c r="G49" i="7" s="1"/>
  <c r="H49" i="7"/>
  <c r="E49" i="7" a="1"/>
  <c r="E49" i="7" s="1"/>
  <c r="J49" i="7" a="1"/>
  <c r="J49" i="7" s="1"/>
  <c r="M47" i="7" a="1"/>
  <c r="M47" i="7" s="1"/>
  <c r="V47" i="7" s="1"/>
  <c r="F48" i="7"/>
  <c r="D48" i="7"/>
  <c r="I48" i="7" s="1" a="1"/>
  <c r="I48" i="7" s="1"/>
  <c r="K48" i="7" s="1" a="1"/>
  <c r="K48" i="7" s="1"/>
  <c r="U41" i="7"/>
  <c r="T46" i="7" l="1"/>
  <c r="O46" i="7"/>
  <c r="N47" i="7" a="1"/>
  <c r="N47" i="7" s="1"/>
  <c r="T47" i="7" s="1"/>
  <c r="N45" i="7" a="1"/>
  <c r="N45" i="7" s="1"/>
  <c r="T44" i="7"/>
  <c r="Q44" i="7"/>
  <c r="O44" i="7"/>
  <c r="Q47" i="7"/>
  <c r="N48" i="7" a="1"/>
  <c r="N48" i="7" s="1"/>
  <c r="M48" i="7" a="1"/>
  <c r="M48" i="7" s="1"/>
  <c r="H50" i="7"/>
  <c r="G50" i="7" a="1"/>
  <c r="G50" i="7" s="1"/>
  <c r="E50" i="7" a="1"/>
  <c r="E50" i="7" s="1"/>
  <c r="N20" i="7" a="1"/>
  <c r="N20" i="7" s="1"/>
  <c r="J50" i="7" a="1"/>
  <c r="J50" i="7" s="1"/>
  <c r="L49" i="7" a="1"/>
  <c r="L49" i="7" s="1"/>
  <c r="F49" i="7"/>
  <c r="D49" i="7"/>
  <c r="I49" i="7" s="1" a="1"/>
  <c r="I49" i="7" s="1"/>
  <c r="K49" i="7" s="1" a="1"/>
  <c r="K49" i="7" s="1"/>
  <c r="P44" i="7"/>
  <c r="O47" i="7" l="1"/>
  <c r="O45" i="7"/>
  <c r="Q45" i="7"/>
  <c r="T45" i="7"/>
  <c r="Q48" i="7"/>
  <c r="V48" i="7"/>
  <c r="O48" i="7"/>
  <c r="T48" i="7"/>
  <c r="L50" i="7" a="1"/>
  <c r="L50" i="7" s="1"/>
  <c r="D50" i="7"/>
  <c r="I50" i="7" s="1" a="1"/>
  <c r="I50" i="7" s="1"/>
  <c r="K50" i="7" s="1" a="1"/>
  <c r="K50" i="7" s="1"/>
  <c r="F50" i="7"/>
  <c r="O20" i="7"/>
  <c r="Q20" i="7"/>
  <c r="T20" i="7"/>
  <c r="M49" i="7" a="1"/>
  <c r="M49" i="7" s="1"/>
  <c r="V49" i="7" s="1"/>
  <c r="N49" i="7" a="1"/>
  <c r="N49" i="7" s="1"/>
  <c r="O49" i="7" s="1"/>
  <c r="P20" i="7"/>
  <c r="R20" i="7"/>
  <c r="P45" i="7"/>
  <c r="P47" i="7"/>
  <c r="P46" i="7"/>
  <c r="P49" i="7"/>
  <c r="P48" i="7"/>
  <c r="T49" i="7" l="1"/>
  <c r="Q49" i="7"/>
  <c r="S20" i="7"/>
  <c r="N50" i="7" a="1"/>
  <c r="N50" i="7" s="1"/>
  <c r="M50" i="7" a="1"/>
  <c r="M50" i="7" s="1"/>
  <c r="T50" i="7" s="1"/>
  <c r="U20" i="7"/>
  <c r="U33" i="7"/>
  <c r="U29" i="7"/>
  <c r="U32" i="7"/>
  <c r="U31" i="7"/>
  <c r="U23" i="7"/>
  <c r="U40" i="7"/>
  <c r="U30" i="7"/>
  <c r="U26" i="7"/>
  <c r="U25" i="7"/>
  <c r="U38" i="7"/>
  <c r="U28" i="7"/>
  <c r="U37" i="7"/>
  <c r="U34" i="7"/>
  <c r="U24" i="7"/>
  <c r="U22" i="7"/>
  <c r="U39" i="7"/>
  <c r="U21" i="7"/>
  <c r="U27" i="7"/>
  <c r="U35" i="7"/>
  <c r="U36" i="7"/>
  <c r="W41" i="7" s="1"/>
  <c r="X41" i="7" l="1"/>
  <c r="V50" i="7"/>
  <c r="O50" i="7"/>
  <c r="Q50" i="7"/>
  <c r="AJ20" i="7"/>
  <c r="W20" i="7"/>
  <c r="P50" i="7"/>
  <c r="W36" i="7"/>
  <c r="W21" i="7"/>
  <c r="W35" i="7"/>
  <c r="W30" i="7"/>
  <c r="W26" i="7"/>
  <c r="W39" i="7"/>
  <c r="W23" i="7"/>
  <c r="W22" i="7"/>
  <c r="W24" i="7"/>
  <c r="W28" i="7"/>
  <c r="W34" i="7"/>
  <c r="W27" i="7"/>
  <c r="W37" i="7"/>
  <c r="W25" i="7"/>
  <c r="W38" i="7"/>
  <c r="W29" i="7"/>
  <c r="W40" i="7"/>
  <c r="W31" i="7"/>
  <c r="W32" i="7"/>
  <c r="W33" i="7"/>
  <c r="X33" i="7" l="1"/>
  <c r="X32" i="7"/>
  <c r="X31" i="7"/>
  <c r="X40" i="7"/>
  <c r="X38" i="7"/>
  <c r="X37" i="7"/>
  <c r="X34" i="7"/>
  <c r="X39" i="7"/>
  <c r="X35" i="7"/>
  <c r="X36" i="7"/>
  <c r="X30" i="7"/>
  <c r="X29" i="7"/>
  <c r="X25" i="7"/>
  <c r="X21" i="7"/>
  <c r="X27" i="7"/>
  <c r="X28" i="7"/>
  <c r="X20" i="7"/>
  <c r="X23" i="7"/>
  <c r="X24" i="7"/>
  <c r="X26" i="7"/>
  <c r="X22" i="7"/>
  <c r="Y29" i="7" l="1"/>
  <c r="Y41" i="7"/>
  <c r="AA41" i="7"/>
  <c r="Z41" i="7"/>
  <c r="Z40" i="7"/>
  <c r="Y40" i="7"/>
  <c r="AA40" i="7"/>
  <c r="Z33" i="7"/>
  <c r="AA33" i="7"/>
  <c r="AA20" i="7"/>
  <c r="Y20" i="7"/>
  <c r="Z20" i="7"/>
  <c r="Y31" i="7"/>
  <c r="Z31" i="7"/>
  <c r="AA31" i="7"/>
  <c r="AA21" i="7"/>
  <c r="Z21" i="7"/>
  <c r="Y21" i="7"/>
  <c r="J38" i="5" a="1"/>
  <c r="J38" i="5" s="1"/>
  <c r="I38" i="5" s="1" a="1"/>
  <c r="I38" i="5" s="1"/>
  <c r="Z36" i="7"/>
  <c r="Y35" i="7"/>
  <c r="AA23" i="7"/>
  <c r="Z34" i="7"/>
  <c r="AA25" i="7"/>
  <c r="AA30" i="7"/>
  <c r="J36" i="5" a="1"/>
  <c r="J36" i="5" s="1"/>
  <c r="I36" i="5" s="1" a="1"/>
  <c r="I36" i="5" s="1"/>
  <c r="Z37" i="7"/>
  <c r="Y30" i="7"/>
  <c r="AA28" i="7"/>
  <c r="Z24" i="7"/>
  <c r="Y26" i="7"/>
  <c r="J37" i="5" a="1"/>
  <c r="J37" i="5" s="1"/>
  <c r="I37" i="5" s="1" a="1"/>
  <c r="I37" i="5" s="1"/>
  <c r="Z35" i="7"/>
  <c r="Y23" i="7"/>
  <c r="Y32" i="7"/>
  <c r="Z30" i="7"/>
  <c r="Z28" i="7"/>
  <c r="Z39" i="7"/>
  <c r="AA32" i="7"/>
  <c r="AA22" i="7"/>
  <c r="AA24" i="7"/>
  <c r="Z26" i="7"/>
  <c r="Y39" i="7"/>
  <c r="Z32" i="7"/>
  <c r="Z22" i="7"/>
  <c r="Y28" i="7"/>
  <c r="AA38" i="7"/>
  <c r="Y24" i="7"/>
  <c r="AA37" i="7"/>
  <c r="Y25" i="7"/>
  <c r="J35" i="5" a="1"/>
  <c r="J35" i="5" s="1"/>
  <c r="AA29" i="7"/>
  <c r="Z38" i="7"/>
  <c r="AA26" i="7"/>
  <c r="AA27" i="7"/>
  <c r="Y22" i="7"/>
  <c r="Y36" i="7"/>
  <c r="Y33" i="7"/>
  <c r="AA39" i="7"/>
  <c r="Z29" i="7"/>
  <c r="AA35" i="7"/>
  <c r="Y34" i="7"/>
  <c r="J39" i="5" a="1"/>
  <c r="J39" i="5" s="1"/>
  <c r="AA34" i="7"/>
  <c r="Z23" i="7"/>
  <c r="Y38" i="7"/>
  <c r="Y27" i="7"/>
  <c r="Y37" i="7"/>
  <c r="Z27" i="7"/>
  <c r="Z25" i="7"/>
  <c r="AA36" i="7"/>
  <c r="AB41" i="7" l="1"/>
  <c r="AD41" i="7"/>
  <c r="AC41" i="7"/>
  <c r="AD40" i="7"/>
  <c r="AC40" i="7"/>
  <c r="AB40" i="7"/>
  <c r="AB20" i="7"/>
  <c r="AC20" i="7"/>
  <c r="AD20" i="7"/>
  <c r="AC33" i="7"/>
  <c r="AD33" i="7"/>
  <c r="AB33" i="7"/>
  <c r="AB21" i="7"/>
  <c r="AD21" i="7"/>
  <c r="AC21" i="7"/>
  <c r="AD31" i="7"/>
  <c r="AC31" i="7"/>
  <c r="AB31" i="7"/>
  <c r="AB24" i="7"/>
  <c r="AB23" i="7"/>
  <c r="AB29" i="7"/>
  <c r="AB28" i="7"/>
  <c r="AB39" i="7"/>
  <c r="AB37" i="7"/>
  <c r="AC32" i="7"/>
  <c r="AD32" i="7"/>
  <c r="AB38" i="7"/>
  <c r="AC25" i="7"/>
  <c r="AD25" i="7"/>
  <c r="AC22" i="7"/>
  <c r="AD22" i="7"/>
  <c r="AC38" i="7"/>
  <c r="AD38" i="7"/>
  <c r="AC30" i="7"/>
  <c r="AD30" i="7"/>
  <c r="AC29" i="7"/>
  <c r="AD29" i="7"/>
  <c r="I35" i="5" a="1"/>
  <c r="I35" i="5" s="1"/>
  <c r="AI29" i="7" s="1"/>
  <c r="AJ29" i="7"/>
  <c r="AB32" i="7"/>
  <c r="AB30" i="7"/>
  <c r="AC28" i="7"/>
  <c r="AD28" i="7"/>
  <c r="AB34" i="7"/>
  <c r="AC36" i="7"/>
  <c r="AD36" i="7"/>
  <c r="AC23" i="7"/>
  <c r="AD23" i="7"/>
  <c r="AC27" i="7"/>
  <c r="AD27" i="7"/>
  <c r="AC26" i="7"/>
  <c r="AD26" i="7"/>
  <c r="AB22" i="7"/>
  <c r="AD39" i="7"/>
  <c r="AC39" i="7"/>
  <c r="AB25" i="7"/>
  <c r="AD34" i="7"/>
  <c r="AC34" i="7"/>
  <c r="AB26" i="7"/>
  <c r="AB27" i="7"/>
  <c r="I39" i="5" a="1"/>
  <c r="I39" i="5" s="1"/>
  <c r="AI33" i="7" s="1"/>
  <c r="AJ33" i="7"/>
  <c r="AD37" i="7"/>
  <c r="AC37" i="7"/>
  <c r="AD24" i="7"/>
  <c r="AC24" i="7"/>
  <c r="AB35" i="7"/>
  <c r="AB36" i="7"/>
  <c r="AJ31" i="7"/>
  <c r="AI31" i="7"/>
  <c r="AJ30" i="7"/>
  <c r="AI30" i="7"/>
  <c r="AI32" i="7"/>
  <c r="AJ32" i="7"/>
  <c r="AC35" i="7"/>
  <c r="AD35" i="7"/>
  <c r="Q57" i="3" l="1"/>
  <c r="Q66" i="3" a="1"/>
  <c r="L66" i="3" a="1"/>
  <c r="L66" i="3" l="1"/>
  <c r="Q66" i="3"/>
  <c r="Q8" i="3" s="1"/>
  <c r="Q7" i="3" l="1"/>
  <c r="Q9" i="3"/>
  <c r="L48" i="7" a="1"/>
  <c r="L48" i="7" s="1"/>
  <c r="K85" i="5" a="1"/>
  <c r="K85" i="5" s="1"/>
  <c r="P85" i="5" s="1"/>
  <c r="L47" i="7" a="1"/>
  <c r="L47" i="7" s="1"/>
  <c r="L8" i="3"/>
  <c r="R43" i="7"/>
  <c r="R50" i="7"/>
  <c r="R49" i="7"/>
  <c r="R48" i="7"/>
  <c r="R47" i="7"/>
  <c r="R46" i="7"/>
  <c r="R45" i="7"/>
  <c r="R44" i="7"/>
  <c r="S50" i="7" l="1"/>
  <c r="S49" i="7"/>
  <c r="L7" i="3"/>
  <c r="L10" i="3" s="1" a="1"/>
  <c r="L10" i="3" s="1"/>
  <c r="L9" i="3" s="1"/>
  <c r="S48" i="7"/>
  <c r="S44" i="7"/>
  <c r="S43" i="7"/>
  <c r="S45" i="7"/>
  <c r="S46" i="7"/>
  <c r="S47" i="7"/>
  <c r="M85" i="5"/>
  <c r="L85" i="5"/>
  <c r="O85" i="5" s="1"/>
  <c r="U42" i="7"/>
  <c r="W42" i="7" s="1"/>
  <c r="U43" i="7"/>
  <c r="W43" i="7"/>
  <c r="U50" i="7"/>
  <c r="U49" i="7"/>
  <c r="U45" i="7"/>
  <c r="U48" i="7"/>
  <c r="U44" i="7"/>
  <c r="U46" i="7"/>
  <c r="U47" i="7"/>
  <c r="X42" i="7" l="1"/>
  <c r="J41" i="5" s="1" a="1"/>
  <c r="J41" i="5" s="1"/>
  <c r="X43" i="7"/>
  <c r="N85" i="5"/>
  <c r="R85" i="5"/>
  <c r="Q85" i="5"/>
  <c r="W50" i="7"/>
  <c r="W49" i="7"/>
  <c r="W47" i="7"/>
  <c r="W46" i="7"/>
  <c r="W44" i="7"/>
  <c r="W45" i="7"/>
  <c r="W48" i="7"/>
  <c r="X50" i="7" l="1"/>
  <c r="AJ35" i="7"/>
  <c r="J40" i="5"/>
  <c r="X49" i="7"/>
  <c r="X45" i="7"/>
  <c r="X44" i="7"/>
  <c r="AA44" i="7" s="1"/>
  <c r="X46" i="7"/>
  <c r="X47" i="7"/>
  <c r="X48" i="7"/>
  <c r="AA42" i="7"/>
  <c r="Y42" i="7"/>
  <c r="Z42" i="7"/>
  <c r="Z43" i="7"/>
  <c r="Y43" i="7"/>
  <c r="AA43" i="7"/>
  <c r="AJ34" i="7" l="1"/>
  <c r="I40" i="5"/>
  <c r="AI34" i="7" s="1"/>
  <c r="AB42" i="7"/>
  <c r="Y50" i="7"/>
  <c r="AA50" i="7"/>
  <c r="Z50" i="7"/>
  <c r="N37" i="5" a="1"/>
  <c r="N37" i="5" s="1"/>
  <c r="M37" i="5" s="1" a="1"/>
  <c r="M37" i="5" s="1"/>
  <c r="AP31" i="7" s="1"/>
  <c r="N38" i="5" a="1"/>
  <c r="N38" i="5" s="1"/>
  <c r="M38" i="5" s="1" a="1"/>
  <c r="M38" i="5" s="1"/>
  <c r="AP32" i="7" s="1"/>
  <c r="Y47" i="7"/>
  <c r="N35" i="5" a="1"/>
  <c r="N35" i="5" s="1"/>
  <c r="AQ29" i="7" s="1"/>
  <c r="Z47" i="7"/>
  <c r="Y45" i="7"/>
  <c r="Z45" i="7"/>
  <c r="Z46" i="7"/>
  <c r="N36" i="5" a="1"/>
  <c r="N36" i="5" s="1"/>
  <c r="M36" i="5" s="1" a="1"/>
  <c r="M36" i="5" s="1"/>
  <c r="AP30" i="7" s="1"/>
  <c r="AA47" i="7"/>
  <c r="AA45" i="7"/>
  <c r="Y44" i="7"/>
  <c r="AA48" i="7"/>
  <c r="AA46" i="7"/>
  <c r="Z44" i="7"/>
  <c r="AD44" i="7" s="1"/>
  <c r="Y46" i="7"/>
  <c r="AA16" i="7"/>
  <c r="Y15" i="7"/>
  <c r="AA17" i="7"/>
  <c r="Z15" i="7"/>
  <c r="Y49" i="7"/>
  <c r="F36" i="5" a="1"/>
  <c r="F36" i="5" s="1"/>
  <c r="Z17" i="7"/>
  <c r="AA14" i="7"/>
  <c r="AA15" i="7"/>
  <c r="F35" i="5" a="1"/>
  <c r="F35" i="5" s="1"/>
  <c r="Y14" i="7"/>
  <c r="Z14" i="7"/>
  <c r="Y17" i="7"/>
  <c r="F37" i="5" a="1"/>
  <c r="F37" i="5" s="1"/>
  <c r="Z16" i="7"/>
  <c r="Y16" i="7"/>
  <c r="F38" i="5" a="1"/>
  <c r="F38" i="5" s="1"/>
  <c r="Z48" i="7"/>
  <c r="N39" i="5" a="1"/>
  <c r="N39" i="5" s="1"/>
  <c r="M39" i="5" s="1" a="1"/>
  <c r="M39" i="5" s="1"/>
  <c r="AP33" i="7" s="1"/>
  <c r="N41" i="5" a="1"/>
  <c r="N41" i="5" s="1"/>
  <c r="AQ35" i="7" s="1"/>
  <c r="Y48" i="7"/>
  <c r="AA49" i="7"/>
  <c r="Z49" i="7"/>
  <c r="AD42" i="7"/>
  <c r="AC42" i="7"/>
  <c r="AD43" i="7"/>
  <c r="AC43" i="7"/>
  <c r="AB43" i="7"/>
  <c r="AQ31" i="7" l="1"/>
  <c r="AB50" i="7"/>
  <c r="AC50" i="7"/>
  <c r="AD50" i="7"/>
  <c r="AQ32" i="7"/>
  <c r="AD45" i="7"/>
  <c r="M35" i="5" a="1"/>
  <c r="M35" i="5" s="1"/>
  <c r="AP29" i="7" s="1"/>
  <c r="AQ30" i="7"/>
  <c r="AC47" i="7"/>
  <c r="AB46" i="7"/>
  <c r="AB47" i="7"/>
  <c r="AB48" i="7"/>
  <c r="AC46" i="7"/>
  <c r="AD47" i="7"/>
  <c r="AB45" i="7"/>
  <c r="AC45" i="7"/>
  <c r="AD46" i="7"/>
  <c r="AB44" i="7"/>
  <c r="AC44" i="7"/>
  <c r="AB16" i="7"/>
  <c r="AB15" i="7"/>
  <c r="AJ18" i="7"/>
  <c r="E37" i="5" a="1"/>
  <c r="E37" i="5" s="1"/>
  <c r="AI18" i="7" s="1"/>
  <c r="F40" i="5"/>
  <c r="E35" i="5" a="1"/>
  <c r="E35" i="5" s="1"/>
  <c r="AI16" i="7" s="1"/>
  <c r="AJ16" i="7"/>
  <c r="E38" i="5" a="1"/>
  <c r="E38" i="5" s="1"/>
  <c r="AI19" i="7" s="1"/>
  <c r="AJ19" i="7"/>
  <c r="AC15" i="7"/>
  <c r="AD15" i="7"/>
  <c r="AJ17" i="7"/>
  <c r="E36" i="5" a="1"/>
  <c r="E36" i="5" s="1"/>
  <c r="AI17" i="7" s="1"/>
  <c r="AD14" i="7"/>
  <c r="AC14" i="7"/>
  <c r="AB17" i="7"/>
  <c r="AD17" i="7"/>
  <c r="AC17" i="7"/>
  <c r="AB14" i="7"/>
  <c r="AD16" i="7"/>
  <c r="AC16" i="7"/>
  <c r="AC48" i="7"/>
  <c r="AD48" i="7"/>
  <c r="AQ33" i="7"/>
  <c r="N40" i="5"/>
  <c r="M40" i="5" s="1"/>
  <c r="AP34" i="7" s="1"/>
  <c r="AB49" i="7"/>
  <c r="AC49" i="7"/>
  <c r="AD49" i="7"/>
  <c r="E40" i="5" l="1"/>
  <c r="AI21" i="7" s="1"/>
  <c r="AJ21" i="7"/>
  <c r="AQ34" i="7"/>
  <c r="AE52" i="3" a="1"/>
  <c r="S52" i="3" a="1"/>
  <c r="S52" i="3" l="1"/>
  <c r="S8" i="3" s="1"/>
  <c r="S7" i="3" s="1"/>
  <c r="AE52" i="3"/>
  <c r="AE8" i="3" l="1"/>
  <c r="AE7" i="3" s="1"/>
  <c r="AE5" i="3"/>
  <c r="AE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Luca Zosso </author>
  </authors>
  <commentList>
    <comment ref="P27" authorId="0" shapeId="0" xr:uid="{ABFA453B-65D4-494B-BAED-6B4A7BEA4B2B}">
      <text>
        <r>
          <rPr>
            <b/>
            <sz val="10"/>
            <color rgb="FF000000"/>
            <rFont val="Tahoma"/>
            <family val="2"/>
          </rPr>
          <t>Luca Zosso :</t>
        </r>
        <r>
          <rPr>
            <sz val="10"/>
            <color rgb="FF000000"/>
            <rFont val="Tahoma"/>
            <family val="2"/>
          </rPr>
          <t xml:space="preserve">
</t>
        </r>
        <r>
          <rPr>
            <sz val="10"/>
            <color rgb="FF000000"/>
            <rFont val="Tahoma"/>
            <family val="2"/>
          </rPr>
          <t>Doule Loyer</t>
        </r>
      </text>
    </comment>
    <comment ref="C28" authorId="0" shapeId="0" xr:uid="{BAD4BB77-4CB8-C048-98FB-9B0F061C566B}">
      <text>
        <r>
          <rPr>
            <b/>
            <sz val="10"/>
            <color rgb="FF000000"/>
            <rFont val="Tahoma"/>
            <family val="2"/>
          </rPr>
          <t>Luca Zosso :</t>
        </r>
        <r>
          <rPr>
            <sz val="10"/>
            <color rgb="FF000000"/>
            <rFont val="Tahoma"/>
            <family val="2"/>
          </rPr>
          <t xml:space="preserve">
</t>
        </r>
        <r>
          <rPr>
            <sz val="10"/>
            <color rgb="FF000000"/>
            <rFont val="Tahoma"/>
            <family val="2"/>
          </rPr>
          <t>Include Home Insurance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Luca Zosso </author>
  </authors>
  <commentList>
    <comment ref="F240" authorId="0" shapeId="0" xr:uid="{4C7EBAF4-86EA-6E4A-915D-58D26BA15431}">
      <text>
        <r>
          <rPr>
            <b/>
            <sz val="10"/>
            <color rgb="FF000000"/>
            <rFont val="Tahoma"/>
            <family val="2"/>
          </rPr>
          <t>Luca Zosso :</t>
        </r>
        <r>
          <rPr>
            <sz val="10"/>
            <color rgb="FF000000"/>
            <rFont val="Tahoma"/>
            <family val="2"/>
          </rPr>
          <t xml:space="preserve">
</t>
        </r>
        <r>
          <rPr>
            <sz val="10"/>
            <color rgb="FF000000"/>
            <rFont val="Tahoma"/>
            <family val="2"/>
          </rPr>
          <t>Dany Birthday</t>
        </r>
      </text>
    </comment>
    <comment ref="E283" authorId="0" shapeId="0" xr:uid="{FA098B3F-192A-8B47-8ED5-520DA4890D8D}">
      <text>
        <r>
          <rPr>
            <b/>
            <sz val="10"/>
            <color rgb="FF000000"/>
            <rFont val="Tahoma"/>
            <family val="2"/>
          </rPr>
          <t>Luca Zosso :</t>
        </r>
        <r>
          <rPr>
            <sz val="10"/>
            <color rgb="FF000000"/>
            <rFont val="Tahoma"/>
            <family val="2"/>
          </rPr>
          <t xml:space="preserve">
</t>
        </r>
        <r>
          <rPr>
            <sz val="10"/>
            <color rgb="FF000000"/>
            <rFont val="Tahoma"/>
            <family val="2"/>
          </rPr>
          <t xml:space="preserve">Half/Fair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DC9B13-ED12-7447-9B9B-D0707839D10C}" name="categorized_transactions" type="6" refreshedVersion="8" background="1" saveData="1">
    <textPr sourceFile="/Users/lucazosso/Desktop/Luca_Sandbox_Env/budget_script/output/categorized_transactions.csv" thousands="'" tab="0" comma="1">
      <textFields count="4">
        <textField/>
        <textField/>
        <textField/>
        <textField/>
      </textFields>
    </textPr>
  </connection>
  <connection id="2" xr16:uid="{364F858A-D8A0-CB42-89AC-0249532AA1C0}" name="categorized_transactions1" type="6" refreshedVersion="8" background="1" saveData="1">
    <textPr sourceFile="/Users/lucazosso/Desktop/Luca_Sandbox_Env/budget_script/output/categorized_transactions.csv" thousands="'" tab="0" comma="1">
      <textFields count="4">
        <textField/>
        <textField/>
        <textField/>
        <textField/>
      </textFields>
    </textPr>
  </connection>
  <connection id="3" xr16:uid="{F883425E-4C7C-0A46-A8EB-C93528BD01AF}" name="categorized_transactions2" type="6" refreshedVersion="8" background="1" saveData="1">
    <textPr sourceFile="/Users/lucazosso/Desktop/Luca_Sandbox_Env/budget_script/output/categorized_transactions.csv" thousands="'" tab="0" comma="1">
      <textFields count="4">
        <textField/>
        <textField/>
        <textField/>
        <textField/>
      </textFields>
    </textPr>
  </connection>
  <connection id="4" xr16:uid="{F23254BE-E781-BD47-AD61-04ECF708BAC0}" name="categorized_transactions3" type="6" refreshedVersion="8" background="1" saveData="1">
    <textPr sourceFile="/Users/lucazosso/Desktop/Luca_Sandbox_Env/budget_script/output/categorized_transactions.csv" thousands="'" tab="0" comma="1">
      <textFields count="4">
        <textField/>
        <textField/>
        <textField/>
        <textField/>
      </textFields>
    </textPr>
  </connection>
  <connection id="5" xr16:uid="{33F22654-C230-474B-8DC6-F1C09E101B3A}" name="categorized_transactions4" type="6" refreshedVersion="8" background="1" saveData="1">
    <textPr codePage="10000" sourceFile="/Users/lucazosso/Desktop/Luca_Sandbox_Env/budget_script/output/categorized_transactions.csv" thousands="'" tab="0" comma="1">
      <textFields count="4">
        <textField/>
        <textField/>
        <textField/>
        <textField/>
      </textFields>
    </textPr>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<sst xmlns="http://schemas.openxmlformats.org/spreadsheetml/2006/main" count="1998" uniqueCount="221">
  <si>
    <t>Budget Dashboard</t>
  </si>
  <si>
    <t>Budget Tracking</t>
  </si>
  <si>
    <t>Budget Planning</t>
  </si>
  <si>
    <t>Calculations</t>
  </si>
  <si>
    <t>Dropdown Data</t>
  </si>
  <si>
    <t>Settings</t>
  </si>
  <si>
    <t>General</t>
  </si>
  <si>
    <t xml:space="preserve">Starting Year: </t>
  </si>
  <si>
    <t>Set the starting year (yyyy) once at the beginning and do not change it</t>
  </si>
  <si>
    <t xml:space="preserve"> </t>
  </si>
  <si>
    <t>Income</t>
  </si>
  <si>
    <t>Enter income Category…</t>
  </si>
  <si>
    <t>Total</t>
  </si>
  <si>
    <t>Expenses</t>
  </si>
  <si>
    <t>Housing</t>
  </si>
  <si>
    <t>Groceries</t>
  </si>
  <si>
    <t>Enter Expenses Category…</t>
  </si>
  <si>
    <t>Savings</t>
  </si>
  <si>
    <t>Emergency Fund</t>
  </si>
  <si>
    <t>Retirement Account</t>
  </si>
  <si>
    <t>Stock Portofolio</t>
  </si>
  <si>
    <t>Enter Savings Category…</t>
  </si>
  <si>
    <t>To be allocated:</t>
  </si>
  <si>
    <t>Define starting year in Settings →</t>
  </si>
  <si>
    <t>Clothing</t>
  </si>
  <si>
    <t>Media</t>
  </si>
  <si>
    <t>Sinking Fund Dow Payment</t>
  </si>
  <si>
    <t>Sinking Fund Rest</t>
  </si>
  <si>
    <t>Date</t>
  </si>
  <si>
    <t>Type</t>
  </si>
  <si>
    <t>Category</t>
  </si>
  <si>
    <t>Details</t>
  </si>
  <si>
    <t>Balance</t>
  </si>
  <si>
    <t>Effective Date</t>
  </si>
  <si>
    <t>Budget Tracking &amp; Dashboard</t>
  </si>
  <si>
    <t>Late Monthly Income</t>
  </si>
  <si>
    <t>Shift late income:</t>
  </si>
  <si>
    <t>Starting on day x in month:</t>
  </si>
  <si>
    <t>Activate this option to treat late income received on or after a certain day of the month as income for the next month. This is especially recommended in case you receive your monthly paycheck towards the end of the month and prefer to consider this income as the disposable income for the next month</t>
  </si>
  <si>
    <t>Worksheet: Budget Tracking</t>
  </si>
  <si>
    <t>Today:</t>
  </si>
  <si>
    <t>Last Record:</t>
  </si>
  <si>
    <t xml:space="preserve">Delta Last Record: </t>
  </si>
  <si>
    <t># Records:</t>
  </si>
  <si>
    <t># Records this year:</t>
  </si>
  <si>
    <t xml:space="preserve">Tracking Balance: </t>
  </si>
  <si>
    <t xml:space="preserve">Balance Analysis Text: </t>
  </si>
  <si>
    <t xml:space="preserve">Year </t>
  </si>
  <si>
    <t>Select the year to view →</t>
  </si>
  <si>
    <t>Period</t>
  </si>
  <si>
    <t>Select the period  to view →</t>
  </si>
  <si>
    <t>Year Dropdown</t>
  </si>
  <si>
    <t>Current Year</t>
  </si>
  <si>
    <t>Period Dropdown</t>
  </si>
  <si>
    <t>Total Year</t>
  </si>
  <si>
    <t>Current Month</t>
  </si>
  <si>
    <t>Worksheet: Budget Dashboard</t>
  </si>
  <si>
    <t>Selected Year:</t>
  </si>
  <si>
    <t xml:space="preserve">Selected Period: </t>
  </si>
  <si>
    <t>Selected Period (Display):</t>
  </si>
  <si>
    <t>row_id</t>
  </si>
  <si>
    <t>header_row_id</t>
  </si>
  <si>
    <t>is_header</t>
  </si>
  <si>
    <t>is_cat</t>
  </si>
  <si>
    <t>is_empty</t>
  </si>
  <si>
    <t>type</t>
  </si>
  <si>
    <t>item</t>
  </si>
  <si>
    <t>tracked</t>
  </si>
  <si>
    <t>budget</t>
  </si>
  <si>
    <t>is_total</t>
  </si>
  <si>
    <t>Video</t>
  </si>
  <si>
    <t>https://www.youtube.com/watch?v=eKyAOjH3Crk</t>
  </si>
  <si>
    <t>sort_min_row</t>
  </si>
  <si>
    <t>sort_max_row</t>
  </si>
  <si>
    <t>tracked_range</t>
  </si>
  <si>
    <t>tracked_rank</t>
  </si>
  <si>
    <t>budget_range</t>
  </si>
  <si>
    <t>budget_rank</t>
  </si>
  <si>
    <t>comb_rank</t>
  </si>
  <si>
    <t>comb_rank_range</t>
  </si>
  <si>
    <t>comb_rank_norm</t>
  </si>
  <si>
    <t>comb_rank_norm_run_range</t>
  </si>
  <si>
    <t>comb_rank_unique</t>
  </si>
  <si>
    <t>sorted_row_id [Lookup]</t>
  </si>
  <si>
    <r>
      <rPr>
        <b/>
        <sz val="12"/>
        <color theme="3" tint="0.499984740745262"/>
        <rFont val="Aptos Narrow"/>
        <scheme val="minor"/>
      </rPr>
      <t>Chart Calculations</t>
    </r>
    <r>
      <rPr>
        <sz val="12"/>
        <color theme="3" tint="0.499984740745262"/>
        <rFont val="Aptos Narrow"/>
        <family val="2"/>
        <scheme val="minor"/>
      </rPr>
      <t>: Category Distribution Charts</t>
    </r>
  </si>
  <si>
    <t>Amount</t>
  </si>
  <si>
    <r>
      <rPr>
        <b/>
        <sz val="12"/>
        <color theme="3" tint="0.499984740745262"/>
        <rFont val="Aptos Narrow"/>
        <scheme val="minor"/>
      </rPr>
      <t>Chart Calculations</t>
    </r>
    <r>
      <rPr>
        <sz val="12"/>
        <color theme="3" tint="0.499984740745262"/>
        <rFont val="Aptos Narrow"/>
        <family val="2"/>
        <scheme val="minor"/>
      </rPr>
      <t>: Tracked (vs. Budget) Chart</t>
    </r>
  </si>
  <si>
    <t>Month</t>
  </si>
  <si>
    <t xml:space="preserve">Month Num. </t>
  </si>
  <si>
    <t>In Focus</t>
  </si>
  <si>
    <t>Show Type</t>
  </si>
  <si>
    <t>Show Rem Budget</t>
  </si>
  <si>
    <t>Tracked</t>
  </si>
  <si>
    <t>Budget</t>
  </si>
  <si>
    <t>Delta</t>
  </si>
  <si>
    <t>Period In Focus</t>
  </si>
  <si>
    <t>In Budget</t>
  </si>
  <si>
    <t>Remaining</t>
  </si>
  <si>
    <t>Excess</t>
  </si>
  <si>
    <t>Period Not In Focus</t>
  </si>
  <si>
    <t>Show Income:</t>
  </si>
  <si>
    <t>Show Expenses:</t>
  </si>
  <si>
    <t>Show Savings:</t>
  </si>
  <si>
    <t>Show Reem. Budget:</t>
  </si>
  <si>
    <t>Extras</t>
  </si>
  <si>
    <t>Extras / Twint Chargeback</t>
  </si>
  <si>
    <t>date</t>
  </si>
  <si>
    <t>CC_Refund</t>
  </si>
  <si>
    <t>Card Refund Luca</t>
  </si>
  <si>
    <t>No-Label</t>
  </si>
  <si>
    <t>data processing services - google cloud mjvxr6      dublin       irl [CC]</t>
  </si>
  <si>
    <t>Restaurants</t>
  </si>
  <si>
    <t>assura-basis sa;1009 pully; ch [UBS]</t>
  </si>
  <si>
    <t>Health Other</t>
  </si>
  <si>
    <t>grossmann, dany; debit ubs twint [UBS]</t>
  </si>
  <si>
    <t>cigar stores and stands - piccolo mondo            bernex       che [CC]</t>
  </si>
  <si>
    <t>, eldrick; debit ubs twint [UBS]</t>
  </si>
  <si>
    <t>department stores - carrefour city           annemasse    fra [CC]</t>
  </si>
  <si>
    <t>lavorent; payment ubs twint [UBS]</t>
  </si>
  <si>
    <t>, yanni; debit ubs twint [UBS]</t>
  </si>
  <si>
    <t>ubs nyon [UBS]</t>
  </si>
  <si>
    <t>Car</t>
  </si>
  <si>
    <t>package stores - beer - drinks of the world ge   gen√®ve       che [CC]</t>
  </si>
  <si>
    <t>, danae faivre; debit ubs twint [UBS]</t>
  </si>
  <si>
    <t>electronics stores - interdiscount-3098 nyo   nyon         che [CC]</t>
  </si>
  <si>
    <t>faivre, danae; debit ubs twint [UBS]</t>
  </si>
  <si>
    <t>services industriels de gen√®ve;ch. du ch√¢teau-bloch 2; 1219 le lignon; ch [UBS]</t>
  </si>
  <si>
    <t>Side Hustle</t>
  </si>
  <si>
    <t>Employment</t>
  </si>
  <si>
    <t>sican sarl; payment ubs twint [UBS]</t>
  </si>
  <si>
    <t>zosso, yann; debit ubs twint [UBS]</t>
  </si>
  <si>
    <t>balance closing of service prices [UBS]</t>
  </si>
  <si>
    <t>digital goods - google cloud mwgb4h      dublin       irl [CC]</t>
  </si>
  <si>
    <t>coop pronto nyon;1260 nyon [UBS]</t>
  </si>
  <si>
    <t>coop-5485 ge gare sapori;1200 gen√®ve [UBS]</t>
  </si>
  <si>
    <t>migros mm jonction;1205 gen√®ve [UBS]</t>
  </si>
  <si>
    <t>association cinetransat; payment ubs twint [UBS]</t>
  </si>
  <si>
    <t>computer software stores - heroku* jul-107212674    san franciscousaca [CC]</t>
  </si>
  <si>
    <t>tabac du rhone;1205 geneve [UBS]</t>
  </si>
  <si>
    <t>ls lavandieres;1204 geneve [UBS]</t>
  </si>
  <si>
    <t>swisscom (schweiz) ag /; payment ubs twint [UBS]</t>
  </si>
  <si>
    <t>computer software stores - heroku* aug-107758056    san franciscousaca [CC]</t>
  </si>
  <si>
    <t>coop pronto 4824 nyon; payment ubs twint [UBS]</t>
  </si>
  <si>
    <t>coop-1295 ge montc;1207 gen√®ve [UBS]</t>
  </si>
  <si>
    <t>taxicabs - uber   *eats             help.uber.comnld [CC]</t>
  </si>
  <si>
    <t>digitec galaxus ag;pfingstweidstrasse 60b; 8005 z√ºrich; ch [UBS]</t>
  </si>
  <si>
    <t>recreation services - grimper.ch               lausanne     che [CC]</t>
  </si>
  <si>
    <t>barber or beauty shops - vogue coiffure           nyon         che [CC]</t>
  </si>
  <si>
    <t>digital goods - leanpub                  victoria     canbc [CC]</t>
  </si>
  <si>
    <t>book stores - payot libraire sa        gen√®ve       che [CC]</t>
  </si>
  <si>
    <t>retail business - 2756 decathlon confede   gen√®ve       che [CC]</t>
  </si>
  <si>
    <t>, attila; debit ubs twint [UBS]</t>
  </si>
  <si>
    <t>faivre danae;ch 1278 la rippe vd [UBS]</t>
  </si>
  <si>
    <t>tenerity, christian; debit ubs twint [UBS]</t>
  </si>
  <si>
    <t>book stores - librairie linopin√©e s√†   lausanne     che [CC]</t>
  </si>
  <si>
    <t>theather production / ticket agencies - sumup  *le salon recor   lausanne     che [CC]</t>
  </si>
  <si>
    <t>department stores - digitec galaxus (onlin   z√ºrich       che [CC]</t>
  </si>
  <si>
    <t>Train</t>
  </si>
  <si>
    <t>Digital Goods</t>
  </si>
  <si>
    <t>Health Insurance</t>
  </si>
  <si>
    <t>Travel</t>
  </si>
  <si>
    <t>Wellbeing</t>
  </si>
  <si>
    <t>Home Utils</t>
  </si>
  <si>
    <t>Internet + Mobile</t>
  </si>
  <si>
    <t>Withdraw</t>
  </si>
  <si>
    <t>Sport</t>
  </si>
  <si>
    <t>Debt</t>
  </si>
  <si>
    <t>CC fees</t>
  </si>
  <si>
    <t>Inactive</t>
  </si>
  <si>
    <t>Build Budget</t>
  </si>
  <si>
    <t>AVERAGE</t>
  </si>
  <si>
    <t>Annualized</t>
  </si>
  <si>
    <t>Cat</t>
  </si>
  <si>
    <t>Final Budget</t>
  </si>
  <si>
    <t>Aug</t>
  </si>
  <si>
    <t>Sep</t>
  </si>
  <si>
    <t>abs_Amount</t>
  </si>
  <si>
    <t>Tax</t>
  </si>
  <si>
    <t>digital goods - google cloud xnxvwt      dublin       irl [CC]</t>
  </si>
  <si>
    <t>retail business - hammam &amp; spa gen√®ve-pl   cologny      che [CC]</t>
  </si>
  <si>
    <t>commuter transportation - donkeyrepublic admin a   copenhagen   dnk [CC]</t>
  </si>
  <si>
    <t>retail business - hammam &amp; spa geneve-plagecologny      che [CC]</t>
  </si>
  <si>
    <t>computer software stores - heroku* sep-108294933    san franciscousaca [CC]</t>
  </si>
  <si>
    <t>, tim; debit ubs twint [UBS]</t>
  </si>
  <si>
    <t>, simbro97; debit ubs twint [UBS]</t>
  </si>
  <si>
    <t>dairy products stores - casa mozzarella          gen√®ve       che [CC]</t>
  </si>
  <si>
    <t>sbb contact center swiss pass;division personenverkehr; 3000 bern 65; ch [UBS]</t>
  </si>
  <si>
    <t>parkingpay-twint; payment ubs twint [UBS]</t>
  </si>
  <si>
    <t>paybyphone suisse ag; payment ubs twint [UBS]</t>
  </si>
  <si>
    <t>office des poursuites; payment ubs twint [UBS]</t>
  </si>
  <si>
    <t>aparments - cb-billetweb rueil-malmais fra [CC]</t>
  </si>
  <si>
    <t>Reality</t>
  </si>
  <si>
    <t>Year</t>
  </si>
  <si>
    <t>% Diff</t>
  </si>
  <si>
    <t>Row Labels</t>
  </si>
  <si>
    <t>Grand Total</t>
  </si>
  <si>
    <t>Sum of Amount</t>
  </si>
  <si>
    <t>Sum of Diff %</t>
  </si>
  <si>
    <t>hotels - hotel adlon gmbh berlin deu [CC]</t>
  </si>
  <si>
    <t>ubs switzerland ag;c/o ubs card center [UBS]</t>
  </si>
  <si>
    <t>Home utils</t>
  </si>
  <si>
    <t>Grant Payment</t>
  </si>
  <si>
    <t>Dentist</t>
  </si>
  <si>
    <t>Avance sur payment caution!</t>
  </si>
  <si>
    <t>Step by Step Updating Process</t>
  </si>
  <si>
    <t>1. Go to Source &gt; Check latest transactions</t>
  </si>
  <si>
    <t>2. Go to Ebanking &gt; Extract cc_invoice + ubs_transactions</t>
  </si>
  <si>
    <t>3. Move files from download to raw_ds</t>
  </si>
  <si>
    <t>4. Run script in &gt; Lucas_Sandbox_Budget_Script</t>
  </si>
  <si>
    <t>5. Select next cell from last row in Source and import output.csv file</t>
  </si>
  <si>
    <t>6. Check &amp; Label</t>
  </si>
  <si>
    <t>7. Budget Tracking &gt; drag table</t>
  </si>
  <si>
    <t>8. Budget Planning Compute Diff for extra savings</t>
  </si>
  <si>
    <t>9. Expenses_Add update rows (drag) + pivot</t>
  </si>
  <si>
    <t>Furnitures</t>
  </si>
  <si>
    <t>cadeau maman</t>
  </si>
  <si>
    <t>Rent Guarantee</t>
  </si>
  <si>
    <t>Garantie de Loyer</t>
  </si>
  <si>
    <t>Home Furnitures</t>
  </si>
  <si>
    <t>Ademi Déménagement</t>
  </si>
  <si>
    <t>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</si>
</sst>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 #,##0.00_ ;_ * \-#,##0.00_ ;_ * &quot;-&quot;??_ ;_ @_ "/>
    <numFmt numFmtId="164" formatCode="mmm"/>
    <numFmt numFmtId="165" formatCode="_ * #,##0_ ;_ * \-#,##0_ ;_ * &quot;-&quot;??_ ;_ @_ "/>
    <numFmt numFmtId="166" formatCode="d\-mmm\-yy"/>
    <numFmt numFmtId="167" formatCode="dd\-mmm\-yy"/>
    <numFmt numFmtId="168" formatCode="mmmm"/>
    <numFmt numFmtId="169" formatCode="_ &quot;CHF&quot;\ * #,##0_ ;_ &quot;CHF&quot;\ * \-#,##0_ ;_ &quot;CHF&quot;\ * &quot;-&quot;??_ ;_ @_ "/>
  </numFmts>
  <fonts count="39" x14ac:knownFonts="1">
    <font>
      <sz val="12"/>
      <color theme="1"/>
      <name val="Aptos Narrow"/>
      <family val="2"/>
      <scheme val="minor"/>
    </font>
    <font>
      <sz val="12"/>
      <color theme="1"/>
      <name val="Aptos Narrow"/>
      <family val="2"/>
      <scheme val="minor"/>
    </font>
    <font>
      <b/>
      <sz val="12"/>
      <color theme="0"/>
      <name val="Aptos Narrow"/>
      <family val="2"/>
      <scheme val="minor"/>
    </font>
    <font>
      <sz val="12"/>
      <color theme="0"/>
      <name val="Aptos Narrow"/>
      <family val="2"/>
      <scheme val="minor"/>
    </font>
    <font>
      <sz val="20"/>
      <color theme="0"/>
      <name val="Aptos Narrow"/>
      <family val="2"/>
      <scheme val="minor"/>
    </font>
    <font>
      <sz val="20"/>
      <color theme="3"/>
      <name val="Aptos Narrow"/>
      <family val="2"/>
      <scheme val="minor"/>
    </font>
    <font>
      <b/>
      <sz val="12"/>
      <color theme="0"/>
      <name val="Aptos Narrow"/>
      <scheme val="minor"/>
    </font>
    <font>
      <sz val="11"/>
      <color theme="1"/>
      <name val="Aptos Narrow"/>
      <family val="2"/>
      <scheme val="minor"/>
    </font>
    <font>
      <sz val="9"/>
      <color theme="1"/>
      <name val="Aptos Narrow"/>
      <family val="2"/>
      <scheme val="minor"/>
    </font>
    <font>
      <i/>
      <sz val="9"/>
      <color theme="2" tint="-0.249977111117893"/>
      <name val="Aptos Narrow"/>
      <scheme val="minor"/>
    </font>
    <font>
      <i/>
      <sz val="12"/>
      <color theme="2" tint="-0.249977111117893"/>
      <name val="Aptos Narrow"/>
      <scheme val="minor"/>
    </font>
    <font>
      <b/>
      <sz val="12"/>
      <color theme="3"/>
      <name val="Aptos Narrow"/>
      <scheme val="minor"/>
    </font>
    <font>
      <b/>
      <sz val="10"/>
      <color theme="0"/>
      <name val="Aptos Narrow"/>
      <scheme val="minor"/>
    </font>
    <font>
      <sz val="9"/>
      <color theme="2" tint="-0.499984740745262"/>
      <name val="Aptos Narrow"/>
      <scheme val="minor"/>
    </font>
    <font>
      <sz val="10"/>
      <color theme="2" tint="-0.499984740745262"/>
      <name val="Aptos Narrow"/>
      <scheme val="minor"/>
    </font>
    <font>
      <sz val="10"/>
      <color theme="2" tint="-0.499984740745262"/>
      <name val="Aptos Narrow"/>
      <family val="2"/>
      <scheme val="minor"/>
    </font>
    <font>
      <b/>
      <sz val="9"/>
      <color theme="1"/>
      <name val="Aptos Narrow"/>
      <scheme val="minor"/>
    </font>
    <font>
      <b/>
      <sz val="9"/>
      <color theme="2" tint="-0.499984740745262"/>
      <name val="Aptos Narrow"/>
      <scheme val="minor"/>
    </font>
    <font>
      <i/>
      <sz val="12"/>
      <color theme="3"/>
      <name val="Aptos Narrow"/>
      <scheme val="minor"/>
    </font>
    <font>
      <sz val="12"/>
      <color theme="2" tint="-0.499984740745262"/>
      <name val="Aptos Narrow"/>
      <family val="2"/>
      <scheme val="minor"/>
    </font>
    <font>
      <b/>
      <sz val="12"/>
      <color theme="4"/>
      <name val="Aptos Narrow"/>
      <scheme val="minor"/>
    </font>
    <font>
      <sz val="12"/>
      <color theme="0" tint="-0.249977111117893"/>
      <name val="Aptos Narrow"/>
      <family val="2"/>
      <scheme val="minor"/>
    </font>
    <font>
      <sz val="10"/>
      <color theme="0"/>
      <name val="Aptos Narrow"/>
      <family val="2"/>
      <scheme val="minor"/>
    </font>
    <font>
      <b/>
      <sz val="12"/>
      <color theme="1"/>
      <name val="Aptos Narrow"/>
      <scheme val="minor"/>
    </font>
    <font>
      <b/>
      <sz val="11"/>
      <color theme="1"/>
      <name val="Aptos Narrow"/>
      <scheme val="minor"/>
    </font>
    <font>
      <b/>
      <sz val="11"/>
      <color theme="3"/>
      <name val="Aptos Narrow"/>
      <scheme val="minor"/>
    </font>
    <font>
      <sz val="11"/>
      <color theme="1"/>
      <name val="Aptos Narrow"/>
      <scheme val="minor"/>
    </font>
    <font>
      <sz val="12"/>
      <color theme="3" tint="0.499984740745262"/>
      <name val="Aptos Narrow"/>
      <family val="2"/>
      <scheme val="minor"/>
    </font>
    <font>
      <b/>
      <sz val="12"/>
      <color theme="3" tint="0.499984740745262"/>
      <name val="Aptos Narrow"/>
      <scheme val="minor"/>
    </font>
    <font>
      <sz val="12"/>
      <color theme="3" tint="0.499984740745262"/>
      <name val="Aptos Narrow"/>
      <scheme val="minor"/>
    </font>
    <font>
      <sz val="8"/>
      <name val="Aptos Narrow"/>
      <family val="2"/>
      <scheme val="minor"/>
    </font>
    <font>
      <sz val="10"/>
      <color theme="1"/>
      <name val="Aptos Narrow"/>
      <family val="2"/>
      <scheme val="minor"/>
    </font>
    <font>
      <b/>
      <sz val="10"/>
      <color theme="1"/>
      <name val="Aptos Narrow"/>
      <scheme val="minor"/>
    </font>
    <font>
      <u/>
      <sz val="12"/>
      <color theme="10"/>
      <name val="Aptos Narrow"/>
      <family val="2"/>
      <scheme val="minor"/>
    </font>
    <font>
      <sz val="10"/>
      <color rgb="FF000000"/>
      <name val="Tahoma"/>
      <family val="2"/>
    </font>
    <font>
      <b/>
      <sz val="10"/>
      <color rgb="FF000000"/>
      <name val="Tahoma"/>
      <family val="2"/>
    </font>
    <font>
      <sz val="12"/>
      <color rgb="FF000000"/>
      <name val="Aptos Narrow"/>
      <family val="2"/>
      <scheme val="minor"/>
    </font>
    <font>
      <sz val="10"/>
      <color rgb="FF000000"/>
      <name val="Aptos Narrow"/>
      <family val="2"/>
      <scheme val="minor"/>
    </font>
    <font>
      <b/>
      <sz val="12"/>
      <color rgb="FFFFFFFF"/>
      <name val="Aptos Narrow"/>
      <family val="2"/>
      <scheme val="minor"/>
    </font>
  </fonts>
  <fills count="18">
    <fill>
      <patternFill patternType="none"/>
    </fill>
    <fill>
      <patternFill patternType="gray125"/>
    </fill>
    <fill>
      <patternFill patternType="solid">
        <fgColor theme="3"/>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6"/>
        <bgColor indexed="64"/>
      </patternFill>
    </fill>
    <fill>
      <patternFill patternType="solid">
        <fgColor theme="5"/>
        <bgColor indexed="64"/>
      </patternFill>
    </fill>
    <fill>
      <patternFill patternType="solid">
        <fgColor theme="4"/>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rgb="FF002060"/>
        <bgColor indexed="64"/>
      </patternFill>
    </fill>
    <fill>
      <patternFill patternType="solid">
        <fgColor rgb="FFC1F0C8"/>
        <bgColor rgb="FF000000"/>
      </patternFill>
    </fill>
    <fill>
      <patternFill patternType="solid">
        <fgColor rgb="FFE97132"/>
        <bgColor rgb="FF000000"/>
      </patternFill>
    </fill>
    <fill>
      <patternFill patternType="solid">
        <fgColor rgb="FFFBE2D5"/>
        <bgColor rgb="FF000000"/>
      </patternFill>
    </fill>
    <fill>
      <patternFill patternType="solid">
        <fgColor rgb="FFFFFF00"/>
        <bgColor indexed="64"/>
      </patternFill>
    </fill>
  </fills>
  <borders count="26">
    <border>
      <left/>
      <right/>
      <top/>
      <bottom/>
      <diagonal/>
    </border>
    <border>
      <left style="thin">
        <color theme="2" tint="-9.9948118533890809E-2"/>
      </left>
      <right/>
      <top/>
      <bottom/>
      <diagonal/>
    </border>
    <border>
      <left/>
      <right style="thin">
        <color theme="2" tint="-9.9948118533890809E-2"/>
      </right>
      <top/>
      <bottom/>
      <diagonal/>
    </border>
    <border>
      <left style="thin">
        <color theme="2" tint="-9.9948118533890809E-2"/>
      </left>
      <right/>
      <top/>
      <bottom style="thin">
        <color theme="2" tint="-9.9948118533890809E-2"/>
      </bottom>
      <diagonal/>
    </border>
    <border>
      <left/>
      <right/>
      <top/>
      <bottom style="thin">
        <color theme="2" tint="-9.9948118533890809E-2"/>
      </bottom>
      <diagonal/>
    </border>
    <border>
      <left/>
      <right style="thin">
        <color theme="2" tint="-9.9948118533890809E-2"/>
      </right>
      <top/>
      <bottom style="thin">
        <color theme="2" tint="-9.9948118533890809E-2"/>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n">
        <color theme="2" tint="-0.24994659260841701"/>
      </right>
      <top/>
      <bottom/>
      <diagonal/>
    </border>
    <border>
      <left style="thin">
        <color theme="2" tint="-0.24994659260841701"/>
      </left>
      <right/>
      <top/>
      <bottom style="thin">
        <color theme="2" tint="-0.24994659260841701"/>
      </bottom>
      <diagonal/>
    </border>
    <border>
      <left/>
      <right/>
      <top/>
      <bottom style="thin">
        <color theme="2" tint="-0.24994659260841701"/>
      </bottom>
      <diagonal/>
    </border>
    <border>
      <left/>
      <right style="thin">
        <color theme="2" tint="-0.24994659260841701"/>
      </right>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right/>
      <top style="thin">
        <color theme="2" tint="-0.24994659260841701"/>
      </top>
      <bottom/>
      <diagonal/>
    </border>
    <border>
      <left style="thin">
        <color theme="2" tint="-0.24994659260841701"/>
      </left>
      <right style="thin">
        <color theme="2" tint="-0.24994659260841701"/>
      </right>
      <top/>
      <bottom style="thin">
        <color theme="2" tint="-0.24994659260841701"/>
      </bottom>
      <diagonal/>
    </border>
    <border>
      <left style="thin">
        <color theme="2" tint="-0.24994659260841701"/>
      </left>
      <right style="thin">
        <color theme="2" tint="-0.24994659260841701"/>
      </right>
      <top/>
      <bottom/>
      <diagonal/>
    </border>
    <border>
      <left/>
      <right/>
      <top/>
      <bottom style="hair">
        <color theme="2" tint="-0.24994659260841701"/>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right/>
      <top style="thin">
        <color theme="2" tint="-0.24994659260841701"/>
      </top>
      <bottom style="thin">
        <color theme="2" tint="-0.24994659260841701"/>
      </bottom>
      <diagonal/>
    </border>
    <border>
      <left/>
      <right/>
      <top/>
      <bottom style="thin">
        <color auto="1"/>
      </bottom>
      <diagonal/>
    </border>
    <border>
      <left/>
      <right/>
      <top style="dotted">
        <color auto="1"/>
      </top>
      <bottom style="double">
        <color auto="1"/>
      </bottom>
      <diagonal/>
    </border>
    <border>
      <left/>
      <right/>
      <top style="thin">
        <color auto="1"/>
      </top>
      <bottom/>
      <diagonal/>
    </border>
    <border>
      <left/>
      <right/>
      <top style="dotted">
        <color auto="1"/>
      </top>
      <bottom/>
      <diagonal/>
    </border>
    <border>
      <left style="thin">
        <color rgb="FFADADAD"/>
      </left>
      <right style="thin">
        <color rgb="FFADADAD"/>
      </right>
      <top style="thin">
        <color rgb="FFADADAD"/>
      </top>
      <bottom style="thin">
        <color rgb="FFADADAD"/>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33" fillId="0" borderId="0" applyNumberFormat="0" applyFill="0" applyBorder="0" applyAlignment="0" applyProtection="0"/>
  </cellStyleXfs>
  <cellXfs count="140">
    <xf numFmtId="0" fontId="0" fillId="0" borderId="0" xfId="0"/>
    <xf numFmtId="0" fontId="0" fillId="2" borderId="0" xfId="0" applyFill="1"/>
    <xf numFmtId="0" fontId="0" fillId="3"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7" fillId="4" borderId="0" xfId="0" applyFont="1" applyFill="1" applyAlignment="1">
      <alignment horizontal="center" vertical="center"/>
    </xf>
    <xf numFmtId="0" fontId="9" fillId="0" borderId="0" xfId="0" applyFont="1"/>
    <xf numFmtId="0" fontId="10" fillId="0" borderId="0" xfId="0" applyFont="1" applyAlignment="1">
      <alignment horizontal="right" vertical="center"/>
    </xf>
    <xf numFmtId="0" fontId="0" fillId="0" borderId="0" xfId="0" applyAlignment="1">
      <alignment horizontal="left" indent="1"/>
    </xf>
    <xf numFmtId="0" fontId="11" fillId="0" borderId="6" xfId="0" applyFont="1" applyBorder="1" applyAlignment="1">
      <alignment horizontal="left" indent="1"/>
    </xf>
    <xf numFmtId="0" fontId="2" fillId="0" borderId="0" xfId="0" applyFont="1" applyAlignment="1">
      <alignment horizontal="left" indent="1"/>
    </xf>
    <xf numFmtId="0" fontId="12" fillId="5" borderId="0" xfId="0" applyFont="1" applyFill="1" applyAlignment="1">
      <alignment horizontal="center" vertical="center"/>
    </xf>
    <xf numFmtId="164" fontId="12" fillId="5" borderId="0" xfId="0" applyNumberFormat="1" applyFont="1" applyFill="1" applyAlignment="1">
      <alignment horizontal="center" vertical="center"/>
    </xf>
    <xf numFmtId="165" fontId="13" fillId="0" borderId="6" xfId="1" applyNumberFormat="1" applyFont="1" applyBorder="1"/>
    <xf numFmtId="0" fontId="14" fillId="0" borderId="0" xfId="0" applyFont="1" applyAlignment="1">
      <alignment horizontal="left" indent="1"/>
    </xf>
    <xf numFmtId="165" fontId="16" fillId="0" borderId="6" xfId="1" applyNumberFormat="1" applyFont="1" applyBorder="1"/>
    <xf numFmtId="165" fontId="17" fillId="0" borderId="6" xfId="1" applyNumberFormat="1" applyFont="1" applyBorder="1"/>
    <xf numFmtId="0" fontId="15" fillId="0" borderId="0" xfId="0" applyFont="1" applyAlignment="1">
      <alignment horizontal="left" indent="1"/>
    </xf>
    <xf numFmtId="164" fontId="12" fillId="6" borderId="0" xfId="0" applyNumberFormat="1" applyFont="1" applyFill="1" applyAlignment="1">
      <alignment horizontal="center" vertical="center"/>
    </xf>
    <xf numFmtId="0" fontId="12" fillId="6" borderId="0" xfId="0" applyFont="1" applyFill="1" applyAlignment="1">
      <alignment horizontal="center" vertical="center"/>
    </xf>
    <xf numFmtId="164" fontId="12" fillId="7" borderId="0" xfId="0" applyNumberFormat="1" applyFont="1" applyFill="1" applyAlignment="1">
      <alignment horizontal="center" vertical="center"/>
    </xf>
    <xf numFmtId="0" fontId="12" fillId="7" borderId="0" xfId="0" applyFont="1" applyFill="1" applyAlignment="1">
      <alignment horizontal="center" vertical="center"/>
    </xf>
    <xf numFmtId="0" fontId="18" fillId="0" borderId="0" xfId="0" applyFont="1" applyAlignment="1">
      <alignment horizontal="right"/>
    </xf>
    <xf numFmtId="165" fontId="8" fillId="0" borderId="6" xfId="0" applyNumberFormat="1" applyFont="1" applyBorder="1"/>
    <xf numFmtId="0" fontId="16" fillId="0" borderId="6" xfId="0" applyFont="1" applyBorder="1" applyAlignment="1">
      <alignment horizontal="center" vertical="center"/>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Alignment="1">
      <alignment horizontal="left" vertical="center" indent="1"/>
    </xf>
    <xf numFmtId="166" fontId="0" fillId="0" borderId="0" xfId="0" applyNumberFormat="1" applyAlignment="1">
      <alignment horizontal="left" indent="1"/>
    </xf>
    <xf numFmtId="165" fontId="0" fillId="0" borderId="0" xfId="1" applyNumberFormat="1" applyFont="1" applyAlignment="1">
      <alignment horizontal="left" indent="1"/>
    </xf>
    <xf numFmtId="0" fontId="19" fillId="0" borderId="0" xfId="0" applyFont="1" applyAlignment="1">
      <alignment horizontal="left" indent="1"/>
    </xf>
    <xf numFmtId="0" fontId="19" fillId="8" borderId="0" xfId="0" applyFont="1" applyFill="1" applyAlignment="1">
      <alignment horizontal="left" vertical="center" indent="1"/>
    </xf>
    <xf numFmtId="165" fontId="19" fillId="0" borderId="0" xfId="1" applyNumberFormat="1" applyFont="1" applyAlignment="1">
      <alignment horizontal="left" indent="1"/>
    </xf>
    <xf numFmtId="0" fontId="11" fillId="0" borderId="0" xfId="0" applyFont="1"/>
    <xf numFmtId="0" fontId="20" fillId="0" borderId="0" xfId="0" applyFont="1"/>
    <xf numFmtId="0" fontId="11" fillId="0" borderId="0" xfId="0" applyFont="1" applyAlignment="1">
      <alignment horizontal="left" indent="1"/>
    </xf>
    <xf numFmtId="166" fontId="21" fillId="0" borderId="0" xfId="0" applyNumberFormat="1" applyFont="1" applyAlignment="1">
      <alignment horizontal="right" indent="1"/>
    </xf>
    <xf numFmtId="0" fontId="22" fillId="2" borderId="0" xfId="0" applyFont="1" applyFill="1" applyAlignment="1">
      <alignment vertical="center"/>
    </xf>
    <xf numFmtId="167" fontId="0" fillId="0" borderId="0" xfId="0" applyNumberFormat="1"/>
    <xf numFmtId="0" fontId="3" fillId="2" borderId="0" xfId="0" applyFont="1" applyFill="1" applyAlignment="1">
      <alignment vertical="center"/>
    </xf>
    <xf numFmtId="165" fontId="0" fillId="0" borderId="0" xfId="1" applyNumberFormat="1" applyFont="1"/>
    <xf numFmtId="0" fontId="6" fillId="2" borderId="0" xfId="0" applyFont="1" applyFill="1" applyAlignment="1">
      <alignment horizontal="center" vertical="center"/>
    </xf>
    <xf numFmtId="0" fontId="0" fillId="0" borderId="0" xfId="0" applyAlignment="1">
      <alignment horizontal="center"/>
    </xf>
    <xf numFmtId="0" fontId="10" fillId="0" borderId="0" xfId="0" applyFont="1" applyAlignment="1">
      <alignment horizontal="right" vertical="center" indent="2"/>
    </xf>
    <xf numFmtId="0" fontId="24" fillId="11" borderId="0" xfId="0" applyFont="1" applyFill="1" applyAlignment="1">
      <alignment horizontal="center" vertical="center"/>
    </xf>
    <xf numFmtId="0" fontId="7" fillId="0" borderId="0" xfId="0" applyFont="1" applyAlignment="1">
      <alignment vertical="center"/>
    </xf>
    <xf numFmtId="0" fontId="7" fillId="0" borderId="16" xfId="0" applyFont="1" applyBorder="1" applyAlignment="1">
      <alignment horizontal="center" vertical="center"/>
    </xf>
    <xf numFmtId="0" fontId="7" fillId="0" borderId="15" xfId="0" applyFont="1" applyBorder="1" applyAlignment="1">
      <alignment horizontal="center" vertical="center"/>
    </xf>
    <xf numFmtId="168" fontId="7" fillId="0" borderId="16" xfId="0" applyNumberFormat="1" applyFont="1" applyBorder="1" applyAlignment="1">
      <alignment horizontal="center" vertical="center"/>
    </xf>
    <xf numFmtId="168" fontId="7" fillId="0" borderId="15" xfId="0" applyNumberFormat="1" applyFont="1" applyBorder="1" applyAlignment="1">
      <alignment horizontal="center" vertical="center"/>
    </xf>
    <xf numFmtId="0" fontId="0" fillId="0" borderId="17" xfId="0" applyBorder="1"/>
    <xf numFmtId="0" fontId="25" fillId="0" borderId="0" xfId="0" applyFont="1"/>
    <xf numFmtId="0" fontId="25" fillId="0" borderId="17" xfId="0" applyFont="1" applyBorder="1"/>
    <xf numFmtId="0" fontId="26" fillId="0" borderId="0" xfId="0" applyFont="1"/>
    <xf numFmtId="0" fontId="0" fillId="0" borderId="0" xfId="0" applyAlignment="1">
      <alignment horizontal="right"/>
    </xf>
    <xf numFmtId="0" fontId="8" fillId="10" borderId="7" xfId="0" applyFont="1" applyFill="1" applyBorder="1" applyAlignment="1">
      <alignment horizontal="center"/>
    </xf>
    <xf numFmtId="0" fontId="8" fillId="10" borderId="0" xfId="0" applyFont="1" applyFill="1" applyAlignment="1">
      <alignment horizontal="center"/>
    </xf>
    <xf numFmtId="165" fontId="0" fillId="0" borderId="0" xfId="0" applyNumberFormat="1"/>
    <xf numFmtId="0" fontId="0" fillId="0" borderId="0" xfId="0" applyAlignment="1">
      <alignment horizontal="left" indent="2"/>
    </xf>
    <xf numFmtId="165" fontId="0" fillId="0" borderId="0" xfId="1" applyNumberFormat="1" applyFont="1" applyAlignment="1">
      <alignment horizontal="left" indent="2"/>
    </xf>
    <xf numFmtId="0" fontId="19" fillId="0" borderId="0" xfId="0" applyFont="1" applyAlignment="1">
      <alignment horizontal="left" indent="2"/>
    </xf>
    <xf numFmtId="165" fontId="19" fillId="0" borderId="0" xfId="1" applyNumberFormat="1" applyFont="1" applyAlignment="1">
      <alignment horizontal="left" indent="2"/>
    </xf>
    <xf numFmtId="165" fontId="0" fillId="0" borderId="0" xfId="1" applyNumberFormat="1" applyFont="1" applyBorder="1"/>
    <xf numFmtId="165" fontId="0" fillId="0" borderId="8" xfId="1" applyNumberFormat="1" applyFont="1" applyBorder="1"/>
    <xf numFmtId="0" fontId="8" fillId="10" borderId="7" xfId="0" applyFont="1" applyFill="1" applyBorder="1" applyAlignment="1">
      <alignment horizontal="center" vertical="center"/>
    </xf>
    <xf numFmtId="0" fontId="8" fillId="10" borderId="8" xfId="0" applyFont="1" applyFill="1" applyBorder="1" applyAlignment="1">
      <alignment horizontal="center" vertical="center"/>
    </xf>
    <xf numFmtId="0" fontId="8" fillId="10" borderId="0" xfId="0" applyFont="1" applyFill="1" applyAlignment="1">
      <alignment horizontal="center" vertical="center"/>
    </xf>
    <xf numFmtId="0" fontId="8" fillId="10" borderId="16" xfId="0" applyFont="1" applyFill="1" applyBorder="1" applyAlignment="1">
      <alignment horizontal="center" vertical="center"/>
    </xf>
    <xf numFmtId="0" fontId="0" fillId="0" borderId="16" xfId="0" applyBorder="1"/>
    <xf numFmtId="0" fontId="0" fillId="0" borderId="0" xfId="0" applyAlignment="1">
      <alignment vertical="center"/>
    </xf>
    <xf numFmtId="9" fontId="7" fillId="0" borderId="0" xfId="2" applyFont="1" applyAlignment="1">
      <alignment horizontal="center" vertical="center"/>
    </xf>
    <xf numFmtId="9" fontId="0" fillId="0" borderId="0" xfId="2" applyFont="1" applyAlignment="1">
      <alignment horizontal="center" vertical="center"/>
    </xf>
    <xf numFmtId="165" fontId="7" fillId="0" borderId="0" xfId="1" applyNumberFormat="1" applyFont="1" applyAlignment="1">
      <alignment horizontal="center" vertical="center"/>
    </xf>
    <xf numFmtId="165" fontId="0" fillId="0" borderId="0" xfId="1" applyNumberFormat="1" applyFont="1" applyAlignment="1">
      <alignment horizontal="center" vertical="center"/>
    </xf>
    <xf numFmtId="0" fontId="0" fillId="0" borderId="18" xfId="0" applyBorder="1"/>
    <xf numFmtId="0" fontId="0" fillId="0" borderId="14" xfId="0" applyBorder="1"/>
    <xf numFmtId="0" fontId="0" fillId="0" borderId="19" xfId="0" applyBorder="1"/>
    <xf numFmtId="0" fontId="0" fillId="0" borderId="20" xfId="0" applyBorder="1"/>
    <xf numFmtId="0" fontId="29" fillId="0" borderId="20" xfId="0" applyFont="1" applyBorder="1"/>
    <xf numFmtId="0" fontId="23" fillId="0" borderId="21" xfId="0" applyFont="1" applyBorder="1" applyAlignment="1">
      <alignment horizontal="center"/>
    </xf>
    <xf numFmtId="0" fontId="0" fillId="0" borderId="22" xfId="0" applyBorder="1" applyAlignment="1">
      <alignment horizontal="center"/>
    </xf>
    <xf numFmtId="0" fontId="23" fillId="0" borderId="0" xfId="0" applyFont="1" applyAlignment="1">
      <alignment horizontal="center"/>
    </xf>
    <xf numFmtId="165" fontId="0" fillId="0" borderId="0" xfId="1" applyNumberFormat="1" applyFont="1" applyAlignment="1">
      <alignment horizontal="center"/>
    </xf>
    <xf numFmtId="165" fontId="0" fillId="0" borderId="22" xfId="1" applyNumberFormat="1" applyFont="1" applyBorder="1" applyAlignment="1">
      <alignment horizontal="center"/>
    </xf>
    <xf numFmtId="165" fontId="23" fillId="0" borderId="0" xfId="1" applyNumberFormat="1" applyFont="1" applyAlignment="1">
      <alignment horizontal="center"/>
    </xf>
    <xf numFmtId="0" fontId="7" fillId="0" borderId="0" xfId="0" applyFont="1" applyAlignment="1">
      <alignment horizontal="left" indent="1"/>
    </xf>
    <xf numFmtId="165" fontId="7" fillId="0" borderId="0" xfId="1" applyNumberFormat="1" applyFont="1"/>
    <xf numFmtId="0" fontId="24" fillId="0" borderId="24" xfId="0" applyFont="1" applyBorder="1" applyAlignment="1">
      <alignment horizontal="left" indent="1"/>
    </xf>
    <xf numFmtId="165" fontId="24" fillId="0" borderId="24" xfId="1" applyNumberFormat="1" applyFont="1" applyBorder="1"/>
    <xf numFmtId="0" fontId="0" fillId="0" borderId="23" xfId="0" applyBorder="1" applyAlignment="1">
      <alignment horizontal="center" vertical="center"/>
    </xf>
    <xf numFmtId="0" fontId="0" fillId="0" borderId="0" xfId="0" applyAlignment="1">
      <alignment horizontal="center" vertical="center"/>
    </xf>
    <xf numFmtId="0" fontId="0" fillId="0" borderId="21" xfId="0" applyBorder="1" applyAlignment="1">
      <alignment horizontal="center" vertical="center"/>
    </xf>
    <xf numFmtId="165" fontId="0" fillId="0" borderId="23" xfId="1" applyNumberFormat="1" applyFont="1" applyBorder="1" applyAlignment="1">
      <alignment horizontal="center" vertical="center"/>
    </xf>
    <xf numFmtId="165" fontId="0" fillId="0" borderId="0" xfId="1" applyNumberFormat="1" applyFont="1" applyBorder="1" applyAlignment="1">
      <alignment horizontal="center" vertical="center"/>
    </xf>
    <xf numFmtId="165" fontId="0" fillId="0" borderId="23" xfId="1" applyNumberFormat="1" applyFont="1" applyBorder="1" applyAlignment="1">
      <alignment horizontal="center"/>
    </xf>
    <xf numFmtId="165" fontId="0" fillId="0" borderId="0" xfId="1" applyNumberFormat="1" applyFont="1" applyBorder="1" applyAlignment="1">
      <alignment horizontal="center"/>
    </xf>
    <xf numFmtId="0" fontId="32" fillId="0" borderId="0" xfId="0" applyFont="1"/>
    <xf numFmtId="0" fontId="0" fillId="0" borderId="0" xfId="0">
      <extLst>
        <ext xmlns:xfpb="http://schemas.microsoft.com/office/spreadsheetml/2022/featurepropertybag" uri="{C7286773-470A-42A8-94C5-96B5CB345126}">
          <xfpb:xfComplement i="0"/>
        </ext>
      </extLst>
    </xf>
    <xf numFmtId="0" fontId="31" fillId="0" borderId="0" xfId="0" applyFont="1">
      <extLst>
        <ext xmlns:xfpb="http://schemas.microsoft.com/office/spreadsheetml/2022/featurepropertybag" uri="{C7286773-470A-42A8-94C5-96B5CB345126}">
          <xfpb:xfComplement i="0"/>
        </ext>
      </extLst>
    </xf>
    <xf numFmtId="165" fontId="0" fillId="0" borderId="21" xfId="1" applyNumberFormat="1" applyFont="1" applyBorder="1" applyAlignment="1">
      <alignment horizontal="center" vertical="center"/>
    </xf>
    <xf numFmtId="0" fontId="33" fillId="0" borderId="0" xfId="3"/>
    <xf numFmtId="14" fontId="0" fillId="0" borderId="0" xfId="0" applyNumberFormat="1"/>
    <xf numFmtId="166" fontId="0" fillId="0" borderId="0" xfId="0" applyNumberFormat="1" applyAlignment="1">
      <alignment horizontal="left" indent="2"/>
    </xf>
    <xf numFmtId="0" fontId="23" fillId="0" borderId="0" xfId="0" applyFont="1"/>
    <xf numFmtId="0" fontId="0" fillId="13" borderId="0" xfId="0" applyFill="1" applyAlignment="1">
      <alignment horizontal="left" vertical="center" indent="1"/>
    </xf>
    <xf numFmtId="1" fontId="0" fillId="0" borderId="0" xfId="0" applyNumberFormat="1"/>
    <xf numFmtId="0" fontId="36" fillId="0" borderId="0" xfId="0" applyFont="1"/>
    <xf numFmtId="0" fontId="0" fillId="13" borderId="0" xfId="0" applyFill="1" applyAlignment="1">
      <alignment horizontal="left" vertical="center" indent="2"/>
    </xf>
    <xf numFmtId="9" fontId="8" fillId="0" borderId="6" xfId="2" applyFont="1" applyBorder="1"/>
    <xf numFmtId="0" fontId="0" fillId="0" borderId="0" xfId="0" pivotButton="1"/>
    <xf numFmtId="0" fontId="0" fillId="0" borderId="0" xfId="0" applyAlignment="1">
      <alignment horizontal="left"/>
    </xf>
    <xf numFmtId="169" fontId="0" fillId="0" borderId="0" xfId="0" applyNumberFormat="1"/>
    <xf numFmtId="9" fontId="0" fillId="0" borderId="0" xfId="0" applyNumberFormat="1"/>
    <xf numFmtId="0" fontId="37" fillId="14" borderId="25" xfId="0" applyFont="1" applyFill="1" applyBorder="1" applyAlignment="1">
      <alignment horizontal="left" indent="1"/>
    </xf>
    <xf numFmtId="0" fontId="38" fillId="15" borderId="25" xfId="0" applyFont="1" applyFill="1" applyBorder="1" applyAlignment="1">
      <alignment horizontal="left" indent="1"/>
    </xf>
    <xf numFmtId="0" fontId="37" fillId="16" borderId="25" xfId="0" applyFont="1" applyFill="1" applyBorder="1" applyAlignment="1">
      <alignment horizontal="left" indent="1"/>
    </xf>
    <xf numFmtId="166" fontId="19" fillId="0" borderId="0" xfId="0" applyNumberFormat="1" applyFont="1" applyAlignment="1">
      <alignment horizontal="left" indent="2"/>
    </xf>
    <xf numFmtId="0" fontId="4" fillId="2" borderId="0" xfId="0" applyFont="1" applyFill="1" applyAlignment="1">
      <alignment horizontal="left" vertical="center"/>
    </xf>
    <xf numFmtId="0" fontId="6" fillId="2" borderId="0" xfId="0" applyFont="1" applyFill="1" applyAlignment="1">
      <alignment horizontal="center" vertical="center"/>
    </xf>
    <xf numFmtId="0" fontId="9" fillId="0" borderId="0" xfId="0" applyFont="1" applyAlignment="1">
      <alignment horizontal="left" vertical="center" wrapText="1"/>
    </xf>
    <xf numFmtId="0" fontId="23" fillId="0" borderId="12" xfId="0" applyFont="1" applyBorder="1" applyAlignment="1">
      <alignment horizontal="center" vertical="center"/>
    </xf>
    <xf numFmtId="0" fontId="23" fillId="0" borderId="13" xfId="0" applyFont="1" applyBorder="1" applyAlignment="1">
      <alignment horizontal="center" vertical="center"/>
    </xf>
    <xf numFmtId="0" fontId="24" fillId="9" borderId="14" xfId="0" applyFont="1" applyFill="1" applyBorder="1" applyAlignment="1">
      <alignment horizontal="center" vertical="center"/>
    </xf>
    <xf numFmtId="0" fontId="10" fillId="0" borderId="0" xfId="0" applyFont="1" applyAlignment="1">
      <alignment horizontal="right" vertical="center" indent="2"/>
    </xf>
    <xf numFmtId="168" fontId="24" fillId="9" borderId="14" xfId="0" applyNumberFormat="1" applyFont="1" applyFill="1" applyBorder="1" applyAlignment="1">
      <alignment horizontal="center" vertical="center"/>
    </xf>
    <xf numFmtId="0" fontId="5" fillId="3" borderId="0" xfId="0" applyFont="1" applyFill="1" applyAlignment="1">
      <alignment horizontal="left" vertical="center"/>
    </xf>
    <xf numFmtId="0" fontId="12" fillId="2" borderId="0" xfId="0" applyFont="1" applyFill="1" applyAlignment="1">
      <alignment horizontal="center" vertical="center"/>
    </xf>
    <xf numFmtId="0" fontId="12" fillId="12" borderId="0" xfId="0" applyFont="1" applyFill="1" applyAlignment="1">
      <alignment horizontal="center" vertical="center"/>
    </xf>
    <xf numFmtId="164" fontId="0" fillId="0" borderId="23" xfId="0" applyNumberFormat="1" applyBorder="1" applyAlignment="1">
      <alignment horizontal="center" vertical="center"/>
    </xf>
    <xf numFmtId="164" fontId="0" fillId="0" borderId="0" xfId="0" applyNumberFormat="1" applyAlignment="1">
      <alignment horizontal="center" vertical="center"/>
    </xf>
    <xf numFmtId="164" fontId="0" fillId="0" borderId="21" xfId="0" applyNumberFormat="1" applyBorder="1" applyAlignment="1">
      <alignment horizontal="center" vertical="center"/>
    </xf>
    <xf numFmtId="0" fontId="0" fillId="17" borderId="0" xfId="0" applyFill="1"/>
    <xf numFmtId="165" fontId="23" fillId="0" borderId="0" xfId="0" applyNumberFormat="1" applyFont="1"/>
    <xf numFmtId="9" fontId="23" fillId="0" borderId="0" xfId="2" applyFont="1"/>
  </cellXfs>
  <cellStyles count="4">
    <cellStyle name="Comma" xfId="1" builtinId="3"/>
    <cellStyle name="Hyperlink" xfId="3" builtinId="8"/>
    <cellStyle name="Normal" xfId="0" builtinId="0"/>
    <cellStyle name="Per cent" xfId="2" builtinId="5"/>
  </cellStyles>
  <dxfs count="123">
    <dxf>
      <font>
        <color rgb="FFFF0000"/>
      </font>
    </dxf>
    <dxf>
      <font>
        <color theme="2" tint="-0.499984740745262"/>
      </font>
      <numFmt numFmtId="170" formatCode="\→\ d\-mmm\-yy"/>
    </dxf>
    <dxf>
      <numFmt numFmtId="170" formatCode="\→\ d\-mmm\-yy"/>
    </dxf>
    <dxf>
      <font>
        <color rgb="FF92D050"/>
      </font>
      <numFmt numFmtId="171" formatCode="#,##0_ ;\-#,##0\ "/>
    </dxf>
    <dxf>
      <font>
        <color rgb="FFFF0000"/>
      </font>
    </dxf>
    <dxf>
      <fill>
        <patternFill>
          <bgColor theme="0" tint="-0.14996795556505021"/>
        </patternFill>
      </fill>
    </dxf>
    <dxf>
      <fill>
        <patternFill>
          <bgColor theme="4" tint="0.79998168889431442"/>
        </patternFill>
      </fill>
    </dxf>
    <dxf>
      <fill>
        <patternFill>
          <bgColor theme="4" tint="0.59996337778862885"/>
        </patternFill>
      </fill>
    </dxf>
    <dxf>
      <fill>
        <patternFill>
          <bgColor theme="4" tint="0.39994506668294322"/>
        </patternFill>
      </fill>
    </dxf>
    <dxf>
      <fill>
        <patternFill>
          <bgColor theme="4"/>
        </patternFill>
      </fill>
    </dxf>
    <dxf>
      <fill>
        <patternFill>
          <bgColor theme="4" tint="-0.24994659260841701"/>
        </patternFill>
      </fill>
    </dxf>
    <dxf>
      <fill>
        <patternFill>
          <bgColor theme="0" tint="-0.14996795556505021"/>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theme="5"/>
        </patternFill>
      </fill>
    </dxf>
    <dxf>
      <fill>
        <patternFill>
          <bgColor theme="5" tint="-0.24994659260841701"/>
        </patternFill>
      </fill>
    </dxf>
    <dxf>
      <fill>
        <patternFill>
          <bgColor theme="0" tint="-0.14996795556505021"/>
        </patternFill>
      </fill>
    </dxf>
    <dxf>
      <fill>
        <patternFill>
          <bgColor theme="9" tint="0.79998168889431442"/>
        </patternFill>
      </fill>
    </dxf>
    <dxf>
      <fill>
        <patternFill>
          <bgColor theme="6" tint="0.79998168889431442"/>
        </patternFill>
      </fill>
    </dxf>
    <dxf>
      <fill>
        <patternFill>
          <bgColor theme="6" tint="0.59996337778862885"/>
        </patternFill>
      </fill>
    </dxf>
    <dxf>
      <fill>
        <patternFill>
          <bgColor theme="6" tint="0.39994506668294322"/>
        </patternFill>
      </fill>
    </dxf>
    <dxf>
      <fill>
        <patternFill>
          <bgColor theme="6"/>
        </patternFill>
      </fill>
    </dxf>
    <dxf>
      <fill>
        <patternFill>
          <bgColor theme="4" tint="0.79998168889431442"/>
        </patternFill>
      </fill>
    </dxf>
    <dxf>
      <fill>
        <patternFill>
          <bgColor theme="5" tint="0.79998168889431442"/>
        </patternFill>
      </fill>
    </dxf>
    <dxf>
      <fill>
        <patternFill>
          <bgColor theme="6" tint="0.79998168889431442"/>
        </patternFill>
      </fill>
    </dxf>
    <dxf>
      <font>
        <b/>
        <i val="0"/>
      </font>
      <border>
        <top style="thin">
          <color auto="1"/>
        </top>
        <vertical/>
        <horizontal/>
      </border>
    </dxf>
    <dxf>
      <font>
        <b/>
        <i val="0"/>
        <color theme="0"/>
      </font>
      <fill>
        <patternFill>
          <bgColor theme="4"/>
        </patternFill>
      </fill>
    </dxf>
    <dxf>
      <font>
        <b/>
        <i val="0"/>
        <color theme="0"/>
      </font>
      <fill>
        <patternFill>
          <bgColor theme="5"/>
        </patternFill>
      </fill>
    </dxf>
    <dxf>
      <font>
        <b/>
        <i val="0"/>
        <color theme="0"/>
      </font>
      <fill>
        <patternFill>
          <bgColor theme="6"/>
        </patternFill>
      </fill>
    </dxf>
    <dxf>
      <font>
        <color rgb="FFFF0000"/>
      </font>
      <fill>
        <patternFill patternType="none">
          <bgColor auto="1"/>
        </patternFill>
      </fill>
    </dxf>
    <dxf>
      <font>
        <color theme="9"/>
      </font>
      <fill>
        <patternFill patternType="none">
          <bgColor auto="1"/>
        </patternFill>
      </fill>
    </dxf>
    <dxf>
      <font>
        <color theme="2" tint="-0.24994659260841701"/>
      </font>
      <fill>
        <patternFill patternType="none">
          <bgColor auto="1"/>
        </patternFill>
      </fill>
    </dxf>
    <dxf>
      <font>
        <color theme="1"/>
      </font>
      <fill>
        <patternFill>
          <bgColor theme="4" tint="0.79998168889431442"/>
        </patternFill>
      </fill>
    </dxf>
    <dxf>
      <font>
        <color theme="1"/>
      </font>
      <fill>
        <patternFill>
          <bgColor theme="5" tint="0.79998168889431442"/>
        </patternFill>
      </fill>
    </dxf>
    <dxf>
      <font>
        <color theme="1"/>
      </font>
      <fill>
        <patternFill>
          <bgColor theme="6" tint="0.79998168889431442"/>
        </patternFill>
      </fill>
    </dxf>
    <dxf>
      <font>
        <color theme="2" tint="-0.24994659260841701"/>
      </font>
      <fill>
        <patternFill>
          <bgColor theme="0" tint="-4.9989318521683403E-2"/>
        </patternFill>
      </fill>
    </dxf>
    <dxf>
      <font>
        <color theme="1"/>
      </font>
      <fill>
        <patternFill>
          <bgColor theme="4" tint="0.79998168889431442"/>
        </patternFill>
      </fill>
    </dxf>
    <dxf>
      <font>
        <color theme="1"/>
      </font>
      <fill>
        <patternFill>
          <bgColor theme="5" tint="0.79998168889431442"/>
        </patternFill>
      </fill>
    </dxf>
    <dxf>
      <font>
        <color theme="1"/>
      </font>
      <fill>
        <patternFill>
          <bgColor theme="6" tint="0.79998168889431442"/>
        </patternFill>
      </fill>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69" formatCode="_ &quot;CHF&quot;\ * #,##0_ ;_ &quot;CHF&quot;\ * \-#,##0_ ;_ &quot;CHF&quot;\ * &quot;-&quot;??_ ;_ @_ "/>
    </dxf>
    <dxf>
      <numFmt numFmtId="13" formatCode="0%"/>
    </dxf>
    <dxf>
      <numFmt numFmtId="13" formatCode="0%"/>
    </dxf>
    <dxf>
      <numFmt numFmtId="169" formatCode="_ &quot;CHF&quot;\ * #,##0_ ;_ &quot;CHF&quot;\ * \-#,##0_ ;_ &quot;CHF&quot;\ * &quot;-&quot;??_ ;_ @_ "/>
    </dxf>
    <dxf>
      <numFmt numFmtId="1" formatCode="0"/>
    </dxf>
    <dxf>
      <alignment horizontal="left" vertical="bottom" textRotation="0" wrapText="0" relativeIndent="1" justifyLastLine="0" shrinkToFit="0" readingOrder="0"/>
    </dxf>
    <dxf>
      <alignment horizontal="left" vertical="bottom" textRotation="0" wrapText="0" relativeIndent="1" justifyLastLine="0" shrinkToFit="0" readingOrder="0"/>
    </dxf>
    <dxf>
      <font>
        <strike val="0"/>
        <outline val="0"/>
        <shadow val="0"/>
        <u val="none"/>
        <vertAlign val="baseline"/>
        <sz val="12"/>
        <color theme="0" tint="-0.249977111117893"/>
        <name val="Aptos Narrow"/>
        <family val="2"/>
        <scheme val="minor"/>
      </font>
      <numFmt numFmtId="166" formatCode="d\-mmm\-yy"/>
      <alignment horizontal="right" vertical="bottom" textRotation="0" wrapText="0" indent="1" justifyLastLine="0" shrinkToFit="0" readingOrder="0"/>
    </dxf>
    <dxf>
      <font>
        <strike val="0"/>
        <outline val="0"/>
        <shadow val="0"/>
        <u val="none"/>
        <vertAlign val="baseline"/>
        <sz val="12"/>
        <color theme="2" tint="-0.499984740745262"/>
        <name val="Aptos Narrow"/>
        <family val="2"/>
        <scheme val="minor"/>
      </font>
      <numFmt numFmtId="165" formatCode="_ * #,##0_ ;_ * \-#,##0_ ;_ * &quot;-&quot;??_ ;_ @_ "/>
      <alignment horizontal="left" vertical="bottom" textRotation="0" wrapText="0" relativeIndent="1" justifyLastLine="0" shrinkToFit="0" readingOrder="0"/>
    </dxf>
    <dxf>
      <font>
        <strike val="0"/>
        <outline val="0"/>
        <shadow val="0"/>
        <u val="none"/>
        <vertAlign val="baseline"/>
        <sz val="12"/>
        <color theme="2" tint="-0.499984740745262"/>
        <name val="Aptos Narrow"/>
        <family val="2"/>
        <scheme val="minor"/>
      </font>
      <alignment horizontal="left" vertical="bottom" textRotation="0" wrapText="0" relativeIndent="1" justifyLastLine="0" shrinkToFit="0" readingOrder="0"/>
    </dxf>
    <dxf>
      <numFmt numFmtId="165" formatCode="_ * #,##0_ ;_ * \-#,##0_ ;_ * &quot;-&quot;??_ ;_ @_ "/>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numFmt numFmtId="166" formatCode="d\-mmm\-yy"/>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center" textRotation="0" wrapText="0" relativeIndent="1" justifyLastLine="0" shrinkToFit="0" readingOrder="0"/>
    </dxf>
    <dxf>
      <font>
        <b val="0"/>
        <i val="0"/>
        <strike val="0"/>
        <condense val="0"/>
        <extend val="0"/>
        <outline val="0"/>
        <shadow val="0"/>
        <u val="none"/>
        <vertAlign val="baseline"/>
        <sz val="10"/>
        <color theme="2" tint="-0.499984740745262"/>
        <name val="Aptos Narrow"/>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499984740745262"/>
        <name val="Aptos Narrow"/>
        <scheme val="minor"/>
      </font>
      <alignment horizontal="left" vertical="bottom" textRotation="0" wrapText="0" indent="1" justifyLastLine="0" shrinkToFit="0" readingOrder="0"/>
    </dxf>
    <dxf>
      <font>
        <b/>
        <i val="0"/>
        <strike val="0"/>
        <condense val="0"/>
        <extend val="0"/>
        <outline val="0"/>
        <shadow val="0"/>
        <u val="none"/>
        <vertAlign val="baseline"/>
        <sz val="12"/>
        <color theme="0"/>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499984740745262"/>
        <name val="Aptos Narrow"/>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499984740745262"/>
        <name val="Aptos Narrow"/>
        <scheme val="minor"/>
      </font>
      <alignment horizontal="left" vertical="bottom" textRotation="0" wrapText="0" indent="1" justifyLastLine="0" shrinkToFit="0" readingOrder="0"/>
    </dxf>
    <dxf>
      <font>
        <b/>
        <i val="0"/>
        <strike val="0"/>
        <condense val="0"/>
        <extend val="0"/>
        <outline val="0"/>
        <shadow val="0"/>
        <u val="none"/>
        <vertAlign val="baseline"/>
        <sz val="12"/>
        <color theme="0"/>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499984740745262"/>
        <name val="Aptos Narrow"/>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499984740745262"/>
        <name val="Aptos Narrow"/>
        <scheme val="minor"/>
      </font>
      <alignment horizontal="left" vertical="bottom" textRotation="0" wrapText="0" indent="1" justifyLastLine="0" shrinkToFit="0" readingOrder="0"/>
    </dxf>
    <dxf>
      <font>
        <b/>
        <i val="0"/>
        <strike val="0"/>
        <condense val="0"/>
        <extend val="0"/>
        <outline val="0"/>
        <shadow val="0"/>
        <u val="none"/>
        <vertAlign val="baseline"/>
        <sz val="12"/>
        <color theme="0"/>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499984740745262"/>
        <name val="Aptos Narrow"/>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499984740745262"/>
        <name val="Aptos Narrow"/>
        <scheme val="minor"/>
      </font>
      <alignment horizontal="left" vertical="bottom" textRotation="0" wrapText="0" indent="1" justifyLastLine="0" shrinkToFit="0" readingOrder="0"/>
    </dxf>
    <dxf>
      <font>
        <b/>
        <i val="0"/>
        <strike val="0"/>
        <condense val="0"/>
        <extend val="0"/>
        <outline val="0"/>
        <shadow val="0"/>
        <u val="none"/>
        <vertAlign val="baseline"/>
        <sz val="12"/>
        <color theme="0"/>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499984740745262"/>
        <name val="Aptos Narrow"/>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499984740745262"/>
        <name val="Aptos Narrow"/>
        <scheme val="minor"/>
      </font>
      <alignment horizontal="left" vertical="bottom" textRotation="0" wrapText="0" indent="1" justifyLastLine="0" shrinkToFit="0" readingOrder="0"/>
    </dxf>
    <dxf>
      <font>
        <b/>
        <i val="0"/>
        <strike val="0"/>
        <condense val="0"/>
        <extend val="0"/>
        <outline val="0"/>
        <shadow val="0"/>
        <u val="none"/>
        <vertAlign val="baseline"/>
        <sz val="12"/>
        <color theme="0"/>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499984740745262"/>
        <name val="Aptos Narrow"/>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499984740745262"/>
        <name val="Aptos Narrow"/>
        <scheme val="minor"/>
      </font>
      <alignment horizontal="left" vertical="bottom" textRotation="0" wrapText="0" indent="1" justifyLastLine="0" shrinkToFit="0" readingOrder="0"/>
    </dxf>
    <dxf>
      <font>
        <b/>
        <i val="0"/>
        <strike val="0"/>
        <condense val="0"/>
        <extend val="0"/>
        <outline val="0"/>
        <shadow val="0"/>
        <u val="none"/>
        <vertAlign val="baseline"/>
        <sz val="12"/>
        <color theme="0"/>
        <name val="Aptos Narrow"/>
        <family val="2"/>
        <scheme val="minor"/>
      </font>
      <alignment horizontal="left" vertical="bottom" textRotation="0" wrapText="0" indent="1" justifyLastLine="0" shrinkToFit="0" readingOrder="0"/>
    </dxf>
    <dxf>
      <fill>
        <patternFill>
          <bgColor theme="0" tint="-4.9989318521683403E-2"/>
        </patternFill>
      </fill>
    </dxf>
    <dxf>
      <font>
        <b/>
        <i val="0"/>
        <color theme="0"/>
      </font>
      <fill>
        <patternFill>
          <bgColor theme="4"/>
        </patternFill>
      </fill>
      <border>
        <left style="thin">
          <color theme="2" tint="-0.24994659260841701"/>
        </left>
        <right style="thin">
          <color theme="2" tint="-0.24994659260841701"/>
        </right>
        <top style="thin">
          <color theme="2" tint="-0.24994659260841701"/>
        </top>
        <bottom style="thin">
          <color theme="2" tint="-0.24994659260841701"/>
        </bottom>
        <vertical style="thin">
          <color theme="2" tint="-0.24994659260841701"/>
        </vertical>
        <horizontal style="thin">
          <color theme="2" tint="-0.24994659260841701"/>
        </horizontal>
      </border>
    </dxf>
    <dxf>
      <border>
        <left style="thin">
          <color theme="2" tint="-0.24994659260841701"/>
        </left>
        <right style="thin">
          <color theme="2" tint="-0.24994659260841701"/>
        </right>
        <top style="thin">
          <color theme="2" tint="-0.24994659260841701"/>
        </top>
        <bottom style="thin">
          <color theme="2" tint="-0.24994659260841701"/>
        </bottom>
        <vertical/>
        <horizontal/>
      </border>
    </dxf>
    <dxf>
      <font>
        <b/>
        <i val="0"/>
        <color theme="0"/>
      </font>
      <fill>
        <patternFill>
          <bgColor theme="4"/>
        </patternFill>
      </fill>
    </dxf>
    <dxf>
      <border>
        <left style="thin">
          <color theme="2" tint="-0.24994659260841701"/>
        </left>
        <right style="thin">
          <color theme="2" tint="-0.24994659260841701"/>
        </right>
        <top style="thin">
          <color theme="2" tint="-0.24994659260841701"/>
        </top>
        <bottom style="thin">
          <color theme="2" tint="-0.24994659260841701"/>
        </bottom>
        <vertical style="thin">
          <color theme="2" tint="-0.24994659260841701"/>
        </vertical>
        <horizontal style="thin">
          <color theme="2" tint="-0.24994659260841701"/>
        </horizontal>
      </border>
    </dxf>
    <dxf>
      <font>
        <b/>
        <i val="0"/>
        <color theme="0"/>
      </font>
      <fill>
        <patternFill>
          <bgColor theme="6"/>
        </patternFill>
      </fill>
    </dxf>
    <dxf>
      <border>
        <left style="thin">
          <color theme="2" tint="-0.24994659260841701"/>
        </left>
        <right style="thin">
          <color theme="2" tint="-0.24994659260841701"/>
        </right>
        <top style="thin">
          <color theme="2" tint="-0.24994659260841701"/>
        </top>
        <bottom style="thin">
          <color theme="2" tint="-0.24994659260841701"/>
        </bottom>
        <vertical style="thin">
          <color theme="2" tint="-0.24994659260841701"/>
        </vertical>
        <horizontal style="thin">
          <color theme="2" tint="-0.24994659260841701"/>
        </horizontal>
      </border>
    </dxf>
    <dxf>
      <font>
        <b/>
        <i val="0"/>
        <color theme="0"/>
      </font>
      <fill>
        <patternFill>
          <bgColor theme="5"/>
        </patternFill>
      </fill>
    </dxf>
    <dxf>
      <border>
        <left style="thin">
          <color theme="2" tint="-0.24994659260841701"/>
        </left>
        <right style="thin">
          <color theme="2" tint="-0.24994659260841701"/>
        </right>
        <top style="thin">
          <color theme="2" tint="-0.24994659260841701"/>
        </top>
        <bottom style="thin">
          <color theme="2" tint="-0.24994659260841701"/>
        </bottom>
        <vertical style="thin">
          <color theme="2" tint="-0.24994659260841701"/>
        </vertical>
        <horizontal style="thin">
          <color theme="2" tint="-0.24994659260841701"/>
        </horizontal>
      </border>
    </dxf>
  </dxfs>
  <tableStyles count="4" defaultTableStyle="TableStyleMedium2" defaultPivotStyle="PivotStyleLight16">
    <tableStyle name="Expenses Table Style " pivot="0" count="2" xr9:uid="{B0A92F6C-E1A6-E242-BA1E-CBC3CAE788AF}">
      <tableStyleElement type="wholeTable" dxfId="122"/>
      <tableStyleElement type="headerRow" dxfId="121"/>
    </tableStyle>
    <tableStyle name="Income Table Style" pivot="0" count="2" xr9:uid="{3A705EB5-799C-554C-922E-20BA286BA04F}">
      <tableStyleElement type="wholeTable" dxfId="120"/>
      <tableStyleElement type="headerRow" dxfId="119"/>
    </tableStyle>
    <tableStyle name="Savings Table Style " pivot="0" count="2" xr9:uid="{B90A352D-4098-704E-8AF7-8DCD791E3DF9}">
      <tableStyleElement type="wholeTable" dxfId="118"/>
      <tableStyleElement type="headerRow" dxfId="117"/>
    </tableStyle>
    <tableStyle name="Tracking Table Style" pivot="0" count="3" xr9:uid="{B297EFFB-54B1-5646-905B-A2F8BE117DA5}">
      <tableStyleElement type="wholeTable" dxfId="116"/>
      <tableStyleElement type="headerRow" dxfId="115"/>
      <tableStyleElement type="firstRowStripe" dxfId="114"/>
    </tableStyle>
  </tableStyles>
  <colors>
    <mruColors>
      <color rgb="FFDADADA"/>
      <color rgb="FFE6E6E6"/>
      <color rgb="FFF0F0F0"/>
      <color rgb="FFF8F8F8"/>
      <color rgb="FFFDFD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3"/>
              </a:solidFill>
              <a:ln w="19050">
                <a:solidFill>
                  <a:schemeClr val="lt1"/>
                </a:solidFill>
              </a:ln>
              <a:effectLst/>
            </c:spPr>
            <c:extLst>
              <c:ext xmlns:c16="http://schemas.microsoft.com/office/drawing/2014/chart" uri="{C3380CC4-5D6E-409C-BE32-E72D297353CC}">
                <c16:uniqueId val="{00000001-B6F4-294A-A53B-E1F23ECFA7C9}"/>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B6F4-294A-A53B-E1F23ECFA7C9}"/>
              </c:ext>
            </c:extLst>
          </c:dPt>
          <c:dPt>
            <c:idx val="2"/>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5-B6F4-294A-A53B-E1F23ECFA7C9}"/>
              </c:ext>
            </c:extLst>
          </c:dPt>
          <c:dPt>
            <c:idx val="3"/>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7-B6F4-294A-A53B-E1F23ECFA7C9}"/>
              </c:ext>
            </c:extLst>
          </c:dPt>
          <c:dPt>
            <c:idx val="4"/>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9-B6F4-294A-A53B-E1F23ECFA7C9}"/>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B-B6F4-294A-A53B-E1F23ECFA7C9}"/>
              </c:ext>
            </c:extLst>
          </c:dPt>
          <c:cat>
            <c:strRef>
              <c:f>Calculations!$E$35:$E$40</c:f>
              <c:strCache>
                <c:ptCount val="4"/>
                <c:pt idx="0">
                  <c:v>Employment</c:v>
                </c:pt>
                <c:pt idx="1">
                  <c:v>Side Hustle</c:v>
                </c:pt>
                <c:pt idx="2">
                  <c:v>Grant Payment</c:v>
                </c:pt>
                <c:pt idx="3">
                  <c:v>Extras / Twint Chargeback</c:v>
                </c:pt>
              </c:strCache>
            </c:strRef>
          </c:cat>
          <c:val>
            <c:numRef>
              <c:f>Calculations!$F$35:$F$40</c:f>
              <c:numCache>
                <c:formatCode>_ * #,##0_ ;_ * \-#,##0_ ;_ * "-"??_ ;_ @_ </c:formatCode>
                <c:ptCount val="6"/>
                <c:pt idx="0">
                  <c:v>36745.9</c:v>
                </c:pt>
                <c:pt idx="1">
                  <c:v>6013.2</c:v>
                </c:pt>
                <c:pt idx="2">
                  <c:v>4000</c:v>
                </c:pt>
                <c:pt idx="3">
                  <c:v>1160.25</c:v>
                </c:pt>
                <c:pt idx="4">
                  <c:v>0</c:v>
                </c:pt>
                <c:pt idx="5">
                  <c:v>0</c:v>
                </c:pt>
              </c:numCache>
            </c:numRef>
          </c:val>
          <c:extLst>
            <c:ext xmlns:c16="http://schemas.microsoft.com/office/drawing/2014/chart" uri="{C3380CC4-5D6E-409C-BE32-E72D297353CC}">
              <c16:uniqueId val="{0000000C-B6F4-294A-A53B-E1F23ECFA7C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CH"/>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957F-5A49-B9A7-BD634F408C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7F-5A49-B9A7-BD634F408C5D}"/>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957F-5A49-B9A7-BD634F408C5D}"/>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7-957F-5A49-B9A7-BD634F408C5D}"/>
              </c:ext>
            </c:extLst>
          </c:dPt>
          <c:dPt>
            <c:idx val="4"/>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9-957F-5A49-B9A7-BD634F408C5D}"/>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B-957F-5A49-B9A7-BD634F408C5D}"/>
              </c:ext>
            </c:extLst>
          </c:dPt>
          <c:cat>
            <c:strRef>
              <c:f>Calculations!$I$35:$I$40</c:f>
              <c:strCache>
                <c:ptCount val="6"/>
                <c:pt idx="0">
                  <c:v>Housing</c:v>
                </c:pt>
                <c:pt idx="1">
                  <c:v>Restaurants</c:v>
                </c:pt>
                <c:pt idx="2">
                  <c:v>Debt</c:v>
                </c:pt>
                <c:pt idx="3">
                  <c:v>Travel</c:v>
                </c:pt>
                <c:pt idx="4">
                  <c:v>Health Insurance</c:v>
                </c:pt>
                <c:pt idx="5">
                  <c:v>Other</c:v>
                </c:pt>
              </c:strCache>
            </c:strRef>
          </c:cat>
          <c:val>
            <c:numRef>
              <c:f>Calculations!$J$35:$J$40</c:f>
              <c:numCache>
                <c:formatCode>_ * #,##0_ ;_ * \-#,##0_ ;_ * "-"??_ ;_ @_ </c:formatCode>
                <c:ptCount val="6"/>
                <c:pt idx="0">
                  <c:v>9148</c:v>
                </c:pt>
                <c:pt idx="1">
                  <c:v>3150.130000000001</c:v>
                </c:pt>
                <c:pt idx="2">
                  <c:v>2756.8500000000004</c:v>
                </c:pt>
                <c:pt idx="3">
                  <c:v>2751.55</c:v>
                </c:pt>
                <c:pt idx="4">
                  <c:v>2506.75</c:v>
                </c:pt>
                <c:pt idx="5">
                  <c:v>7862.8200000000506</c:v>
                </c:pt>
              </c:numCache>
            </c:numRef>
          </c:val>
          <c:extLst>
            <c:ext xmlns:c16="http://schemas.microsoft.com/office/drawing/2014/chart" uri="{C3380CC4-5D6E-409C-BE32-E72D297353CC}">
              <c16:uniqueId val="{0000000C-957F-5A49-B9A7-BD634F408C5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CH"/>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F2C4-074C-A4D0-877053D7647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F2C4-074C-A4D0-877053D7647F}"/>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F2C4-074C-A4D0-877053D7647F}"/>
              </c:ext>
            </c:extLst>
          </c:dPt>
          <c:dPt>
            <c:idx val="3"/>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F2C4-074C-A4D0-877053D7647F}"/>
              </c:ext>
            </c:extLst>
          </c:dPt>
          <c:dPt>
            <c:idx val="4"/>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F2C4-074C-A4D0-877053D7647F}"/>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B-F2C4-074C-A4D0-877053D7647F}"/>
              </c:ext>
            </c:extLst>
          </c:dPt>
          <c:cat>
            <c:strRef>
              <c:f>Calculations!$M$35:$M$40</c:f>
              <c:strCache>
                <c:ptCount val="6"/>
                <c:pt idx="0">
                  <c:v>Rent Guarantee</c:v>
                </c:pt>
                <c:pt idx="5">
                  <c:v>#N/A</c:v>
                </c:pt>
              </c:strCache>
            </c:strRef>
          </c:cat>
          <c:val>
            <c:numRef>
              <c:f>Calculations!$N$35:$N$40</c:f>
              <c:numCache>
                <c:formatCode>_ * #,##0_ ;_ * \-#,##0_ ;_ * "-"??_ ;_ @_ </c:formatCode>
                <c:ptCount val="6"/>
                <c:pt idx="0">
                  <c:v>6240</c:v>
                </c:pt>
                <c:pt idx="1">
                  <c:v>0</c:v>
                </c:pt>
                <c:pt idx="2">
                  <c:v>0</c:v>
                </c:pt>
                <c:pt idx="3">
                  <c:v>0</c:v>
                </c:pt>
                <c:pt idx="4">
                  <c:v>0</c:v>
                </c:pt>
                <c:pt idx="5">
                  <c:v>#N/A</c:v>
                </c:pt>
              </c:numCache>
            </c:numRef>
          </c:val>
          <c:extLst>
            <c:ext xmlns:c16="http://schemas.microsoft.com/office/drawing/2014/chart" uri="{C3380CC4-5D6E-409C-BE32-E72D297353CC}">
              <c16:uniqueId val="{0000000C-F2C4-074C-A4D0-877053D7647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CH"/>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29813632980888"/>
          <c:y val="4.7030139283275492E-2"/>
          <c:w val="0.85321359366443406"/>
          <c:h val="0.8395413117187257"/>
        </c:manualLayout>
      </c:layout>
      <c:barChart>
        <c:barDir val="col"/>
        <c:grouping val="stacked"/>
        <c:varyColors val="0"/>
        <c:ser>
          <c:idx val="0"/>
          <c:order val="0"/>
          <c:spPr>
            <a:solidFill>
              <a:schemeClr val="accent3"/>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0557-554B-B090-39E6453668E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0557-554B-B090-39E6453668E4}"/>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0557-554B-B090-39E6453668E4}"/>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0557-554B-B090-39E6453668E4}"/>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9-0557-554B-B090-39E6453668E4}"/>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B-0557-554B-B090-39E6453668E4}"/>
              </c:ext>
            </c:extLst>
          </c:dPt>
          <c:dPt>
            <c:idx val="13"/>
            <c:invertIfNegative val="0"/>
            <c:bubble3D val="0"/>
            <c:spPr>
              <a:solidFill>
                <a:schemeClr val="accent2"/>
              </a:solidFill>
              <a:ln>
                <a:noFill/>
              </a:ln>
              <a:effectLst/>
            </c:spPr>
            <c:extLst>
              <c:ext xmlns:c16="http://schemas.microsoft.com/office/drawing/2014/chart" uri="{C3380CC4-5D6E-409C-BE32-E72D297353CC}">
                <c16:uniqueId val="{0000000D-0557-554B-B090-39E6453668E4}"/>
              </c:ext>
            </c:extLst>
          </c:dPt>
          <c:dPt>
            <c:idx val="14"/>
            <c:invertIfNegative val="0"/>
            <c:bubble3D val="0"/>
            <c:spPr>
              <a:solidFill>
                <a:schemeClr val="accent1"/>
              </a:solidFill>
              <a:ln>
                <a:noFill/>
              </a:ln>
              <a:effectLst/>
            </c:spPr>
            <c:extLst>
              <c:ext xmlns:c16="http://schemas.microsoft.com/office/drawing/2014/chart" uri="{C3380CC4-5D6E-409C-BE32-E72D297353CC}">
                <c16:uniqueId val="{0000000F-0557-554B-B090-39E6453668E4}"/>
              </c:ext>
            </c:extLst>
          </c:dPt>
          <c:dPt>
            <c:idx val="17"/>
            <c:invertIfNegative val="0"/>
            <c:bubble3D val="0"/>
            <c:spPr>
              <a:solidFill>
                <a:schemeClr val="accent2"/>
              </a:solidFill>
              <a:ln>
                <a:noFill/>
              </a:ln>
              <a:effectLst/>
            </c:spPr>
            <c:extLst>
              <c:ext xmlns:c16="http://schemas.microsoft.com/office/drawing/2014/chart" uri="{C3380CC4-5D6E-409C-BE32-E72D297353CC}">
                <c16:uniqueId val="{00000011-0557-554B-B090-39E6453668E4}"/>
              </c:ext>
            </c:extLst>
          </c:dPt>
          <c:dPt>
            <c:idx val="18"/>
            <c:invertIfNegative val="0"/>
            <c:bubble3D val="0"/>
            <c:spPr>
              <a:solidFill>
                <a:schemeClr val="accent1"/>
              </a:solidFill>
              <a:ln>
                <a:noFill/>
              </a:ln>
              <a:effectLst/>
            </c:spPr>
            <c:extLst>
              <c:ext xmlns:c16="http://schemas.microsoft.com/office/drawing/2014/chart" uri="{C3380CC4-5D6E-409C-BE32-E72D297353CC}">
                <c16:uniqueId val="{00000013-0557-554B-B090-39E6453668E4}"/>
              </c:ext>
            </c:extLst>
          </c:dPt>
          <c:dPt>
            <c:idx val="21"/>
            <c:invertIfNegative val="0"/>
            <c:bubble3D val="0"/>
            <c:spPr>
              <a:solidFill>
                <a:schemeClr val="accent2"/>
              </a:solidFill>
              <a:ln>
                <a:noFill/>
              </a:ln>
              <a:effectLst/>
            </c:spPr>
            <c:extLst>
              <c:ext xmlns:c16="http://schemas.microsoft.com/office/drawing/2014/chart" uri="{C3380CC4-5D6E-409C-BE32-E72D297353CC}">
                <c16:uniqueId val="{00000015-0557-554B-B090-39E6453668E4}"/>
              </c:ext>
            </c:extLst>
          </c:dPt>
          <c:dPt>
            <c:idx val="22"/>
            <c:invertIfNegative val="0"/>
            <c:bubble3D val="0"/>
            <c:spPr>
              <a:solidFill>
                <a:schemeClr val="accent1"/>
              </a:solidFill>
              <a:ln>
                <a:noFill/>
              </a:ln>
              <a:effectLst/>
            </c:spPr>
            <c:extLst>
              <c:ext xmlns:c16="http://schemas.microsoft.com/office/drawing/2014/chart" uri="{C3380CC4-5D6E-409C-BE32-E72D297353CC}">
                <c16:uniqueId val="{00000017-0557-554B-B090-39E6453668E4}"/>
              </c:ext>
            </c:extLst>
          </c:dPt>
          <c:dPt>
            <c:idx val="25"/>
            <c:invertIfNegative val="0"/>
            <c:bubble3D val="0"/>
            <c:spPr>
              <a:solidFill>
                <a:schemeClr val="accent2"/>
              </a:solidFill>
              <a:ln>
                <a:noFill/>
              </a:ln>
              <a:effectLst/>
            </c:spPr>
            <c:extLst>
              <c:ext xmlns:c16="http://schemas.microsoft.com/office/drawing/2014/chart" uri="{C3380CC4-5D6E-409C-BE32-E72D297353CC}">
                <c16:uniqueId val="{00000019-0557-554B-B090-39E6453668E4}"/>
              </c:ext>
            </c:extLst>
          </c:dPt>
          <c:dPt>
            <c:idx val="26"/>
            <c:invertIfNegative val="0"/>
            <c:bubble3D val="0"/>
            <c:spPr>
              <a:solidFill>
                <a:schemeClr val="accent1"/>
              </a:solidFill>
              <a:ln>
                <a:noFill/>
              </a:ln>
              <a:effectLst/>
            </c:spPr>
            <c:extLst>
              <c:ext xmlns:c16="http://schemas.microsoft.com/office/drawing/2014/chart" uri="{C3380CC4-5D6E-409C-BE32-E72D297353CC}">
                <c16:uniqueId val="{0000001B-0557-554B-B090-39E6453668E4}"/>
              </c:ext>
            </c:extLst>
          </c:dPt>
          <c:dPt>
            <c:idx val="29"/>
            <c:invertIfNegative val="0"/>
            <c:bubble3D val="0"/>
            <c:spPr>
              <a:solidFill>
                <a:schemeClr val="accent2"/>
              </a:solidFill>
              <a:ln>
                <a:noFill/>
              </a:ln>
              <a:effectLst/>
            </c:spPr>
            <c:extLst>
              <c:ext xmlns:c16="http://schemas.microsoft.com/office/drawing/2014/chart" uri="{C3380CC4-5D6E-409C-BE32-E72D297353CC}">
                <c16:uniqueId val="{0000001D-0557-554B-B090-39E6453668E4}"/>
              </c:ext>
            </c:extLst>
          </c:dPt>
          <c:dPt>
            <c:idx val="30"/>
            <c:invertIfNegative val="0"/>
            <c:bubble3D val="0"/>
            <c:spPr>
              <a:solidFill>
                <a:schemeClr val="accent1"/>
              </a:solidFill>
              <a:ln>
                <a:noFill/>
              </a:ln>
              <a:effectLst/>
            </c:spPr>
            <c:extLst>
              <c:ext xmlns:c16="http://schemas.microsoft.com/office/drawing/2014/chart" uri="{C3380CC4-5D6E-409C-BE32-E72D297353CC}">
                <c16:uniqueId val="{0000001F-0557-554B-B090-39E6453668E4}"/>
              </c:ext>
            </c:extLst>
          </c:dPt>
          <c:dPt>
            <c:idx val="33"/>
            <c:invertIfNegative val="0"/>
            <c:bubble3D val="0"/>
            <c:spPr>
              <a:solidFill>
                <a:schemeClr val="accent2"/>
              </a:solidFill>
              <a:ln>
                <a:noFill/>
              </a:ln>
              <a:effectLst/>
            </c:spPr>
            <c:extLst>
              <c:ext xmlns:c16="http://schemas.microsoft.com/office/drawing/2014/chart" uri="{C3380CC4-5D6E-409C-BE32-E72D297353CC}">
                <c16:uniqueId val="{00000021-0557-554B-B090-39E6453668E4}"/>
              </c:ext>
            </c:extLst>
          </c:dPt>
          <c:dPt>
            <c:idx val="34"/>
            <c:invertIfNegative val="0"/>
            <c:bubble3D val="0"/>
            <c:spPr>
              <a:solidFill>
                <a:schemeClr val="accent1"/>
              </a:solidFill>
              <a:ln>
                <a:noFill/>
              </a:ln>
              <a:effectLst/>
            </c:spPr>
            <c:extLst>
              <c:ext xmlns:c16="http://schemas.microsoft.com/office/drawing/2014/chart" uri="{C3380CC4-5D6E-409C-BE32-E72D297353CC}">
                <c16:uniqueId val="{00000023-0557-554B-B090-39E6453668E4}"/>
              </c:ext>
            </c:extLst>
          </c:dPt>
          <c:dPt>
            <c:idx val="37"/>
            <c:invertIfNegative val="0"/>
            <c:bubble3D val="0"/>
            <c:spPr>
              <a:solidFill>
                <a:schemeClr val="accent2"/>
              </a:solidFill>
              <a:ln>
                <a:noFill/>
              </a:ln>
              <a:effectLst/>
            </c:spPr>
            <c:extLst>
              <c:ext xmlns:c16="http://schemas.microsoft.com/office/drawing/2014/chart" uri="{C3380CC4-5D6E-409C-BE32-E72D297353CC}">
                <c16:uniqueId val="{00000025-0557-554B-B090-39E6453668E4}"/>
              </c:ext>
            </c:extLst>
          </c:dPt>
          <c:dPt>
            <c:idx val="38"/>
            <c:invertIfNegative val="0"/>
            <c:bubble3D val="0"/>
            <c:spPr>
              <a:solidFill>
                <a:schemeClr val="accent1"/>
              </a:solidFill>
              <a:ln>
                <a:noFill/>
              </a:ln>
              <a:effectLst/>
            </c:spPr>
            <c:extLst>
              <c:ext xmlns:c16="http://schemas.microsoft.com/office/drawing/2014/chart" uri="{C3380CC4-5D6E-409C-BE32-E72D297353CC}">
                <c16:uniqueId val="{00000027-0557-554B-B090-39E6453668E4}"/>
              </c:ext>
            </c:extLst>
          </c:dPt>
          <c:dPt>
            <c:idx val="41"/>
            <c:invertIfNegative val="0"/>
            <c:bubble3D val="0"/>
            <c:spPr>
              <a:solidFill>
                <a:schemeClr val="accent2"/>
              </a:solidFill>
              <a:ln>
                <a:noFill/>
              </a:ln>
              <a:effectLst/>
            </c:spPr>
            <c:extLst>
              <c:ext xmlns:c16="http://schemas.microsoft.com/office/drawing/2014/chart" uri="{C3380CC4-5D6E-409C-BE32-E72D297353CC}">
                <c16:uniqueId val="{00000029-0557-554B-B090-39E6453668E4}"/>
              </c:ext>
            </c:extLst>
          </c:dPt>
          <c:dPt>
            <c:idx val="42"/>
            <c:invertIfNegative val="0"/>
            <c:bubble3D val="0"/>
            <c:spPr>
              <a:solidFill>
                <a:schemeClr val="accent1"/>
              </a:solidFill>
              <a:ln>
                <a:noFill/>
              </a:ln>
              <a:effectLst/>
            </c:spPr>
            <c:extLst>
              <c:ext xmlns:c16="http://schemas.microsoft.com/office/drawing/2014/chart" uri="{C3380CC4-5D6E-409C-BE32-E72D297353CC}">
                <c16:uniqueId val="{0000002B-0557-554B-B090-39E6453668E4}"/>
              </c:ext>
            </c:extLst>
          </c:dPt>
          <c:dPt>
            <c:idx val="45"/>
            <c:invertIfNegative val="0"/>
            <c:bubble3D val="0"/>
            <c:spPr>
              <a:solidFill>
                <a:schemeClr val="accent2"/>
              </a:solidFill>
              <a:ln>
                <a:noFill/>
              </a:ln>
              <a:effectLst/>
            </c:spPr>
            <c:extLst>
              <c:ext xmlns:c16="http://schemas.microsoft.com/office/drawing/2014/chart" uri="{C3380CC4-5D6E-409C-BE32-E72D297353CC}">
                <c16:uniqueId val="{0000002D-0557-554B-B090-39E6453668E4}"/>
              </c:ext>
            </c:extLst>
          </c:dPt>
          <c:dPt>
            <c:idx val="46"/>
            <c:invertIfNegative val="0"/>
            <c:bubble3D val="0"/>
            <c:spPr>
              <a:solidFill>
                <a:schemeClr val="accent1"/>
              </a:solidFill>
              <a:ln>
                <a:noFill/>
              </a:ln>
              <a:effectLst/>
            </c:spPr>
            <c:extLst>
              <c:ext xmlns:c16="http://schemas.microsoft.com/office/drawing/2014/chart" uri="{C3380CC4-5D6E-409C-BE32-E72D297353CC}">
                <c16:uniqueId val="{0000002F-0557-554B-B090-39E6453668E4}"/>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Calculations!$M$55:$M$102</c:f>
              <c:numCache>
                <c:formatCode>_ * #,##0_ ;_ * \-#,##0_ ;_ * "-"??_ ;_ @_ </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8095.95</c:v>
                </c:pt>
                <c:pt idx="29">
                  <c:v>5038.8599999999997</c:v>
                </c:pt>
                <c:pt idx="30">
                  <c:v>0</c:v>
                </c:pt>
                <c:pt idx="32">
                  <c:v>9942.75</c:v>
                </c:pt>
                <c:pt idx="33">
                  <c:v>4850.0599999999986</c:v>
                </c:pt>
                <c:pt idx="34">
                  <c:v>0</c:v>
                </c:pt>
                <c:pt idx="36">
                  <c:v>8276.0500000000011</c:v>
                </c:pt>
                <c:pt idx="37">
                  <c:v>5715.6999999999962</c:v>
                </c:pt>
                <c:pt idx="38">
                  <c:v>0</c:v>
                </c:pt>
                <c:pt idx="40">
                  <c:v>12529.35</c:v>
                </c:pt>
                <c:pt idx="41">
                  <c:v>5313.35</c:v>
                </c:pt>
                <c:pt idx="42">
                  <c:v>0</c:v>
                </c:pt>
                <c:pt idx="44">
                  <c:v>8735.85</c:v>
                </c:pt>
                <c:pt idx="45">
                  <c:v>6411.35</c:v>
                </c:pt>
                <c:pt idx="46">
                  <c:v>0</c:v>
                </c:pt>
              </c:numCache>
            </c:numRef>
          </c:val>
          <c:extLst>
            <c:ext xmlns:c16="http://schemas.microsoft.com/office/drawing/2014/chart" uri="{C3380CC4-5D6E-409C-BE32-E72D297353CC}">
              <c16:uniqueId val="{00000030-0557-554B-B090-39E6453668E4}"/>
            </c:ext>
          </c:extLst>
        </c:ser>
        <c:ser>
          <c:idx val="1"/>
          <c:order val="1"/>
          <c:spPr>
            <a:solidFill>
              <a:schemeClr val="accent3">
                <a:lumMod val="20000"/>
                <a:lumOff val="80000"/>
              </a:schemeClr>
            </a:solidFill>
            <a:ln>
              <a:noFill/>
            </a:ln>
            <a:effectLst/>
          </c:spPr>
          <c:invertIfNegative val="0"/>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32-0557-554B-B090-39E6453668E4}"/>
              </c:ext>
            </c:extLst>
          </c:dPt>
          <c:dPt>
            <c:idx val="2"/>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34-0557-554B-B090-39E6453668E4}"/>
              </c:ext>
            </c:extLst>
          </c:dPt>
          <c:dPt>
            <c:idx val="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36-0557-554B-B090-39E6453668E4}"/>
              </c:ext>
            </c:extLst>
          </c:dPt>
          <c:dPt>
            <c:idx val="6"/>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38-0557-554B-B090-39E6453668E4}"/>
              </c:ext>
            </c:extLst>
          </c:dPt>
          <c:dPt>
            <c:idx val="9"/>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3A-0557-554B-B090-39E6453668E4}"/>
              </c:ext>
            </c:extLst>
          </c:dPt>
          <c:dPt>
            <c:idx val="1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3C-0557-554B-B090-39E6453668E4}"/>
              </c:ext>
            </c:extLst>
          </c:dPt>
          <c:dPt>
            <c:idx val="1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3E-0557-554B-B090-39E6453668E4}"/>
              </c:ext>
            </c:extLst>
          </c:dPt>
          <c:dPt>
            <c:idx val="1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40-0557-554B-B090-39E6453668E4}"/>
              </c:ext>
            </c:extLst>
          </c:dPt>
          <c:dPt>
            <c:idx val="17"/>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42-0557-554B-B090-39E6453668E4}"/>
              </c:ext>
            </c:extLst>
          </c:dPt>
          <c:dPt>
            <c:idx val="1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44-0557-554B-B090-39E6453668E4}"/>
              </c:ext>
            </c:extLst>
          </c:dPt>
          <c:dPt>
            <c:idx val="2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46-0557-554B-B090-39E6453668E4}"/>
              </c:ext>
            </c:extLst>
          </c:dPt>
          <c:dPt>
            <c:idx val="22"/>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48-0557-554B-B090-39E6453668E4}"/>
              </c:ext>
            </c:extLst>
          </c:dPt>
          <c:dPt>
            <c:idx val="2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4A-0557-554B-B090-39E6453668E4}"/>
              </c:ext>
            </c:extLst>
          </c:dPt>
          <c:dPt>
            <c:idx val="26"/>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4C-0557-554B-B090-39E6453668E4}"/>
              </c:ext>
            </c:extLst>
          </c:dPt>
          <c:dPt>
            <c:idx val="29"/>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4E-0557-554B-B090-39E6453668E4}"/>
              </c:ext>
            </c:extLst>
          </c:dPt>
          <c:dPt>
            <c:idx val="3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50-0557-554B-B090-39E6453668E4}"/>
              </c:ext>
            </c:extLst>
          </c:dPt>
          <c:dPt>
            <c:idx val="3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52-0557-554B-B090-39E6453668E4}"/>
              </c:ext>
            </c:extLst>
          </c:dPt>
          <c:dPt>
            <c:idx val="3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54-0557-554B-B090-39E6453668E4}"/>
              </c:ext>
            </c:extLst>
          </c:dPt>
          <c:dPt>
            <c:idx val="37"/>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56-0557-554B-B090-39E6453668E4}"/>
              </c:ext>
            </c:extLst>
          </c:dPt>
          <c:dPt>
            <c:idx val="3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58-0557-554B-B090-39E6453668E4}"/>
              </c:ext>
            </c:extLst>
          </c:dPt>
          <c:dPt>
            <c:idx val="4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5A-0557-554B-B090-39E6453668E4}"/>
              </c:ext>
            </c:extLst>
          </c:dPt>
          <c:dPt>
            <c:idx val="42"/>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5C-0557-554B-B090-39E6453668E4}"/>
              </c:ext>
            </c:extLst>
          </c:dPt>
          <c:dPt>
            <c:idx val="4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5E-0557-554B-B090-39E6453668E4}"/>
              </c:ext>
            </c:extLst>
          </c:dPt>
          <c:dPt>
            <c:idx val="46"/>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60-0557-554B-B090-39E6453668E4}"/>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Calculations!$N$55:$N$102</c:f>
              <c:numCache>
                <c:formatCode>_ * #,##0_ ;_ * \-#,##0_ ;_ * "-"??_ ;_ @_ </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2274.4900000000007</c:v>
                </c:pt>
                <c:pt idx="30">
                  <c:v>0</c:v>
                </c:pt>
                <c:pt idx="32">
                  <c:v>0</c:v>
                </c:pt>
                <c:pt idx="33">
                  <c:v>1018.2900000000018</c:v>
                </c:pt>
                <c:pt idx="34">
                  <c:v>0</c:v>
                </c:pt>
                <c:pt idx="36">
                  <c:v>0</c:v>
                </c:pt>
                <c:pt idx="37">
                  <c:v>1042.6500000000042</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61-0557-554B-B090-39E6453668E4}"/>
            </c:ext>
          </c:extLst>
        </c:ser>
        <c:ser>
          <c:idx val="2"/>
          <c:order val="2"/>
          <c:spPr>
            <a:solidFill>
              <a:schemeClr val="accent3">
                <a:lumMod val="75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63-0557-554B-B090-39E6453668E4}"/>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65-0557-554B-B090-39E6453668E4}"/>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67-0557-554B-B090-39E6453668E4}"/>
              </c:ext>
            </c:extLst>
          </c:dPt>
          <c:dPt>
            <c:idx val="6"/>
            <c:invertIfNegative val="0"/>
            <c:bubble3D val="0"/>
            <c:spPr>
              <a:solidFill>
                <a:schemeClr val="accent1">
                  <a:lumMod val="75000"/>
                </a:schemeClr>
              </a:solidFill>
              <a:ln>
                <a:noFill/>
              </a:ln>
              <a:effectLst/>
            </c:spPr>
            <c:extLst>
              <c:ext xmlns:c16="http://schemas.microsoft.com/office/drawing/2014/chart" uri="{C3380CC4-5D6E-409C-BE32-E72D297353CC}">
                <c16:uniqueId val="{00000069-0557-554B-B090-39E6453668E4}"/>
              </c:ext>
            </c:extLst>
          </c:dPt>
          <c:dPt>
            <c:idx val="9"/>
            <c:invertIfNegative val="0"/>
            <c:bubble3D val="0"/>
            <c:spPr>
              <a:solidFill>
                <a:schemeClr val="accent2">
                  <a:lumMod val="75000"/>
                </a:schemeClr>
              </a:solidFill>
              <a:ln>
                <a:noFill/>
              </a:ln>
              <a:effectLst/>
            </c:spPr>
            <c:extLst>
              <c:ext xmlns:c16="http://schemas.microsoft.com/office/drawing/2014/chart" uri="{C3380CC4-5D6E-409C-BE32-E72D297353CC}">
                <c16:uniqueId val="{0000006B-0557-554B-B090-39E6453668E4}"/>
              </c:ext>
            </c:extLst>
          </c:dPt>
          <c:dPt>
            <c:idx val="10"/>
            <c:invertIfNegative val="0"/>
            <c:bubble3D val="0"/>
            <c:spPr>
              <a:solidFill>
                <a:schemeClr val="accent1">
                  <a:lumMod val="75000"/>
                </a:schemeClr>
              </a:solidFill>
              <a:ln>
                <a:noFill/>
              </a:ln>
              <a:effectLst/>
            </c:spPr>
            <c:extLst>
              <c:ext xmlns:c16="http://schemas.microsoft.com/office/drawing/2014/chart" uri="{C3380CC4-5D6E-409C-BE32-E72D297353CC}">
                <c16:uniqueId val="{0000006D-0557-554B-B090-39E6453668E4}"/>
              </c:ext>
            </c:extLst>
          </c:dPt>
          <c:dPt>
            <c:idx val="13"/>
            <c:invertIfNegative val="0"/>
            <c:bubble3D val="0"/>
            <c:spPr>
              <a:solidFill>
                <a:schemeClr val="accent2">
                  <a:lumMod val="75000"/>
                </a:schemeClr>
              </a:solidFill>
              <a:ln>
                <a:noFill/>
              </a:ln>
              <a:effectLst/>
            </c:spPr>
            <c:extLst>
              <c:ext xmlns:c16="http://schemas.microsoft.com/office/drawing/2014/chart" uri="{C3380CC4-5D6E-409C-BE32-E72D297353CC}">
                <c16:uniqueId val="{0000006F-0557-554B-B090-39E6453668E4}"/>
              </c:ext>
            </c:extLst>
          </c:dPt>
          <c:dPt>
            <c:idx val="14"/>
            <c:invertIfNegative val="0"/>
            <c:bubble3D val="0"/>
            <c:spPr>
              <a:solidFill>
                <a:schemeClr val="accent1">
                  <a:lumMod val="75000"/>
                </a:schemeClr>
              </a:solidFill>
              <a:ln>
                <a:noFill/>
              </a:ln>
              <a:effectLst/>
            </c:spPr>
            <c:extLst>
              <c:ext xmlns:c16="http://schemas.microsoft.com/office/drawing/2014/chart" uri="{C3380CC4-5D6E-409C-BE32-E72D297353CC}">
                <c16:uniqueId val="{00000071-0557-554B-B090-39E6453668E4}"/>
              </c:ext>
            </c:extLst>
          </c:dPt>
          <c:dPt>
            <c:idx val="17"/>
            <c:invertIfNegative val="0"/>
            <c:bubble3D val="0"/>
            <c:spPr>
              <a:solidFill>
                <a:schemeClr val="accent2">
                  <a:lumMod val="75000"/>
                </a:schemeClr>
              </a:solidFill>
              <a:ln>
                <a:noFill/>
              </a:ln>
              <a:effectLst/>
            </c:spPr>
            <c:extLst>
              <c:ext xmlns:c16="http://schemas.microsoft.com/office/drawing/2014/chart" uri="{C3380CC4-5D6E-409C-BE32-E72D297353CC}">
                <c16:uniqueId val="{00000073-0557-554B-B090-39E6453668E4}"/>
              </c:ext>
            </c:extLst>
          </c:dPt>
          <c:dPt>
            <c:idx val="18"/>
            <c:invertIfNegative val="0"/>
            <c:bubble3D val="0"/>
            <c:spPr>
              <a:solidFill>
                <a:schemeClr val="accent1">
                  <a:lumMod val="75000"/>
                </a:schemeClr>
              </a:solidFill>
              <a:ln>
                <a:noFill/>
              </a:ln>
              <a:effectLst/>
            </c:spPr>
            <c:extLst>
              <c:ext xmlns:c16="http://schemas.microsoft.com/office/drawing/2014/chart" uri="{C3380CC4-5D6E-409C-BE32-E72D297353CC}">
                <c16:uniqueId val="{00000075-0557-554B-B090-39E6453668E4}"/>
              </c:ext>
            </c:extLst>
          </c:dPt>
          <c:dPt>
            <c:idx val="21"/>
            <c:invertIfNegative val="0"/>
            <c:bubble3D val="0"/>
            <c:spPr>
              <a:solidFill>
                <a:schemeClr val="accent2">
                  <a:lumMod val="75000"/>
                </a:schemeClr>
              </a:solidFill>
              <a:ln>
                <a:noFill/>
              </a:ln>
              <a:effectLst/>
            </c:spPr>
            <c:extLst>
              <c:ext xmlns:c16="http://schemas.microsoft.com/office/drawing/2014/chart" uri="{C3380CC4-5D6E-409C-BE32-E72D297353CC}">
                <c16:uniqueId val="{00000077-0557-554B-B090-39E6453668E4}"/>
              </c:ext>
            </c:extLst>
          </c:dPt>
          <c:dPt>
            <c:idx val="22"/>
            <c:invertIfNegative val="0"/>
            <c:bubble3D val="0"/>
            <c:spPr>
              <a:solidFill>
                <a:schemeClr val="accent1">
                  <a:lumMod val="75000"/>
                </a:schemeClr>
              </a:solidFill>
              <a:ln>
                <a:noFill/>
              </a:ln>
              <a:effectLst/>
            </c:spPr>
            <c:extLst>
              <c:ext xmlns:c16="http://schemas.microsoft.com/office/drawing/2014/chart" uri="{C3380CC4-5D6E-409C-BE32-E72D297353CC}">
                <c16:uniqueId val="{00000079-0557-554B-B090-39E6453668E4}"/>
              </c:ext>
            </c:extLst>
          </c:dPt>
          <c:dPt>
            <c:idx val="25"/>
            <c:invertIfNegative val="0"/>
            <c:bubble3D val="0"/>
            <c:spPr>
              <a:solidFill>
                <a:schemeClr val="accent2">
                  <a:lumMod val="75000"/>
                </a:schemeClr>
              </a:solidFill>
              <a:ln>
                <a:noFill/>
              </a:ln>
              <a:effectLst/>
            </c:spPr>
            <c:extLst>
              <c:ext xmlns:c16="http://schemas.microsoft.com/office/drawing/2014/chart" uri="{C3380CC4-5D6E-409C-BE32-E72D297353CC}">
                <c16:uniqueId val="{0000007B-0557-554B-B090-39E6453668E4}"/>
              </c:ext>
            </c:extLst>
          </c:dPt>
          <c:dPt>
            <c:idx val="26"/>
            <c:invertIfNegative val="0"/>
            <c:bubble3D val="0"/>
            <c:spPr>
              <a:solidFill>
                <a:schemeClr val="accent1">
                  <a:lumMod val="75000"/>
                </a:schemeClr>
              </a:solidFill>
              <a:ln>
                <a:noFill/>
              </a:ln>
              <a:effectLst/>
            </c:spPr>
            <c:extLst>
              <c:ext xmlns:c16="http://schemas.microsoft.com/office/drawing/2014/chart" uri="{C3380CC4-5D6E-409C-BE32-E72D297353CC}">
                <c16:uniqueId val="{0000007D-0557-554B-B090-39E6453668E4}"/>
              </c:ext>
            </c:extLst>
          </c:dPt>
          <c:dPt>
            <c:idx val="29"/>
            <c:invertIfNegative val="0"/>
            <c:bubble3D val="0"/>
            <c:spPr>
              <a:solidFill>
                <a:schemeClr val="accent2">
                  <a:lumMod val="75000"/>
                </a:schemeClr>
              </a:solidFill>
              <a:ln>
                <a:noFill/>
              </a:ln>
              <a:effectLst/>
            </c:spPr>
            <c:extLst>
              <c:ext xmlns:c16="http://schemas.microsoft.com/office/drawing/2014/chart" uri="{C3380CC4-5D6E-409C-BE32-E72D297353CC}">
                <c16:uniqueId val="{0000007F-0557-554B-B090-39E6453668E4}"/>
              </c:ext>
            </c:extLst>
          </c:dPt>
          <c:dPt>
            <c:idx val="30"/>
            <c:invertIfNegative val="0"/>
            <c:bubble3D val="0"/>
            <c:spPr>
              <a:solidFill>
                <a:schemeClr val="accent1">
                  <a:lumMod val="75000"/>
                </a:schemeClr>
              </a:solidFill>
              <a:ln>
                <a:noFill/>
              </a:ln>
              <a:effectLst/>
            </c:spPr>
            <c:extLst>
              <c:ext xmlns:c16="http://schemas.microsoft.com/office/drawing/2014/chart" uri="{C3380CC4-5D6E-409C-BE32-E72D297353CC}">
                <c16:uniqueId val="{00000081-0557-554B-B090-39E6453668E4}"/>
              </c:ext>
            </c:extLst>
          </c:dPt>
          <c:dPt>
            <c:idx val="33"/>
            <c:invertIfNegative val="0"/>
            <c:bubble3D val="0"/>
            <c:spPr>
              <a:solidFill>
                <a:schemeClr val="accent2">
                  <a:lumMod val="75000"/>
                </a:schemeClr>
              </a:solidFill>
              <a:ln>
                <a:noFill/>
              </a:ln>
              <a:effectLst/>
            </c:spPr>
            <c:extLst>
              <c:ext xmlns:c16="http://schemas.microsoft.com/office/drawing/2014/chart" uri="{C3380CC4-5D6E-409C-BE32-E72D297353CC}">
                <c16:uniqueId val="{00000083-0557-554B-B090-39E6453668E4}"/>
              </c:ext>
            </c:extLst>
          </c:dPt>
          <c:dPt>
            <c:idx val="34"/>
            <c:invertIfNegative val="0"/>
            <c:bubble3D val="0"/>
            <c:spPr>
              <a:solidFill>
                <a:schemeClr val="accent1">
                  <a:lumMod val="75000"/>
                </a:schemeClr>
              </a:solidFill>
              <a:ln>
                <a:noFill/>
              </a:ln>
              <a:effectLst/>
            </c:spPr>
            <c:extLst>
              <c:ext xmlns:c16="http://schemas.microsoft.com/office/drawing/2014/chart" uri="{C3380CC4-5D6E-409C-BE32-E72D297353CC}">
                <c16:uniqueId val="{00000085-0557-554B-B090-39E6453668E4}"/>
              </c:ext>
            </c:extLst>
          </c:dPt>
          <c:dPt>
            <c:idx val="37"/>
            <c:invertIfNegative val="0"/>
            <c:bubble3D val="0"/>
            <c:spPr>
              <a:solidFill>
                <a:schemeClr val="accent2">
                  <a:lumMod val="75000"/>
                </a:schemeClr>
              </a:solidFill>
              <a:ln>
                <a:noFill/>
              </a:ln>
              <a:effectLst/>
            </c:spPr>
            <c:extLst>
              <c:ext xmlns:c16="http://schemas.microsoft.com/office/drawing/2014/chart" uri="{C3380CC4-5D6E-409C-BE32-E72D297353CC}">
                <c16:uniqueId val="{00000087-0557-554B-B090-39E6453668E4}"/>
              </c:ext>
            </c:extLst>
          </c:dPt>
          <c:dPt>
            <c:idx val="38"/>
            <c:invertIfNegative val="0"/>
            <c:bubble3D val="0"/>
            <c:spPr>
              <a:solidFill>
                <a:schemeClr val="accent1">
                  <a:lumMod val="75000"/>
                </a:schemeClr>
              </a:solidFill>
              <a:ln>
                <a:noFill/>
              </a:ln>
              <a:effectLst/>
            </c:spPr>
            <c:extLst>
              <c:ext xmlns:c16="http://schemas.microsoft.com/office/drawing/2014/chart" uri="{C3380CC4-5D6E-409C-BE32-E72D297353CC}">
                <c16:uniqueId val="{00000089-0557-554B-B090-39E6453668E4}"/>
              </c:ext>
            </c:extLst>
          </c:dPt>
          <c:dPt>
            <c:idx val="41"/>
            <c:invertIfNegative val="0"/>
            <c:bubble3D val="0"/>
            <c:spPr>
              <a:solidFill>
                <a:schemeClr val="accent2">
                  <a:lumMod val="75000"/>
                </a:schemeClr>
              </a:solidFill>
              <a:ln>
                <a:noFill/>
              </a:ln>
              <a:effectLst/>
            </c:spPr>
            <c:extLst>
              <c:ext xmlns:c16="http://schemas.microsoft.com/office/drawing/2014/chart" uri="{C3380CC4-5D6E-409C-BE32-E72D297353CC}">
                <c16:uniqueId val="{0000008B-0557-554B-B090-39E6453668E4}"/>
              </c:ext>
            </c:extLst>
          </c:dPt>
          <c:dPt>
            <c:idx val="42"/>
            <c:invertIfNegative val="0"/>
            <c:bubble3D val="0"/>
            <c:spPr>
              <a:solidFill>
                <a:schemeClr val="accent1">
                  <a:lumMod val="75000"/>
                </a:schemeClr>
              </a:solidFill>
              <a:ln>
                <a:noFill/>
              </a:ln>
              <a:effectLst/>
            </c:spPr>
            <c:extLst>
              <c:ext xmlns:c16="http://schemas.microsoft.com/office/drawing/2014/chart" uri="{C3380CC4-5D6E-409C-BE32-E72D297353CC}">
                <c16:uniqueId val="{0000008D-0557-554B-B090-39E6453668E4}"/>
              </c:ext>
            </c:extLst>
          </c:dPt>
          <c:dPt>
            <c:idx val="45"/>
            <c:invertIfNegative val="0"/>
            <c:bubble3D val="0"/>
            <c:spPr>
              <a:solidFill>
                <a:schemeClr val="accent2">
                  <a:lumMod val="75000"/>
                </a:schemeClr>
              </a:solidFill>
              <a:ln>
                <a:noFill/>
              </a:ln>
              <a:effectLst/>
            </c:spPr>
            <c:extLst>
              <c:ext xmlns:c16="http://schemas.microsoft.com/office/drawing/2014/chart" uri="{C3380CC4-5D6E-409C-BE32-E72D297353CC}">
                <c16:uniqueId val="{0000008F-0557-554B-B090-39E6453668E4}"/>
              </c:ext>
            </c:extLst>
          </c:dPt>
          <c:dPt>
            <c:idx val="46"/>
            <c:invertIfNegative val="0"/>
            <c:bubble3D val="0"/>
            <c:spPr>
              <a:solidFill>
                <a:schemeClr val="accent1">
                  <a:lumMod val="75000"/>
                </a:schemeClr>
              </a:solidFill>
              <a:ln>
                <a:noFill/>
              </a:ln>
              <a:effectLst/>
            </c:spPr>
            <c:extLst>
              <c:ext xmlns:c16="http://schemas.microsoft.com/office/drawing/2014/chart" uri="{C3380CC4-5D6E-409C-BE32-E72D297353CC}">
                <c16:uniqueId val="{00000091-0557-554B-B090-39E6453668E4}"/>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Calculations!$O$55:$O$102</c:f>
              <c:numCache>
                <c:formatCode>_ * #,##0_ ;_ * \-#,##0_ ;_ * "-"??_ ;_ @_ </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71.279999999998836</c:v>
                </c:pt>
                <c:pt idx="42">
                  <c:v>0</c:v>
                </c:pt>
                <c:pt idx="44">
                  <c:v>339.39999999999964</c:v>
                </c:pt>
                <c:pt idx="45">
                  <c:v>775.5</c:v>
                </c:pt>
                <c:pt idx="46">
                  <c:v>6240</c:v>
                </c:pt>
              </c:numCache>
            </c:numRef>
          </c:val>
          <c:extLst>
            <c:ext xmlns:c16="http://schemas.microsoft.com/office/drawing/2014/chart" uri="{C3380CC4-5D6E-409C-BE32-E72D297353CC}">
              <c16:uniqueId val="{00000092-0557-554B-B090-39E6453668E4}"/>
            </c:ext>
          </c:extLst>
        </c:ser>
        <c:ser>
          <c:idx val="3"/>
          <c:order val="3"/>
          <c:spPr>
            <a:solidFill>
              <a:srgbClr val="E6E6E6"/>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Calculations!$P$55:$P$102</c:f>
              <c:numCache>
                <c:formatCode>_ * #,##0_ ;_ * \-#,##0_ ;_ * "-"??_ ;_ @_ </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3-0557-554B-B090-39E6453668E4}"/>
            </c:ext>
          </c:extLst>
        </c:ser>
        <c:ser>
          <c:idx val="4"/>
          <c:order val="4"/>
          <c:spPr>
            <a:solidFill>
              <a:srgbClr val="F0F0F0"/>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Calculations!$Q$55:$Q$102</c:f>
              <c:numCache>
                <c:formatCode>_ * #,##0_ ;_ * \-#,##0_ ;_ * "-"??_ ;_ @_ </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4-0557-554B-B090-39E6453668E4}"/>
            </c:ext>
          </c:extLst>
        </c:ser>
        <c:ser>
          <c:idx val="5"/>
          <c:order val="5"/>
          <c:spPr>
            <a:solidFill>
              <a:srgbClr val="DADADA"/>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Calculations!$R$55:$R$102</c:f>
              <c:numCache>
                <c:formatCode>_ * #,##0_ ;_ * \-#,##0_ ;_ * "-"??_ ;_ @_ </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5-0557-554B-B090-39E6453668E4}"/>
            </c:ext>
          </c:extLst>
        </c:ser>
        <c:dLbls>
          <c:showLegendKey val="0"/>
          <c:showVal val="0"/>
          <c:showCatName val="0"/>
          <c:showSerName val="0"/>
          <c:showPercent val="0"/>
          <c:showBubbleSize val="0"/>
        </c:dLbls>
        <c:gapWidth val="15"/>
        <c:overlap val="100"/>
        <c:axId val="461284975"/>
        <c:axId val="454582383"/>
      </c:barChart>
      <c:catAx>
        <c:axId val="461284975"/>
        <c:scaling>
          <c:orientation val="minMax"/>
        </c:scaling>
        <c:delete val="0"/>
        <c:axPos val="b"/>
        <c:numFmt formatCode="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2">
                    <a:lumMod val="50000"/>
                  </a:schemeClr>
                </a:solidFill>
                <a:latin typeface="+mn-lt"/>
                <a:ea typeface="+mn-ea"/>
                <a:cs typeface="+mn-cs"/>
              </a:defRPr>
            </a:pPr>
            <a:endParaRPr lang="en-CH"/>
          </a:p>
        </c:txPr>
        <c:crossAx val="454582383"/>
        <c:crosses val="autoZero"/>
        <c:auto val="0"/>
        <c:lblAlgn val="ctr"/>
        <c:lblOffset val="100"/>
        <c:noMultiLvlLbl val="0"/>
      </c:catAx>
      <c:valAx>
        <c:axId val="454582383"/>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2">
                    <a:lumMod val="50000"/>
                  </a:schemeClr>
                </a:solidFill>
                <a:latin typeface="+mn-lt"/>
                <a:ea typeface="+mn-ea"/>
                <a:cs typeface="+mn-cs"/>
              </a:defRPr>
            </a:pPr>
            <a:endParaRPr lang="en-CH"/>
          </a:p>
        </c:txPr>
        <c:crossAx val="4612849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CH"/>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[MASTER_BUDGET_LUCA.xlsx]Expenses_Agg!Monthly_Exp_Pivpt</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40"/>
        <c:spPr>
          <a:ln w="31750" cap="rnd" cmpd="sng">
            <a:solidFill>
              <a:srgbClr val="FFC000"/>
            </a:solidFill>
            <a:prstDash val="lgDash"/>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CH"/>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bg2">
              <a:lumMod val="90000"/>
            </a:schemeClr>
          </a:solidFill>
          <a:ln>
            <a:noFill/>
          </a:ln>
          <a:effectLst/>
        </c:spPr>
        <c:marker>
          <c:symbol val="none"/>
        </c:marke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Expenses_Agg!$P$3</c:f>
              <c:strCache>
                <c:ptCount val="1"/>
                <c:pt idx="0">
                  <c:v>Sum of Amount</c:v>
                </c:pt>
              </c:strCache>
            </c:strRef>
          </c:tx>
          <c:spPr>
            <a:solidFill>
              <a:schemeClr val="accent1">
                <a:shade val="76000"/>
              </a:schemeClr>
            </a:solidFill>
            <a:ln>
              <a:noFill/>
            </a:ln>
            <a:effectLst/>
          </c:spPr>
          <c:invertIfNegative val="0"/>
          <c:cat>
            <c:strRef>
              <c:f>Expenses_Agg!$O$4:$O$8</c:f>
              <c:strCache>
                <c:ptCount val="4"/>
                <c:pt idx="0">
                  <c:v>9</c:v>
                </c:pt>
                <c:pt idx="1">
                  <c:v>10</c:v>
                </c:pt>
                <c:pt idx="2">
                  <c:v>11</c:v>
                </c:pt>
                <c:pt idx="3">
                  <c:v>12</c:v>
                </c:pt>
              </c:strCache>
            </c:strRef>
          </c:cat>
          <c:val>
            <c:numRef>
              <c:f>Expenses_Agg!$P$4:$P$8</c:f>
              <c:numCache>
                <c:formatCode>_ "CHF"\ * #,##0_ ;_ "CHF"\ * \-#,##0_ ;_ "CHF"\ * "-"??_ ;_ @_ </c:formatCode>
                <c:ptCount val="4"/>
                <c:pt idx="0">
                  <c:v>150</c:v>
                </c:pt>
                <c:pt idx="1">
                  <c:v>150</c:v>
                </c:pt>
                <c:pt idx="2">
                  <c:v>616.16999999999996</c:v>
                </c:pt>
                <c:pt idx="3">
                  <c:v>1835.3799999999999</c:v>
                </c:pt>
              </c:numCache>
            </c:numRef>
          </c:val>
          <c:extLst>
            <c:ext xmlns:c16="http://schemas.microsoft.com/office/drawing/2014/chart" uri="{C3380CC4-5D6E-409C-BE32-E72D297353CC}">
              <c16:uniqueId val="{00000000-3E95-1C47-A470-1FA192211A6F}"/>
            </c:ext>
          </c:extLst>
        </c:ser>
        <c:dLbls>
          <c:showLegendKey val="0"/>
          <c:showVal val="0"/>
          <c:showCatName val="0"/>
          <c:showSerName val="0"/>
          <c:showPercent val="0"/>
          <c:showBubbleSize val="0"/>
        </c:dLbls>
        <c:gapWidth val="150"/>
        <c:axId val="1580904991"/>
        <c:axId val="203419664"/>
      </c:barChart>
      <c:lineChart>
        <c:grouping val="standard"/>
        <c:varyColors val="0"/>
        <c:ser>
          <c:idx val="1"/>
          <c:order val="1"/>
          <c:tx>
            <c:strRef>
              <c:f>Expenses_Agg!$Q$3</c:f>
              <c:strCache>
                <c:ptCount val="1"/>
                <c:pt idx="0">
                  <c:v>Sum of Diff %</c:v>
                </c:pt>
              </c:strCache>
            </c:strRef>
          </c:tx>
          <c:spPr>
            <a:ln w="31750" cap="rnd" cmpd="sng">
              <a:solidFill>
                <a:srgbClr val="FFC000"/>
              </a:solidFill>
              <a:prstDash val="lgDash"/>
              <a:round/>
            </a:ln>
            <a:effectLst/>
          </c:spPr>
          <c:marker>
            <c:symbol val="none"/>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C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Expenses_Agg!$O$4:$O$8</c:f>
              <c:strCache>
                <c:ptCount val="4"/>
                <c:pt idx="0">
                  <c:v>9</c:v>
                </c:pt>
                <c:pt idx="1">
                  <c:v>10</c:v>
                </c:pt>
                <c:pt idx="2">
                  <c:v>11</c:v>
                </c:pt>
                <c:pt idx="3">
                  <c:v>12</c:v>
                </c:pt>
              </c:strCache>
            </c:strRef>
          </c:cat>
          <c:val>
            <c:numRef>
              <c:f>Expenses_Agg!$Q$4:$Q$8</c:f>
              <c:numCache>
                <c:formatCode>0%</c:formatCode>
                <c:ptCount val="4"/>
                <c:pt idx="0">
                  <c:v>-0.625</c:v>
                </c:pt>
                <c:pt idx="1">
                  <c:v>-0.625</c:v>
                </c:pt>
                <c:pt idx="2">
                  <c:v>0.54042499999999993</c:v>
                </c:pt>
                <c:pt idx="3">
                  <c:v>3.5884499999999999</c:v>
                </c:pt>
              </c:numCache>
            </c:numRef>
          </c:val>
          <c:smooth val="1"/>
          <c:extLst>
            <c:ext xmlns:c16="http://schemas.microsoft.com/office/drawing/2014/chart" uri="{C3380CC4-5D6E-409C-BE32-E72D297353CC}">
              <c16:uniqueId val="{00000004-3E95-1C47-A470-1FA192211A6F}"/>
            </c:ext>
          </c:extLst>
        </c:ser>
        <c:dLbls>
          <c:showLegendKey val="0"/>
          <c:showVal val="0"/>
          <c:showCatName val="0"/>
          <c:showSerName val="0"/>
          <c:showPercent val="0"/>
          <c:showBubbleSize val="0"/>
        </c:dLbls>
        <c:marker val="1"/>
        <c:smooth val="0"/>
        <c:axId val="228740192"/>
        <c:axId val="1104659119"/>
      </c:lineChart>
      <c:catAx>
        <c:axId val="158090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203419664"/>
        <c:crosses val="autoZero"/>
        <c:auto val="1"/>
        <c:lblAlgn val="ctr"/>
        <c:lblOffset val="100"/>
        <c:noMultiLvlLbl val="0"/>
      </c:catAx>
      <c:valAx>
        <c:axId val="203419664"/>
        <c:scaling>
          <c:orientation val="minMax"/>
        </c:scaling>
        <c:delete val="0"/>
        <c:axPos val="l"/>
        <c:majorGridlines>
          <c:spPr>
            <a:ln w="9525" cap="flat" cmpd="sng" algn="ctr">
              <a:solidFill>
                <a:schemeClr val="tx1"/>
              </a:solidFill>
              <a:prstDash val="sysDot"/>
              <a:round/>
            </a:ln>
            <a:effectLst/>
          </c:spPr>
        </c:majorGridlines>
        <c:numFmt formatCode="_ &quot;CHF&quot;\ * #,##0_ ;_ &quot;CHF&quot;\ * \-#,##0_ ;_ &quot;CHF&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1580904991"/>
        <c:crosses val="autoZero"/>
        <c:crossBetween val="between"/>
      </c:valAx>
      <c:valAx>
        <c:axId val="110465911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228740192"/>
        <c:crosses val="max"/>
        <c:crossBetween val="between"/>
      </c:valAx>
      <c:catAx>
        <c:axId val="228740192"/>
        <c:scaling>
          <c:orientation val="minMax"/>
        </c:scaling>
        <c:delete val="1"/>
        <c:axPos val="b"/>
        <c:numFmt formatCode="General" sourceLinked="1"/>
        <c:majorTickMark val="out"/>
        <c:minorTickMark val="none"/>
        <c:tickLblPos val="nextTo"/>
        <c:crossAx val="11046591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29813632980888"/>
          <c:y val="4.7030139283275492E-2"/>
          <c:w val="0.85321359366443406"/>
          <c:h val="0.8395413117187257"/>
        </c:manualLayout>
      </c:layout>
      <c:barChart>
        <c:barDir val="col"/>
        <c:grouping val="stacked"/>
        <c:varyColors val="0"/>
        <c:ser>
          <c:idx val="0"/>
          <c:order val="0"/>
          <c:spPr>
            <a:solidFill>
              <a:schemeClr val="accent3"/>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6-D0C9-A546-8538-C2E8F7E25F5B}"/>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9-D0C9-A546-8538-C2E8F7E25F5B}"/>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C-D0C9-A546-8538-C2E8F7E25F5B}"/>
              </c:ext>
            </c:extLst>
          </c:dPt>
          <c:dPt>
            <c:idx val="6"/>
            <c:invertIfNegative val="0"/>
            <c:bubble3D val="0"/>
            <c:spPr>
              <a:solidFill>
                <a:schemeClr val="accent1"/>
              </a:solidFill>
              <a:ln>
                <a:noFill/>
              </a:ln>
              <a:effectLst/>
            </c:spPr>
            <c:extLst>
              <c:ext xmlns:c16="http://schemas.microsoft.com/office/drawing/2014/chart" uri="{C3380CC4-5D6E-409C-BE32-E72D297353CC}">
                <c16:uniqueId val="{0000002D-D0C9-A546-8538-C2E8F7E25F5B}"/>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D-D0C9-A546-8538-C2E8F7E25F5B}"/>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2E-D0C9-A546-8538-C2E8F7E25F5B}"/>
              </c:ext>
            </c:extLst>
          </c:dPt>
          <c:dPt>
            <c:idx val="13"/>
            <c:invertIfNegative val="0"/>
            <c:bubble3D val="0"/>
            <c:spPr>
              <a:solidFill>
                <a:schemeClr val="accent2"/>
              </a:solidFill>
              <a:ln>
                <a:noFill/>
              </a:ln>
              <a:effectLst/>
            </c:spPr>
            <c:extLst>
              <c:ext xmlns:c16="http://schemas.microsoft.com/office/drawing/2014/chart" uri="{C3380CC4-5D6E-409C-BE32-E72D297353CC}">
                <c16:uniqueId val="{0000000E-D0C9-A546-8538-C2E8F7E25F5B}"/>
              </c:ext>
            </c:extLst>
          </c:dPt>
          <c:dPt>
            <c:idx val="14"/>
            <c:invertIfNegative val="0"/>
            <c:bubble3D val="0"/>
            <c:spPr>
              <a:solidFill>
                <a:schemeClr val="accent1"/>
              </a:solidFill>
              <a:ln>
                <a:noFill/>
              </a:ln>
              <a:effectLst/>
            </c:spPr>
            <c:extLst>
              <c:ext xmlns:c16="http://schemas.microsoft.com/office/drawing/2014/chart" uri="{C3380CC4-5D6E-409C-BE32-E72D297353CC}">
                <c16:uniqueId val="{0000002F-D0C9-A546-8538-C2E8F7E25F5B}"/>
              </c:ext>
            </c:extLst>
          </c:dPt>
          <c:dPt>
            <c:idx val="17"/>
            <c:invertIfNegative val="0"/>
            <c:bubble3D val="0"/>
            <c:spPr>
              <a:solidFill>
                <a:schemeClr val="accent2"/>
              </a:solidFill>
              <a:ln>
                <a:noFill/>
              </a:ln>
              <a:effectLst/>
            </c:spPr>
            <c:extLst>
              <c:ext xmlns:c16="http://schemas.microsoft.com/office/drawing/2014/chart" uri="{C3380CC4-5D6E-409C-BE32-E72D297353CC}">
                <c16:uniqueId val="{0000000F-D0C9-A546-8538-C2E8F7E25F5B}"/>
              </c:ext>
            </c:extLst>
          </c:dPt>
          <c:dPt>
            <c:idx val="18"/>
            <c:invertIfNegative val="0"/>
            <c:bubble3D val="0"/>
            <c:spPr>
              <a:solidFill>
                <a:schemeClr val="accent1"/>
              </a:solidFill>
              <a:ln>
                <a:noFill/>
              </a:ln>
              <a:effectLst/>
            </c:spPr>
            <c:extLst>
              <c:ext xmlns:c16="http://schemas.microsoft.com/office/drawing/2014/chart" uri="{C3380CC4-5D6E-409C-BE32-E72D297353CC}">
                <c16:uniqueId val="{00000030-D0C9-A546-8538-C2E8F7E25F5B}"/>
              </c:ext>
            </c:extLst>
          </c:dPt>
          <c:dPt>
            <c:idx val="21"/>
            <c:invertIfNegative val="0"/>
            <c:bubble3D val="0"/>
            <c:spPr>
              <a:solidFill>
                <a:schemeClr val="accent2"/>
              </a:solidFill>
              <a:ln>
                <a:noFill/>
              </a:ln>
              <a:effectLst/>
            </c:spPr>
            <c:extLst>
              <c:ext xmlns:c16="http://schemas.microsoft.com/office/drawing/2014/chart" uri="{C3380CC4-5D6E-409C-BE32-E72D297353CC}">
                <c16:uniqueId val="{00000010-D0C9-A546-8538-C2E8F7E25F5B}"/>
              </c:ext>
            </c:extLst>
          </c:dPt>
          <c:dPt>
            <c:idx val="22"/>
            <c:invertIfNegative val="0"/>
            <c:bubble3D val="0"/>
            <c:spPr>
              <a:solidFill>
                <a:schemeClr val="accent1"/>
              </a:solidFill>
              <a:ln>
                <a:noFill/>
              </a:ln>
              <a:effectLst/>
            </c:spPr>
            <c:extLst>
              <c:ext xmlns:c16="http://schemas.microsoft.com/office/drawing/2014/chart" uri="{C3380CC4-5D6E-409C-BE32-E72D297353CC}">
                <c16:uniqueId val="{00000031-D0C9-A546-8538-C2E8F7E25F5B}"/>
              </c:ext>
            </c:extLst>
          </c:dPt>
          <c:dPt>
            <c:idx val="25"/>
            <c:invertIfNegative val="0"/>
            <c:bubble3D val="0"/>
            <c:spPr>
              <a:solidFill>
                <a:schemeClr val="accent2"/>
              </a:solidFill>
              <a:ln>
                <a:noFill/>
              </a:ln>
              <a:effectLst/>
            </c:spPr>
            <c:extLst>
              <c:ext xmlns:c16="http://schemas.microsoft.com/office/drawing/2014/chart" uri="{C3380CC4-5D6E-409C-BE32-E72D297353CC}">
                <c16:uniqueId val="{00000011-D0C9-A546-8538-C2E8F7E25F5B}"/>
              </c:ext>
            </c:extLst>
          </c:dPt>
          <c:dPt>
            <c:idx val="26"/>
            <c:invertIfNegative val="0"/>
            <c:bubble3D val="0"/>
            <c:spPr>
              <a:solidFill>
                <a:schemeClr val="accent1"/>
              </a:solidFill>
              <a:ln>
                <a:noFill/>
              </a:ln>
              <a:effectLst/>
            </c:spPr>
            <c:extLst>
              <c:ext xmlns:c16="http://schemas.microsoft.com/office/drawing/2014/chart" uri="{C3380CC4-5D6E-409C-BE32-E72D297353CC}">
                <c16:uniqueId val="{00000032-D0C9-A546-8538-C2E8F7E25F5B}"/>
              </c:ext>
            </c:extLst>
          </c:dPt>
          <c:dPt>
            <c:idx val="29"/>
            <c:invertIfNegative val="0"/>
            <c:bubble3D val="0"/>
            <c:spPr>
              <a:solidFill>
                <a:schemeClr val="accent2"/>
              </a:solidFill>
              <a:ln>
                <a:noFill/>
              </a:ln>
              <a:effectLst/>
            </c:spPr>
            <c:extLst>
              <c:ext xmlns:c16="http://schemas.microsoft.com/office/drawing/2014/chart" uri="{C3380CC4-5D6E-409C-BE32-E72D297353CC}">
                <c16:uniqueId val="{00000012-D0C9-A546-8538-C2E8F7E25F5B}"/>
              </c:ext>
            </c:extLst>
          </c:dPt>
          <c:dPt>
            <c:idx val="30"/>
            <c:invertIfNegative val="0"/>
            <c:bubble3D val="0"/>
            <c:spPr>
              <a:solidFill>
                <a:schemeClr val="accent1"/>
              </a:solidFill>
              <a:ln>
                <a:noFill/>
              </a:ln>
              <a:effectLst/>
            </c:spPr>
            <c:extLst>
              <c:ext xmlns:c16="http://schemas.microsoft.com/office/drawing/2014/chart" uri="{C3380CC4-5D6E-409C-BE32-E72D297353CC}">
                <c16:uniqueId val="{00000033-D0C9-A546-8538-C2E8F7E25F5B}"/>
              </c:ext>
            </c:extLst>
          </c:dPt>
          <c:dPt>
            <c:idx val="33"/>
            <c:invertIfNegative val="0"/>
            <c:bubble3D val="0"/>
            <c:spPr>
              <a:solidFill>
                <a:schemeClr val="accent2"/>
              </a:solidFill>
              <a:ln>
                <a:noFill/>
              </a:ln>
              <a:effectLst/>
            </c:spPr>
            <c:extLst>
              <c:ext xmlns:c16="http://schemas.microsoft.com/office/drawing/2014/chart" uri="{C3380CC4-5D6E-409C-BE32-E72D297353CC}">
                <c16:uniqueId val="{00000013-D0C9-A546-8538-C2E8F7E25F5B}"/>
              </c:ext>
            </c:extLst>
          </c:dPt>
          <c:dPt>
            <c:idx val="34"/>
            <c:invertIfNegative val="0"/>
            <c:bubble3D val="0"/>
            <c:spPr>
              <a:solidFill>
                <a:schemeClr val="accent1"/>
              </a:solidFill>
              <a:ln>
                <a:noFill/>
              </a:ln>
              <a:effectLst/>
            </c:spPr>
            <c:extLst>
              <c:ext xmlns:c16="http://schemas.microsoft.com/office/drawing/2014/chart" uri="{C3380CC4-5D6E-409C-BE32-E72D297353CC}">
                <c16:uniqueId val="{00000034-D0C9-A546-8538-C2E8F7E25F5B}"/>
              </c:ext>
            </c:extLst>
          </c:dPt>
          <c:dPt>
            <c:idx val="37"/>
            <c:invertIfNegative val="0"/>
            <c:bubble3D val="0"/>
            <c:spPr>
              <a:solidFill>
                <a:schemeClr val="accent2"/>
              </a:solidFill>
              <a:ln>
                <a:noFill/>
              </a:ln>
              <a:effectLst/>
            </c:spPr>
            <c:extLst>
              <c:ext xmlns:c16="http://schemas.microsoft.com/office/drawing/2014/chart" uri="{C3380CC4-5D6E-409C-BE32-E72D297353CC}">
                <c16:uniqueId val="{00000014-D0C9-A546-8538-C2E8F7E25F5B}"/>
              </c:ext>
            </c:extLst>
          </c:dPt>
          <c:dPt>
            <c:idx val="38"/>
            <c:invertIfNegative val="0"/>
            <c:bubble3D val="0"/>
            <c:spPr>
              <a:solidFill>
                <a:schemeClr val="accent1"/>
              </a:solidFill>
              <a:ln>
                <a:noFill/>
              </a:ln>
              <a:effectLst/>
            </c:spPr>
            <c:extLst>
              <c:ext xmlns:c16="http://schemas.microsoft.com/office/drawing/2014/chart" uri="{C3380CC4-5D6E-409C-BE32-E72D297353CC}">
                <c16:uniqueId val="{00000035-D0C9-A546-8538-C2E8F7E25F5B}"/>
              </c:ext>
            </c:extLst>
          </c:dPt>
          <c:dPt>
            <c:idx val="41"/>
            <c:invertIfNegative val="0"/>
            <c:bubble3D val="0"/>
            <c:spPr>
              <a:solidFill>
                <a:schemeClr val="accent2"/>
              </a:solidFill>
              <a:ln>
                <a:noFill/>
              </a:ln>
              <a:effectLst/>
            </c:spPr>
            <c:extLst>
              <c:ext xmlns:c16="http://schemas.microsoft.com/office/drawing/2014/chart" uri="{C3380CC4-5D6E-409C-BE32-E72D297353CC}">
                <c16:uniqueId val="{00000015-D0C9-A546-8538-C2E8F7E25F5B}"/>
              </c:ext>
            </c:extLst>
          </c:dPt>
          <c:dPt>
            <c:idx val="42"/>
            <c:invertIfNegative val="0"/>
            <c:bubble3D val="0"/>
            <c:spPr>
              <a:solidFill>
                <a:schemeClr val="accent1"/>
              </a:solidFill>
              <a:ln>
                <a:noFill/>
              </a:ln>
              <a:effectLst/>
            </c:spPr>
            <c:extLst>
              <c:ext xmlns:c16="http://schemas.microsoft.com/office/drawing/2014/chart" uri="{C3380CC4-5D6E-409C-BE32-E72D297353CC}">
                <c16:uniqueId val="{00000036-D0C9-A546-8538-C2E8F7E25F5B}"/>
              </c:ext>
            </c:extLst>
          </c:dPt>
          <c:dPt>
            <c:idx val="45"/>
            <c:invertIfNegative val="0"/>
            <c:bubble3D val="0"/>
            <c:spPr>
              <a:solidFill>
                <a:schemeClr val="accent2"/>
              </a:solidFill>
              <a:ln>
                <a:noFill/>
              </a:ln>
              <a:effectLst/>
            </c:spPr>
            <c:extLst>
              <c:ext xmlns:c16="http://schemas.microsoft.com/office/drawing/2014/chart" uri="{C3380CC4-5D6E-409C-BE32-E72D297353CC}">
                <c16:uniqueId val="{00000016-D0C9-A546-8538-C2E8F7E25F5B}"/>
              </c:ext>
            </c:extLst>
          </c:dPt>
          <c:dPt>
            <c:idx val="46"/>
            <c:invertIfNegative val="0"/>
            <c:bubble3D val="0"/>
            <c:spPr>
              <a:solidFill>
                <a:schemeClr val="accent1"/>
              </a:solidFill>
              <a:ln>
                <a:noFill/>
              </a:ln>
              <a:effectLst/>
            </c:spPr>
            <c:extLst>
              <c:ext xmlns:c16="http://schemas.microsoft.com/office/drawing/2014/chart" uri="{C3380CC4-5D6E-409C-BE32-E72D297353CC}">
                <c16:uniqueId val="{00000037-D0C9-A546-8538-C2E8F7E25F5B}"/>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Calculations!$M$55:$M$102</c:f>
              <c:numCache>
                <c:formatCode>_ * #,##0_ ;_ * \-#,##0_ ;_ * "-"??_ ;_ @_ </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8095.95</c:v>
                </c:pt>
                <c:pt idx="29">
                  <c:v>5038.8599999999997</c:v>
                </c:pt>
                <c:pt idx="30">
                  <c:v>0</c:v>
                </c:pt>
                <c:pt idx="32">
                  <c:v>9942.75</c:v>
                </c:pt>
                <c:pt idx="33">
                  <c:v>4850.0599999999986</c:v>
                </c:pt>
                <c:pt idx="34">
                  <c:v>0</c:v>
                </c:pt>
                <c:pt idx="36">
                  <c:v>8276.0500000000011</c:v>
                </c:pt>
                <c:pt idx="37">
                  <c:v>5715.6999999999962</c:v>
                </c:pt>
                <c:pt idx="38">
                  <c:v>0</c:v>
                </c:pt>
                <c:pt idx="40">
                  <c:v>12529.35</c:v>
                </c:pt>
                <c:pt idx="41">
                  <c:v>5313.35</c:v>
                </c:pt>
                <c:pt idx="42">
                  <c:v>0</c:v>
                </c:pt>
                <c:pt idx="44">
                  <c:v>8735.85</c:v>
                </c:pt>
                <c:pt idx="45">
                  <c:v>6411.35</c:v>
                </c:pt>
                <c:pt idx="46">
                  <c:v>0</c:v>
                </c:pt>
              </c:numCache>
            </c:numRef>
          </c:val>
          <c:extLst>
            <c:ext xmlns:c16="http://schemas.microsoft.com/office/drawing/2014/chart" uri="{C3380CC4-5D6E-409C-BE32-E72D297353CC}">
              <c16:uniqueId val="{00000000-D0C9-A546-8538-C2E8F7E25F5B}"/>
            </c:ext>
          </c:extLst>
        </c:ser>
        <c:ser>
          <c:idx val="1"/>
          <c:order val="1"/>
          <c:spPr>
            <a:solidFill>
              <a:schemeClr val="accent3">
                <a:lumMod val="20000"/>
                <a:lumOff val="80000"/>
              </a:schemeClr>
            </a:solidFill>
            <a:ln>
              <a:noFill/>
            </a:ln>
            <a:effectLst/>
          </c:spPr>
          <c:invertIfNegative val="0"/>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D0C9-A546-8538-C2E8F7E25F5B}"/>
              </c:ext>
            </c:extLst>
          </c:dPt>
          <c:dPt>
            <c:idx val="2"/>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A-D0C9-A546-8538-C2E8F7E25F5B}"/>
              </c:ext>
            </c:extLst>
          </c:dPt>
          <c:dPt>
            <c:idx val="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17-D0C9-A546-8538-C2E8F7E25F5B}"/>
              </c:ext>
            </c:extLst>
          </c:dPt>
          <c:dPt>
            <c:idx val="6"/>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38-D0C9-A546-8538-C2E8F7E25F5B}"/>
              </c:ext>
            </c:extLst>
          </c:dPt>
          <c:dPt>
            <c:idx val="9"/>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18-D0C9-A546-8538-C2E8F7E25F5B}"/>
              </c:ext>
            </c:extLst>
          </c:dPt>
          <c:dPt>
            <c:idx val="1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39-D0C9-A546-8538-C2E8F7E25F5B}"/>
              </c:ext>
            </c:extLst>
          </c:dPt>
          <c:dPt>
            <c:idx val="1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19-D0C9-A546-8538-C2E8F7E25F5B}"/>
              </c:ext>
            </c:extLst>
          </c:dPt>
          <c:dPt>
            <c:idx val="1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3A-D0C9-A546-8538-C2E8F7E25F5B}"/>
              </c:ext>
            </c:extLst>
          </c:dPt>
          <c:dPt>
            <c:idx val="17"/>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1A-D0C9-A546-8538-C2E8F7E25F5B}"/>
              </c:ext>
            </c:extLst>
          </c:dPt>
          <c:dPt>
            <c:idx val="1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3B-D0C9-A546-8538-C2E8F7E25F5B}"/>
              </c:ext>
            </c:extLst>
          </c:dPt>
          <c:dPt>
            <c:idx val="2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1B-D0C9-A546-8538-C2E8F7E25F5B}"/>
              </c:ext>
            </c:extLst>
          </c:dPt>
          <c:dPt>
            <c:idx val="22"/>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3C-D0C9-A546-8538-C2E8F7E25F5B}"/>
              </c:ext>
            </c:extLst>
          </c:dPt>
          <c:dPt>
            <c:idx val="2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1C-D0C9-A546-8538-C2E8F7E25F5B}"/>
              </c:ext>
            </c:extLst>
          </c:dPt>
          <c:dPt>
            <c:idx val="26"/>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3D-D0C9-A546-8538-C2E8F7E25F5B}"/>
              </c:ext>
            </c:extLst>
          </c:dPt>
          <c:dPt>
            <c:idx val="29"/>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1D-D0C9-A546-8538-C2E8F7E25F5B}"/>
              </c:ext>
            </c:extLst>
          </c:dPt>
          <c:dPt>
            <c:idx val="3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3E-D0C9-A546-8538-C2E8F7E25F5B}"/>
              </c:ext>
            </c:extLst>
          </c:dPt>
          <c:dPt>
            <c:idx val="3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1E-D0C9-A546-8538-C2E8F7E25F5B}"/>
              </c:ext>
            </c:extLst>
          </c:dPt>
          <c:dPt>
            <c:idx val="3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3F-D0C9-A546-8538-C2E8F7E25F5B}"/>
              </c:ext>
            </c:extLst>
          </c:dPt>
          <c:dPt>
            <c:idx val="37"/>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1F-D0C9-A546-8538-C2E8F7E25F5B}"/>
              </c:ext>
            </c:extLst>
          </c:dPt>
          <c:dPt>
            <c:idx val="3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40-D0C9-A546-8538-C2E8F7E25F5B}"/>
              </c:ext>
            </c:extLst>
          </c:dPt>
          <c:dPt>
            <c:idx val="4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20-D0C9-A546-8538-C2E8F7E25F5B}"/>
              </c:ext>
            </c:extLst>
          </c:dPt>
          <c:dPt>
            <c:idx val="42"/>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41-D0C9-A546-8538-C2E8F7E25F5B}"/>
              </c:ext>
            </c:extLst>
          </c:dPt>
          <c:dPt>
            <c:idx val="4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21-D0C9-A546-8538-C2E8F7E25F5B}"/>
              </c:ext>
            </c:extLst>
          </c:dPt>
          <c:dPt>
            <c:idx val="46"/>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42-D0C9-A546-8538-C2E8F7E25F5B}"/>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Calculations!$N$55:$N$102</c:f>
              <c:numCache>
                <c:formatCode>_ * #,##0_ ;_ * \-#,##0_ ;_ * "-"??_ ;_ @_ </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2274.4900000000007</c:v>
                </c:pt>
                <c:pt idx="30">
                  <c:v>0</c:v>
                </c:pt>
                <c:pt idx="32">
                  <c:v>0</c:v>
                </c:pt>
                <c:pt idx="33">
                  <c:v>1018.2900000000018</c:v>
                </c:pt>
                <c:pt idx="34">
                  <c:v>0</c:v>
                </c:pt>
                <c:pt idx="36">
                  <c:v>0</c:v>
                </c:pt>
                <c:pt idx="37">
                  <c:v>1042.6500000000042</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01-D0C9-A546-8538-C2E8F7E25F5B}"/>
            </c:ext>
          </c:extLst>
        </c:ser>
        <c:ser>
          <c:idx val="2"/>
          <c:order val="2"/>
          <c:spPr>
            <a:solidFill>
              <a:schemeClr val="accent3">
                <a:lumMod val="75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8-D0C9-A546-8538-C2E8F7E25F5B}"/>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B-D0C9-A546-8538-C2E8F7E25F5B}"/>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22-D0C9-A546-8538-C2E8F7E25F5B}"/>
              </c:ext>
            </c:extLst>
          </c:dPt>
          <c:dPt>
            <c:idx val="6"/>
            <c:invertIfNegative val="0"/>
            <c:bubble3D val="0"/>
            <c:spPr>
              <a:solidFill>
                <a:schemeClr val="accent1">
                  <a:lumMod val="75000"/>
                </a:schemeClr>
              </a:solidFill>
              <a:ln>
                <a:noFill/>
              </a:ln>
              <a:effectLst/>
            </c:spPr>
            <c:extLst>
              <c:ext xmlns:c16="http://schemas.microsoft.com/office/drawing/2014/chart" uri="{C3380CC4-5D6E-409C-BE32-E72D297353CC}">
                <c16:uniqueId val="{0000004D-D0C9-A546-8538-C2E8F7E25F5B}"/>
              </c:ext>
            </c:extLst>
          </c:dPt>
          <c:dPt>
            <c:idx val="9"/>
            <c:invertIfNegative val="0"/>
            <c:bubble3D val="0"/>
            <c:spPr>
              <a:solidFill>
                <a:schemeClr val="accent2">
                  <a:lumMod val="75000"/>
                </a:schemeClr>
              </a:solidFill>
              <a:ln>
                <a:noFill/>
              </a:ln>
              <a:effectLst/>
            </c:spPr>
            <c:extLst>
              <c:ext xmlns:c16="http://schemas.microsoft.com/office/drawing/2014/chart" uri="{C3380CC4-5D6E-409C-BE32-E72D297353CC}">
                <c16:uniqueId val="{00000023-D0C9-A546-8538-C2E8F7E25F5B}"/>
              </c:ext>
            </c:extLst>
          </c:dPt>
          <c:dPt>
            <c:idx val="10"/>
            <c:invertIfNegative val="0"/>
            <c:bubble3D val="0"/>
            <c:spPr>
              <a:solidFill>
                <a:schemeClr val="accent1">
                  <a:lumMod val="75000"/>
                </a:schemeClr>
              </a:solidFill>
              <a:ln>
                <a:noFill/>
              </a:ln>
              <a:effectLst/>
            </c:spPr>
            <c:extLst>
              <c:ext xmlns:c16="http://schemas.microsoft.com/office/drawing/2014/chart" uri="{C3380CC4-5D6E-409C-BE32-E72D297353CC}">
                <c16:uniqueId val="{0000004C-D0C9-A546-8538-C2E8F7E25F5B}"/>
              </c:ext>
            </c:extLst>
          </c:dPt>
          <c:dPt>
            <c:idx val="13"/>
            <c:invertIfNegative val="0"/>
            <c:bubble3D val="0"/>
            <c:spPr>
              <a:solidFill>
                <a:schemeClr val="accent2">
                  <a:lumMod val="75000"/>
                </a:schemeClr>
              </a:solidFill>
              <a:ln>
                <a:noFill/>
              </a:ln>
              <a:effectLst/>
            </c:spPr>
            <c:extLst>
              <c:ext xmlns:c16="http://schemas.microsoft.com/office/drawing/2014/chart" uri="{C3380CC4-5D6E-409C-BE32-E72D297353CC}">
                <c16:uniqueId val="{00000024-D0C9-A546-8538-C2E8F7E25F5B}"/>
              </c:ext>
            </c:extLst>
          </c:dPt>
          <c:dPt>
            <c:idx val="14"/>
            <c:invertIfNegative val="0"/>
            <c:bubble3D val="0"/>
            <c:spPr>
              <a:solidFill>
                <a:schemeClr val="accent1">
                  <a:lumMod val="75000"/>
                </a:schemeClr>
              </a:solidFill>
              <a:ln>
                <a:noFill/>
              </a:ln>
              <a:effectLst/>
            </c:spPr>
            <c:extLst>
              <c:ext xmlns:c16="http://schemas.microsoft.com/office/drawing/2014/chart" uri="{C3380CC4-5D6E-409C-BE32-E72D297353CC}">
                <c16:uniqueId val="{0000004B-D0C9-A546-8538-C2E8F7E25F5B}"/>
              </c:ext>
            </c:extLst>
          </c:dPt>
          <c:dPt>
            <c:idx val="17"/>
            <c:invertIfNegative val="0"/>
            <c:bubble3D val="0"/>
            <c:spPr>
              <a:solidFill>
                <a:schemeClr val="accent2">
                  <a:lumMod val="75000"/>
                </a:schemeClr>
              </a:solidFill>
              <a:ln>
                <a:noFill/>
              </a:ln>
              <a:effectLst/>
            </c:spPr>
            <c:extLst>
              <c:ext xmlns:c16="http://schemas.microsoft.com/office/drawing/2014/chart" uri="{C3380CC4-5D6E-409C-BE32-E72D297353CC}">
                <c16:uniqueId val="{00000025-D0C9-A546-8538-C2E8F7E25F5B}"/>
              </c:ext>
            </c:extLst>
          </c:dPt>
          <c:dPt>
            <c:idx val="18"/>
            <c:invertIfNegative val="0"/>
            <c:bubble3D val="0"/>
            <c:spPr>
              <a:solidFill>
                <a:schemeClr val="accent1">
                  <a:lumMod val="75000"/>
                </a:schemeClr>
              </a:solidFill>
              <a:ln>
                <a:noFill/>
              </a:ln>
              <a:effectLst/>
            </c:spPr>
            <c:extLst>
              <c:ext xmlns:c16="http://schemas.microsoft.com/office/drawing/2014/chart" uri="{C3380CC4-5D6E-409C-BE32-E72D297353CC}">
                <c16:uniqueId val="{0000004A-D0C9-A546-8538-C2E8F7E25F5B}"/>
              </c:ext>
            </c:extLst>
          </c:dPt>
          <c:dPt>
            <c:idx val="21"/>
            <c:invertIfNegative val="0"/>
            <c:bubble3D val="0"/>
            <c:spPr>
              <a:solidFill>
                <a:schemeClr val="accent2">
                  <a:lumMod val="75000"/>
                </a:schemeClr>
              </a:solidFill>
              <a:ln>
                <a:noFill/>
              </a:ln>
              <a:effectLst/>
            </c:spPr>
            <c:extLst>
              <c:ext xmlns:c16="http://schemas.microsoft.com/office/drawing/2014/chart" uri="{C3380CC4-5D6E-409C-BE32-E72D297353CC}">
                <c16:uniqueId val="{00000026-D0C9-A546-8538-C2E8F7E25F5B}"/>
              </c:ext>
            </c:extLst>
          </c:dPt>
          <c:dPt>
            <c:idx val="22"/>
            <c:invertIfNegative val="0"/>
            <c:bubble3D val="0"/>
            <c:spPr>
              <a:solidFill>
                <a:schemeClr val="accent1">
                  <a:lumMod val="75000"/>
                </a:schemeClr>
              </a:solidFill>
              <a:ln>
                <a:noFill/>
              </a:ln>
              <a:effectLst/>
            </c:spPr>
            <c:extLst>
              <c:ext xmlns:c16="http://schemas.microsoft.com/office/drawing/2014/chart" uri="{C3380CC4-5D6E-409C-BE32-E72D297353CC}">
                <c16:uniqueId val="{00000049-D0C9-A546-8538-C2E8F7E25F5B}"/>
              </c:ext>
            </c:extLst>
          </c:dPt>
          <c:dPt>
            <c:idx val="25"/>
            <c:invertIfNegative val="0"/>
            <c:bubble3D val="0"/>
            <c:spPr>
              <a:solidFill>
                <a:schemeClr val="accent2">
                  <a:lumMod val="75000"/>
                </a:schemeClr>
              </a:solidFill>
              <a:ln>
                <a:noFill/>
              </a:ln>
              <a:effectLst/>
            </c:spPr>
            <c:extLst>
              <c:ext xmlns:c16="http://schemas.microsoft.com/office/drawing/2014/chart" uri="{C3380CC4-5D6E-409C-BE32-E72D297353CC}">
                <c16:uniqueId val="{00000027-D0C9-A546-8538-C2E8F7E25F5B}"/>
              </c:ext>
            </c:extLst>
          </c:dPt>
          <c:dPt>
            <c:idx val="26"/>
            <c:invertIfNegative val="0"/>
            <c:bubble3D val="0"/>
            <c:spPr>
              <a:solidFill>
                <a:schemeClr val="accent1">
                  <a:lumMod val="75000"/>
                </a:schemeClr>
              </a:solidFill>
              <a:ln>
                <a:noFill/>
              </a:ln>
              <a:effectLst/>
            </c:spPr>
            <c:extLst>
              <c:ext xmlns:c16="http://schemas.microsoft.com/office/drawing/2014/chart" uri="{C3380CC4-5D6E-409C-BE32-E72D297353CC}">
                <c16:uniqueId val="{00000048-D0C9-A546-8538-C2E8F7E25F5B}"/>
              </c:ext>
            </c:extLst>
          </c:dPt>
          <c:dPt>
            <c:idx val="29"/>
            <c:invertIfNegative val="0"/>
            <c:bubble3D val="0"/>
            <c:spPr>
              <a:solidFill>
                <a:schemeClr val="accent2">
                  <a:lumMod val="75000"/>
                </a:schemeClr>
              </a:solidFill>
              <a:ln>
                <a:noFill/>
              </a:ln>
              <a:effectLst/>
            </c:spPr>
            <c:extLst>
              <c:ext xmlns:c16="http://schemas.microsoft.com/office/drawing/2014/chart" uri="{C3380CC4-5D6E-409C-BE32-E72D297353CC}">
                <c16:uniqueId val="{00000028-D0C9-A546-8538-C2E8F7E25F5B}"/>
              </c:ext>
            </c:extLst>
          </c:dPt>
          <c:dPt>
            <c:idx val="30"/>
            <c:invertIfNegative val="0"/>
            <c:bubble3D val="0"/>
            <c:spPr>
              <a:solidFill>
                <a:schemeClr val="accent1">
                  <a:lumMod val="75000"/>
                </a:schemeClr>
              </a:solidFill>
              <a:ln>
                <a:noFill/>
              </a:ln>
              <a:effectLst/>
            </c:spPr>
            <c:extLst>
              <c:ext xmlns:c16="http://schemas.microsoft.com/office/drawing/2014/chart" uri="{C3380CC4-5D6E-409C-BE32-E72D297353CC}">
                <c16:uniqueId val="{00000047-D0C9-A546-8538-C2E8F7E25F5B}"/>
              </c:ext>
            </c:extLst>
          </c:dPt>
          <c:dPt>
            <c:idx val="33"/>
            <c:invertIfNegative val="0"/>
            <c:bubble3D val="0"/>
            <c:spPr>
              <a:solidFill>
                <a:schemeClr val="accent2">
                  <a:lumMod val="75000"/>
                </a:schemeClr>
              </a:solidFill>
              <a:ln>
                <a:noFill/>
              </a:ln>
              <a:effectLst/>
            </c:spPr>
            <c:extLst>
              <c:ext xmlns:c16="http://schemas.microsoft.com/office/drawing/2014/chart" uri="{C3380CC4-5D6E-409C-BE32-E72D297353CC}">
                <c16:uniqueId val="{00000029-D0C9-A546-8538-C2E8F7E25F5B}"/>
              </c:ext>
            </c:extLst>
          </c:dPt>
          <c:dPt>
            <c:idx val="34"/>
            <c:invertIfNegative val="0"/>
            <c:bubble3D val="0"/>
            <c:spPr>
              <a:solidFill>
                <a:schemeClr val="accent1">
                  <a:lumMod val="75000"/>
                </a:schemeClr>
              </a:solidFill>
              <a:ln>
                <a:noFill/>
              </a:ln>
              <a:effectLst/>
            </c:spPr>
            <c:extLst>
              <c:ext xmlns:c16="http://schemas.microsoft.com/office/drawing/2014/chart" uri="{C3380CC4-5D6E-409C-BE32-E72D297353CC}">
                <c16:uniqueId val="{00000046-D0C9-A546-8538-C2E8F7E25F5B}"/>
              </c:ext>
            </c:extLst>
          </c:dPt>
          <c:dPt>
            <c:idx val="37"/>
            <c:invertIfNegative val="0"/>
            <c:bubble3D val="0"/>
            <c:spPr>
              <a:solidFill>
                <a:schemeClr val="accent2">
                  <a:lumMod val="75000"/>
                </a:schemeClr>
              </a:solidFill>
              <a:ln>
                <a:noFill/>
              </a:ln>
              <a:effectLst/>
            </c:spPr>
            <c:extLst>
              <c:ext xmlns:c16="http://schemas.microsoft.com/office/drawing/2014/chart" uri="{C3380CC4-5D6E-409C-BE32-E72D297353CC}">
                <c16:uniqueId val="{0000002A-D0C9-A546-8538-C2E8F7E25F5B}"/>
              </c:ext>
            </c:extLst>
          </c:dPt>
          <c:dPt>
            <c:idx val="38"/>
            <c:invertIfNegative val="0"/>
            <c:bubble3D val="0"/>
            <c:spPr>
              <a:solidFill>
                <a:schemeClr val="accent1">
                  <a:lumMod val="75000"/>
                </a:schemeClr>
              </a:solidFill>
              <a:ln>
                <a:noFill/>
              </a:ln>
              <a:effectLst/>
            </c:spPr>
            <c:extLst>
              <c:ext xmlns:c16="http://schemas.microsoft.com/office/drawing/2014/chart" uri="{C3380CC4-5D6E-409C-BE32-E72D297353CC}">
                <c16:uniqueId val="{00000045-D0C9-A546-8538-C2E8F7E25F5B}"/>
              </c:ext>
            </c:extLst>
          </c:dPt>
          <c:dPt>
            <c:idx val="41"/>
            <c:invertIfNegative val="0"/>
            <c:bubble3D val="0"/>
            <c:spPr>
              <a:solidFill>
                <a:schemeClr val="accent2">
                  <a:lumMod val="75000"/>
                </a:schemeClr>
              </a:solidFill>
              <a:ln>
                <a:noFill/>
              </a:ln>
              <a:effectLst/>
            </c:spPr>
            <c:extLst>
              <c:ext xmlns:c16="http://schemas.microsoft.com/office/drawing/2014/chart" uri="{C3380CC4-5D6E-409C-BE32-E72D297353CC}">
                <c16:uniqueId val="{0000002B-D0C9-A546-8538-C2E8F7E25F5B}"/>
              </c:ext>
            </c:extLst>
          </c:dPt>
          <c:dPt>
            <c:idx val="42"/>
            <c:invertIfNegative val="0"/>
            <c:bubble3D val="0"/>
            <c:spPr>
              <a:solidFill>
                <a:schemeClr val="accent1">
                  <a:lumMod val="75000"/>
                </a:schemeClr>
              </a:solidFill>
              <a:ln>
                <a:noFill/>
              </a:ln>
              <a:effectLst/>
            </c:spPr>
            <c:extLst>
              <c:ext xmlns:c16="http://schemas.microsoft.com/office/drawing/2014/chart" uri="{C3380CC4-5D6E-409C-BE32-E72D297353CC}">
                <c16:uniqueId val="{00000044-D0C9-A546-8538-C2E8F7E25F5B}"/>
              </c:ext>
            </c:extLst>
          </c:dPt>
          <c:dPt>
            <c:idx val="45"/>
            <c:invertIfNegative val="0"/>
            <c:bubble3D val="0"/>
            <c:spPr>
              <a:solidFill>
                <a:schemeClr val="accent2">
                  <a:lumMod val="75000"/>
                </a:schemeClr>
              </a:solidFill>
              <a:ln>
                <a:noFill/>
              </a:ln>
              <a:effectLst/>
            </c:spPr>
            <c:extLst>
              <c:ext xmlns:c16="http://schemas.microsoft.com/office/drawing/2014/chart" uri="{C3380CC4-5D6E-409C-BE32-E72D297353CC}">
                <c16:uniqueId val="{0000002C-D0C9-A546-8538-C2E8F7E25F5B}"/>
              </c:ext>
            </c:extLst>
          </c:dPt>
          <c:dPt>
            <c:idx val="46"/>
            <c:invertIfNegative val="0"/>
            <c:bubble3D val="0"/>
            <c:spPr>
              <a:solidFill>
                <a:schemeClr val="accent1">
                  <a:lumMod val="75000"/>
                </a:schemeClr>
              </a:solidFill>
              <a:ln>
                <a:noFill/>
              </a:ln>
              <a:effectLst/>
            </c:spPr>
            <c:extLst>
              <c:ext xmlns:c16="http://schemas.microsoft.com/office/drawing/2014/chart" uri="{C3380CC4-5D6E-409C-BE32-E72D297353CC}">
                <c16:uniqueId val="{00000043-D0C9-A546-8538-C2E8F7E25F5B}"/>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Calculations!$O$55:$O$102</c:f>
              <c:numCache>
                <c:formatCode>_ * #,##0_ ;_ * \-#,##0_ ;_ * "-"??_ ;_ @_ </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71.279999999998836</c:v>
                </c:pt>
                <c:pt idx="42">
                  <c:v>0</c:v>
                </c:pt>
                <c:pt idx="44">
                  <c:v>339.39999999999964</c:v>
                </c:pt>
                <c:pt idx="45">
                  <c:v>775.5</c:v>
                </c:pt>
                <c:pt idx="46">
                  <c:v>6240</c:v>
                </c:pt>
              </c:numCache>
            </c:numRef>
          </c:val>
          <c:extLst>
            <c:ext xmlns:c16="http://schemas.microsoft.com/office/drawing/2014/chart" uri="{C3380CC4-5D6E-409C-BE32-E72D297353CC}">
              <c16:uniqueId val="{00000002-D0C9-A546-8538-C2E8F7E25F5B}"/>
            </c:ext>
          </c:extLst>
        </c:ser>
        <c:ser>
          <c:idx val="3"/>
          <c:order val="3"/>
          <c:spPr>
            <a:solidFill>
              <a:srgbClr val="E6E6E6"/>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Calculations!$P$55:$P$102</c:f>
              <c:numCache>
                <c:formatCode>_ * #,##0_ ;_ * \-#,##0_ ;_ * "-"??_ ;_ @_ </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03-D0C9-A546-8538-C2E8F7E25F5B}"/>
            </c:ext>
          </c:extLst>
        </c:ser>
        <c:ser>
          <c:idx val="4"/>
          <c:order val="4"/>
          <c:spPr>
            <a:solidFill>
              <a:srgbClr val="F0F0F0"/>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Calculations!$Q$55:$Q$102</c:f>
              <c:numCache>
                <c:formatCode>_ * #,##0_ ;_ * \-#,##0_ ;_ * "-"??_ ;_ @_ </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04-D0C9-A546-8538-C2E8F7E25F5B}"/>
            </c:ext>
          </c:extLst>
        </c:ser>
        <c:ser>
          <c:idx val="5"/>
          <c:order val="5"/>
          <c:spPr>
            <a:solidFill>
              <a:srgbClr val="DADADA"/>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Calculations!$R$55:$R$102</c:f>
              <c:numCache>
                <c:formatCode>_ * #,##0_ ;_ * \-#,##0_ ;_ * "-"??_ ;_ @_ </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05-D0C9-A546-8538-C2E8F7E25F5B}"/>
            </c:ext>
          </c:extLst>
        </c:ser>
        <c:dLbls>
          <c:showLegendKey val="0"/>
          <c:showVal val="0"/>
          <c:showCatName val="0"/>
          <c:showSerName val="0"/>
          <c:showPercent val="0"/>
          <c:showBubbleSize val="0"/>
        </c:dLbls>
        <c:gapWidth val="15"/>
        <c:overlap val="100"/>
        <c:axId val="461284975"/>
        <c:axId val="454582383"/>
      </c:barChart>
      <c:catAx>
        <c:axId val="461284975"/>
        <c:scaling>
          <c:orientation val="minMax"/>
        </c:scaling>
        <c:delete val="0"/>
        <c:axPos val="b"/>
        <c:numFmt formatCode="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454582383"/>
        <c:crosses val="autoZero"/>
        <c:auto val="0"/>
        <c:lblAlgn val="ctr"/>
        <c:lblOffset val="100"/>
        <c:noMultiLvlLbl val="0"/>
      </c:catAx>
      <c:valAx>
        <c:axId val="454582383"/>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4612849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31</xdr:col>
      <xdr:colOff>177800</xdr:colOff>
      <xdr:row>12</xdr:row>
      <xdr:rowOff>88900</xdr:rowOff>
    </xdr:from>
    <xdr:to>
      <xdr:col>34</xdr:col>
      <xdr:colOff>0</xdr:colOff>
      <xdr:row>14</xdr:row>
      <xdr:rowOff>50800</xdr:rowOff>
    </xdr:to>
    <xdr:sp macro="" textlink="">
      <xdr:nvSpPr>
        <xdr:cNvPr id="2" name="TextBox 1">
          <a:extLst>
            <a:ext uri="{FF2B5EF4-FFF2-40B4-BE49-F238E27FC236}">
              <a16:creationId xmlns:a16="http://schemas.microsoft.com/office/drawing/2014/main" id="{9FDC98D4-6E05-2E22-1760-937D3BB48B71}"/>
            </a:ext>
          </a:extLst>
        </xdr:cNvPr>
        <xdr:cNvSpPr txBox="1"/>
      </xdr:nvSpPr>
      <xdr:spPr>
        <a:xfrm>
          <a:off x="8293100" y="2806700"/>
          <a:ext cx="2489200" cy="368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3"/>
              </a:solidFill>
            </a:rPr>
            <a:t>Income</a:t>
          </a:r>
          <a:r>
            <a:rPr lang="en-GB" sz="1200" b="1">
              <a:solidFill>
                <a:schemeClr val="tx2"/>
              </a:solidFill>
            </a:rPr>
            <a:t> Categories (Tracked)</a:t>
          </a:r>
        </a:p>
      </xdr:txBody>
    </xdr:sp>
    <xdr:clientData/>
  </xdr:twoCellAnchor>
  <xdr:twoCellAnchor editAs="oneCell">
    <xdr:from>
      <xdr:col>31</xdr:col>
      <xdr:colOff>457200</xdr:colOff>
      <xdr:row>13</xdr:row>
      <xdr:rowOff>177800</xdr:rowOff>
    </xdr:from>
    <xdr:to>
      <xdr:col>32</xdr:col>
      <xdr:colOff>800100</xdr:colOff>
      <xdr:row>21</xdr:row>
      <xdr:rowOff>152400</xdr:rowOff>
    </xdr:to>
    <xdr:graphicFrame macro="">
      <xdr:nvGraphicFramePr>
        <xdr:cNvPr id="3" name="Chart 2">
          <a:extLst>
            <a:ext uri="{FF2B5EF4-FFF2-40B4-BE49-F238E27FC236}">
              <a16:creationId xmlns:a16="http://schemas.microsoft.com/office/drawing/2014/main" id="{D8631D42-B105-1D42-88B0-E39E7C1EF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177800</xdr:colOff>
      <xdr:row>25</xdr:row>
      <xdr:rowOff>88900</xdr:rowOff>
    </xdr:from>
    <xdr:to>
      <xdr:col>34</xdr:col>
      <xdr:colOff>0</xdr:colOff>
      <xdr:row>27</xdr:row>
      <xdr:rowOff>50800</xdr:rowOff>
    </xdr:to>
    <xdr:sp macro="" textlink="">
      <xdr:nvSpPr>
        <xdr:cNvPr id="4" name="TextBox 3">
          <a:extLst>
            <a:ext uri="{FF2B5EF4-FFF2-40B4-BE49-F238E27FC236}">
              <a16:creationId xmlns:a16="http://schemas.microsoft.com/office/drawing/2014/main" id="{1D29814D-F9ED-4242-BF41-EFCEDADD3EDB}"/>
            </a:ext>
          </a:extLst>
        </xdr:cNvPr>
        <xdr:cNvSpPr txBox="1"/>
      </xdr:nvSpPr>
      <xdr:spPr>
        <a:xfrm>
          <a:off x="8293100" y="2806700"/>
          <a:ext cx="2489200" cy="368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2"/>
              </a:solidFill>
            </a:rPr>
            <a:t>Expenses</a:t>
          </a:r>
          <a:r>
            <a:rPr lang="en-GB" sz="1200" b="1">
              <a:solidFill>
                <a:schemeClr val="tx2"/>
              </a:solidFill>
            </a:rPr>
            <a:t> Categories (Tracked)</a:t>
          </a:r>
        </a:p>
      </xdr:txBody>
    </xdr:sp>
    <xdr:clientData/>
  </xdr:twoCellAnchor>
  <xdr:oneCellAnchor>
    <xdr:from>
      <xdr:col>31</xdr:col>
      <xdr:colOff>457200</xdr:colOff>
      <xdr:row>26</xdr:row>
      <xdr:rowOff>177800</xdr:rowOff>
    </xdr:from>
    <xdr:ext cx="1600200" cy="1600200"/>
    <xdr:graphicFrame macro="">
      <xdr:nvGraphicFramePr>
        <xdr:cNvPr id="5" name="Chart 4">
          <a:extLst>
            <a:ext uri="{FF2B5EF4-FFF2-40B4-BE49-F238E27FC236}">
              <a16:creationId xmlns:a16="http://schemas.microsoft.com/office/drawing/2014/main" id="{D1B2303E-41D1-504C-9696-97B3BE3A1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twoCellAnchor>
    <xdr:from>
      <xdr:col>38</xdr:col>
      <xdr:colOff>177800</xdr:colOff>
      <xdr:row>25</xdr:row>
      <xdr:rowOff>88900</xdr:rowOff>
    </xdr:from>
    <xdr:to>
      <xdr:col>41</xdr:col>
      <xdr:colOff>0</xdr:colOff>
      <xdr:row>27</xdr:row>
      <xdr:rowOff>50800</xdr:rowOff>
    </xdr:to>
    <xdr:sp macro="" textlink="">
      <xdr:nvSpPr>
        <xdr:cNvPr id="6" name="TextBox 5">
          <a:extLst>
            <a:ext uri="{FF2B5EF4-FFF2-40B4-BE49-F238E27FC236}">
              <a16:creationId xmlns:a16="http://schemas.microsoft.com/office/drawing/2014/main" id="{F1251AB8-C2D4-7543-BF5D-682C0D813982}"/>
            </a:ext>
          </a:extLst>
        </xdr:cNvPr>
        <xdr:cNvSpPr txBox="1"/>
      </xdr:nvSpPr>
      <xdr:spPr>
        <a:xfrm>
          <a:off x="13817600" y="5448300"/>
          <a:ext cx="2489200" cy="368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1"/>
              </a:solidFill>
            </a:rPr>
            <a:t>Savings</a:t>
          </a:r>
          <a:r>
            <a:rPr lang="en-GB" sz="1200" b="1">
              <a:solidFill>
                <a:schemeClr val="tx2"/>
              </a:solidFill>
            </a:rPr>
            <a:t> Categories (Tracked)</a:t>
          </a:r>
        </a:p>
      </xdr:txBody>
    </xdr:sp>
    <xdr:clientData/>
  </xdr:twoCellAnchor>
  <xdr:oneCellAnchor>
    <xdr:from>
      <xdr:col>38</xdr:col>
      <xdr:colOff>457200</xdr:colOff>
      <xdr:row>26</xdr:row>
      <xdr:rowOff>177800</xdr:rowOff>
    </xdr:from>
    <xdr:ext cx="1600200" cy="1600200"/>
    <xdr:graphicFrame macro="">
      <xdr:nvGraphicFramePr>
        <xdr:cNvPr id="7" name="Chart 6">
          <a:extLst>
            <a:ext uri="{FF2B5EF4-FFF2-40B4-BE49-F238E27FC236}">
              <a16:creationId xmlns:a16="http://schemas.microsoft.com/office/drawing/2014/main" id="{DCE3D910-38D9-4E41-AACE-07D79F19B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xdr:from>
      <xdr:col>38</xdr:col>
      <xdr:colOff>177800</xdr:colOff>
      <xdr:row>12</xdr:row>
      <xdr:rowOff>88900</xdr:rowOff>
    </xdr:from>
    <xdr:to>
      <xdr:col>41</xdr:col>
      <xdr:colOff>0</xdr:colOff>
      <xdr:row>14</xdr:row>
      <xdr:rowOff>50800</xdr:rowOff>
    </xdr:to>
    <xdr:sp macro="" textlink="">
      <xdr:nvSpPr>
        <xdr:cNvPr id="8" name="TextBox 7">
          <a:extLst>
            <a:ext uri="{FF2B5EF4-FFF2-40B4-BE49-F238E27FC236}">
              <a16:creationId xmlns:a16="http://schemas.microsoft.com/office/drawing/2014/main" id="{A747D1DB-92C3-F34A-AFF7-F66E19F02BE3}"/>
            </a:ext>
          </a:extLst>
        </xdr:cNvPr>
        <xdr:cNvSpPr txBox="1"/>
      </xdr:nvSpPr>
      <xdr:spPr>
        <a:xfrm>
          <a:off x="13817600" y="2806700"/>
          <a:ext cx="2489200" cy="368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ysClr val="windowText" lastClr="000000"/>
              </a:solidFill>
            </a:rPr>
            <a:t>Tracked (vs. Budget)</a:t>
          </a:r>
        </a:p>
      </xdr:txBody>
    </xdr:sp>
    <xdr:clientData/>
  </xdr:twoCellAnchor>
  <xdr:twoCellAnchor>
    <xdr:from>
      <xdr:col>38</xdr:col>
      <xdr:colOff>571501</xdr:colOff>
      <xdr:row>14</xdr:row>
      <xdr:rowOff>139700</xdr:rowOff>
    </xdr:from>
    <xdr:to>
      <xdr:col>42</xdr:col>
      <xdr:colOff>480061</xdr:colOff>
      <xdr:row>22</xdr:row>
      <xdr:rowOff>160020</xdr:rowOff>
    </xdr:to>
    <xdr:graphicFrame macro="">
      <xdr:nvGraphicFramePr>
        <xdr:cNvPr id="9" name="Chart 8">
          <a:extLst>
            <a:ext uri="{FF2B5EF4-FFF2-40B4-BE49-F238E27FC236}">
              <a16:creationId xmlns:a16="http://schemas.microsoft.com/office/drawing/2014/main" id="{E681A213-39E1-D443-8319-D68BCAA34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44</xdr:col>
      <xdr:colOff>241300</xdr:colOff>
      <xdr:row>6</xdr:row>
      <xdr:rowOff>63501</xdr:rowOff>
    </xdr:from>
    <xdr:to>
      <xdr:col>60</xdr:col>
      <xdr:colOff>704293</xdr:colOff>
      <xdr:row>37</xdr:row>
      <xdr:rowOff>12700</xdr:rowOff>
    </xdr:to>
    <xdr:graphicFrame macro="">
      <xdr:nvGraphicFramePr>
        <xdr:cNvPr id="13" name="Chart 12">
          <a:extLst>
            <a:ext uri="{FF2B5EF4-FFF2-40B4-BE49-F238E27FC236}">
              <a16:creationId xmlns:a16="http://schemas.microsoft.com/office/drawing/2014/main" id="{48E0D503-9012-1D4F-979C-D4637527E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61</xdr:col>
      <xdr:colOff>89279</xdr:colOff>
      <xdr:row>6</xdr:row>
      <xdr:rowOff>177988</xdr:rowOff>
    </xdr:from>
    <xdr:to>
      <xdr:col>67</xdr:col>
      <xdr:colOff>137235</xdr:colOff>
      <xdr:row>33</xdr:row>
      <xdr:rowOff>145197</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DC683DE9-CCC2-98D8-35C2-830B5B8EDB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601279" y="1676588"/>
              <a:ext cx="5000956" cy="54536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25400</xdr:colOff>
      <xdr:row>5</xdr:row>
      <xdr:rowOff>63500</xdr:rowOff>
    </xdr:from>
    <xdr:to>
      <xdr:col>3</xdr:col>
      <xdr:colOff>408940</xdr:colOff>
      <xdr:row>9</xdr:row>
      <xdr:rowOff>73660</xdr:rowOff>
    </xdr:to>
    <xdr:grpSp>
      <xdr:nvGrpSpPr>
        <xdr:cNvPr id="18" name="Group 17">
          <a:extLst>
            <a:ext uri="{FF2B5EF4-FFF2-40B4-BE49-F238E27FC236}">
              <a16:creationId xmlns:a16="http://schemas.microsoft.com/office/drawing/2014/main" id="{5778FBA8-C16A-F07B-CD4A-1AA1DAEC3952}"/>
            </a:ext>
          </a:extLst>
        </xdr:cNvPr>
        <xdr:cNvGrpSpPr/>
      </xdr:nvGrpSpPr>
      <xdr:grpSpPr>
        <a:xfrm>
          <a:off x="1231900" y="1358900"/>
          <a:ext cx="1463040" cy="822960"/>
          <a:chOff x="1231900" y="1358900"/>
          <a:chExt cx="1463040" cy="822960"/>
        </a:xfrm>
      </xdr:grpSpPr>
      <xdr:sp macro="" textlink="">
        <xdr:nvSpPr>
          <xdr:cNvPr id="2" name="Rounded Rectangle 1">
            <a:extLst>
              <a:ext uri="{FF2B5EF4-FFF2-40B4-BE49-F238E27FC236}">
                <a16:creationId xmlns:a16="http://schemas.microsoft.com/office/drawing/2014/main" id="{DDB4206E-B4CF-5511-FA3D-BC5B6AB2743B}"/>
              </a:ext>
            </a:extLst>
          </xdr:cNvPr>
          <xdr:cNvSpPr/>
        </xdr:nvSpPr>
        <xdr:spPr>
          <a:xfrm>
            <a:off x="1231900" y="1358900"/>
            <a:ext cx="1463040" cy="822960"/>
          </a:xfrm>
          <a:prstGeom prst="roundRect">
            <a:avLst>
              <a:gd name="adj" fmla="val 7408"/>
            </a:avLst>
          </a:prstGeom>
          <a:solidFill>
            <a:schemeClr val="bg1"/>
          </a:solidFill>
          <a:ln w="6350">
            <a:solidFill>
              <a:schemeClr val="bg1">
                <a:lumMod val="85000"/>
              </a:schemeClr>
            </a:solidFill>
          </a:ln>
          <a:effectLst>
            <a:outerShdw blurRad="825500" dist="127000" dir="5400000" sx="95000" sy="95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 name="TextBox 2">
            <a:extLst>
              <a:ext uri="{FF2B5EF4-FFF2-40B4-BE49-F238E27FC236}">
                <a16:creationId xmlns:a16="http://schemas.microsoft.com/office/drawing/2014/main" id="{C24F216D-20FA-AFB3-AAC0-D20E2F88DB3E}"/>
              </a:ext>
            </a:extLst>
          </xdr:cNvPr>
          <xdr:cNvSpPr txBox="1"/>
        </xdr:nvSpPr>
        <xdr:spPr>
          <a:xfrm>
            <a:off x="1282700" y="1409700"/>
            <a:ext cx="1219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tx2"/>
                </a:solidFill>
              </a:rPr>
              <a:t>Date of Today </a:t>
            </a:r>
          </a:p>
        </xdr:txBody>
      </xdr:sp>
      <xdr:sp macro="" textlink="Calculations!E8">
        <xdr:nvSpPr>
          <xdr:cNvPr id="4" name="TextBox 3">
            <a:extLst>
              <a:ext uri="{FF2B5EF4-FFF2-40B4-BE49-F238E27FC236}">
                <a16:creationId xmlns:a16="http://schemas.microsoft.com/office/drawing/2014/main" id="{019C3CC0-2338-E048-9389-13BC389E72FE}"/>
              </a:ext>
            </a:extLst>
          </xdr:cNvPr>
          <xdr:cNvSpPr txBox="1"/>
        </xdr:nvSpPr>
        <xdr:spPr>
          <a:xfrm>
            <a:off x="1282700" y="1651000"/>
            <a:ext cx="10287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6BE114-2796-9E48-AEDB-4CB2FC624DF3}" type="TxLink">
              <a:rPr lang="en-US" sz="1100" b="1" i="0" u="none" strike="noStrike">
                <a:solidFill>
                  <a:srgbClr val="000000"/>
                </a:solidFill>
                <a:latin typeface="Aptos Narrow"/>
              </a:rPr>
              <a:pPr/>
              <a:t>16-Jan-26</a:t>
            </a:fld>
            <a:endParaRPr lang="en-GB" sz="1050" b="1">
              <a:solidFill>
                <a:schemeClr val="tx2"/>
              </a:solidFill>
            </a:endParaRPr>
          </a:p>
        </xdr:txBody>
      </xdr:sp>
    </xdr:grpSp>
    <xdr:clientData/>
  </xdr:twoCellAnchor>
  <xdr:twoCellAnchor editAs="absolute">
    <xdr:from>
      <xdr:col>3</xdr:col>
      <xdr:colOff>725593</xdr:colOff>
      <xdr:row>5</xdr:row>
      <xdr:rowOff>63500</xdr:rowOff>
    </xdr:from>
    <xdr:to>
      <xdr:col>4</xdr:col>
      <xdr:colOff>1932093</xdr:colOff>
      <xdr:row>9</xdr:row>
      <xdr:rowOff>73660</xdr:rowOff>
    </xdr:to>
    <xdr:grpSp>
      <xdr:nvGrpSpPr>
        <xdr:cNvPr id="19" name="Group 18">
          <a:extLst>
            <a:ext uri="{FF2B5EF4-FFF2-40B4-BE49-F238E27FC236}">
              <a16:creationId xmlns:a16="http://schemas.microsoft.com/office/drawing/2014/main" id="{86FF6701-759C-DAC0-757E-A83A64F8DD64}"/>
            </a:ext>
          </a:extLst>
        </xdr:cNvPr>
        <xdr:cNvGrpSpPr/>
      </xdr:nvGrpSpPr>
      <xdr:grpSpPr>
        <a:xfrm>
          <a:off x="3011593" y="1358900"/>
          <a:ext cx="2286000" cy="822960"/>
          <a:chOff x="2908300" y="1358900"/>
          <a:chExt cx="2286000" cy="822960"/>
        </a:xfrm>
      </xdr:grpSpPr>
      <xdr:sp macro="" textlink="">
        <xdr:nvSpPr>
          <xdr:cNvPr id="6" name="Rounded Rectangle 5">
            <a:extLst>
              <a:ext uri="{FF2B5EF4-FFF2-40B4-BE49-F238E27FC236}">
                <a16:creationId xmlns:a16="http://schemas.microsoft.com/office/drawing/2014/main" id="{A90D5440-3AC9-AA4E-8988-80545505A470}"/>
              </a:ext>
            </a:extLst>
          </xdr:cNvPr>
          <xdr:cNvSpPr/>
        </xdr:nvSpPr>
        <xdr:spPr>
          <a:xfrm>
            <a:off x="2908300" y="1358900"/>
            <a:ext cx="2286000" cy="822960"/>
          </a:xfrm>
          <a:prstGeom prst="roundRect">
            <a:avLst>
              <a:gd name="adj" fmla="val 7408"/>
            </a:avLst>
          </a:prstGeom>
          <a:solidFill>
            <a:schemeClr val="bg1"/>
          </a:solidFill>
          <a:ln w="6350">
            <a:solidFill>
              <a:schemeClr val="bg1">
                <a:lumMod val="85000"/>
              </a:schemeClr>
            </a:solidFill>
          </a:ln>
          <a:effectLst>
            <a:outerShdw blurRad="825500" dist="127000" dir="5400000" sx="95000" sy="95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C17B38C8-A096-8A4B-A041-54EDDCBBE396}"/>
              </a:ext>
            </a:extLst>
          </xdr:cNvPr>
          <xdr:cNvSpPr txBox="1"/>
        </xdr:nvSpPr>
        <xdr:spPr>
          <a:xfrm>
            <a:off x="2959100" y="1409700"/>
            <a:ext cx="16637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tx2"/>
                </a:solidFill>
              </a:rPr>
              <a:t>Date of Last</a:t>
            </a:r>
            <a:r>
              <a:rPr lang="en-GB" sz="1200" b="1" baseline="0">
                <a:solidFill>
                  <a:schemeClr val="tx2"/>
                </a:solidFill>
              </a:rPr>
              <a:t> Record</a:t>
            </a:r>
            <a:endParaRPr lang="en-GB" sz="1200" b="1">
              <a:solidFill>
                <a:schemeClr val="tx2"/>
              </a:solidFill>
            </a:endParaRPr>
          </a:p>
        </xdr:txBody>
      </xdr:sp>
      <xdr:sp macro="" textlink="Calculations!E9">
        <xdr:nvSpPr>
          <xdr:cNvPr id="8" name="TextBox 7">
            <a:extLst>
              <a:ext uri="{FF2B5EF4-FFF2-40B4-BE49-F238E27FC236}">
                <a16:creationId xmlns:a16="http://schemas.microsoft.com/office/drawing/2014/main" id="{8EB0ED37-5EC9-2748-ABB4-D4A7E620EFD9}"/>
              </a:ext>
            </a:extLst>
          </xdr:cNvPr>
          <xdr:cNvSpPr txBox="1"/>
        </xdr:nvSpPr>
        <xdr:spPr>
          <a:xfrm>
            <a:off x="2959100" y="1651000"/>
            <a:ext cx="10287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44D89B-C69C-5F4F-AB60-01CAA1935E01}" type="TxLink">
              <a:rPr lang="en-US" sz="1100" b="1" i="0" u="none" strike="noStrike">
                <a:solidFill>
                  <a:srgbClr val="000000"/>
                </a:solidFill>
                <a:latin typeface="Aptos Narrow"/>
              </a:rPr>
              <a:pPr/>
              <a:t>31-Dec-25</a:t>
            </a:fld>
            <a:endParaRPr lang="en-GB" sz="1050" b="1">
              <a:solidFill>
                <a:schemeClr val="tx2"/>
              </a:solidFill>
            </a:endParaRPr>
          </a:p>
        </xdr:txBody>
      </xdr:sp>
      <xdr:sp macro="" textlink="Calculations!E10">
        <xdr:nvSpPr>
          <xdr:cNvPr id="9" name="TextBox 8">
            <a:extLst>
              <a:ext uri="{FF2B5EF4-FFF2-40B4-BE49-F238E27FC236}">
                <a16:creationId xmlns:a16="http://schemas.microsoft.com/office/drawing/2014/main" id="{5AEDDA23-F9A7-1947-A2D2-4559619C514B}"/>
              </a:ext>
            </a:extLst>
          </xdr:cNvPr>
          <xdr:cNvSpPr txBox="1"/>
        </xdr:nvSpPr>
        <xdr:spPr>
          <a:xfrm>
            <a:off x="3695700" y="1651000"/>
            <a:ext cx="10287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9F4FA5-E0A2-0043-B90F-69C8470D92F7}" type="TxLink">
              <a:rPr lang="en-US" sz="1000" b="0" i="0" u="none" strike="noStrike">
                <a:solidFill>
                  <a:srgbClr val="000000"/>
                </a:solidFill>
                <a:latin typeface="Aptos Narrow"/>
              </a:rPr>
              <a:pPr/>
              <a:t>(16 days ago)</a:t>
            </a:fld>
            <a:endParaRPr lang="en-GB" sz="900" b="1">
              <a:solidFill>
                <a:schemeClr val="tx2"/>
              </a:solidFill>
            </a:endParaRPr>
          </a:p>
        </xdr:txBody>
      </xdr:sp>
    </xdr:grpSp>
    <xdr:clientData/>
  </xdr:twoCellAnchor>
  <xdr:twoCellAnchor editAs="absolute">
    <xdr:from>
      <xdr:col>4</xdr:col>
      <xdr:colOff>2248746</xdr:colOff>
      <xdr:row>5</xdr:row>
      <xdr:rowOff>63500</xdr:rowOff>
    </xdr:from>
    <xdr:to>
      <xdr:col>6</xdr:col>
      <xdr:colOff>800946</xdr:colOff>
      <xdr:row>9</xdr:row>
      <xdr:rowOff>73660</xdr:rowOff>
    </xdr:to>
    <xdr:grpSp>
      <xdr:nvGrpSpPr>
        <xdr:cNvPr id="20" name="Group 19">
          <a:extLst>
            <a:ext uri="{FF2B5EF4-FFF2-40B4-BE49-F238E27FC236}">
              <a16:creationId xmlns:a16="http://schemas.microsoft.com/office/drawing/2014/main" id="{932EAB9E-912B-447B-E99A-423090C61884}"/>
            </a:ext>
          </a:extLst>
        </xdr:cNvPr>
        <xdr:cNvGrpSpPr/>
      </xdr:nvGrpSpPr>
      <xdr:grpSpPr>
        <a:xfrm>
          <a:off x="5614246" y="1358900"/>
          <a:ext cx="2286000" cy="822960"/>
          <a:chOff x="5588000" y="1358900"/>
          <a:chExt cx="2286000" cy="822960"/>
        </a:xfrm>
      </xdr:grpSpPr>
      <xdr:sp macro="" textlink="">
        <xdr:nvSpPr>
          <xdr:cNvPr id="10" name="Rounded Rectangle 9">
            <a:extLst>
              <a:ext uri="{FF2B5EF4-FFF2-40B4-BE49-F238E27FC236}">
                <a16:creationId xmlns:a16="http://schemas.microsoft.com/office/drawing/2014/main" id="{DCFD779B-E097-1E45-B5BA-B7BAEAD39795}"/>
              </a:ext>
            </a:extLst>
          </xdr:cNvPr>
          <xdr:cNvSpPr/>
        </xdr:nvSpPr>
        <xdr:spPr>
          <a:xfrm>
            <a:off x="5588000" y="1358900"/>
            <a:ext cx="2286000" cy="822960"/>
          </a:xfrm>
          <a:prstGeom prst="roundRect">
            <a:avLst>
              <a:gd name="adj" fmla="val 7408"/>
            </a:avLst>
          </a:prstGeom>
          <a:solidFill>
            <a:schemeClr val="bg1"/>
          </a:solidFill>
          <a:ln w="6350">
            <a:solidFill>
              <a:schemeClr val="bg1">
                <a:lumMod val="85000"/>
              </a:schemeClr>
            </a:solidFill>
          </a:ln>
          <a:effectLst>
            <a:outerShdw blurRad="825500" dist="127000" dir="5400000" sx="95000" sy="95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TextBox 10">
            <a:extLst>
              <a:ext uri="{FF2B5EF4-FFF2-40B4-BE49-F238E27FC236}">
                <a16:creationId xmlns:a16="http://schemas.microsoft.com/office/drawing/2014/main" id="{15076CCC-F9A5-394D-A315-5448A081D7F8}"/>
              </a:ext>
            </a:extLst>
          </xdr:cNvPr>
          <xdr:cNvSpPr txBox="1"/>
        </xdr:nvSpPr>
        <xdr:spPr>
          <a:xfrm>
            <a:off x="5638800" y="1409700"/>
            <a:ext cx="16637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tx2"/>
                </a:solidFill>
              </a:rPr>
              <a:t>N°</a:t>
            </a:r>
            <a:r>
              <a:rPr lang="en-GB" sz="1200" b="1" baseline="0">
                <a:solidFill>
                  <a:schemeClr val="tx2"/>
                </a:solidFill>
              </a:rPr>
              <a:t> of Tracked Records</a:t>
            </a:r>
            <a:endParaRPr lang="en-GB" sz="1200" b="1">
              <a:solidFill>
                <a:schemeClr val="tx2"/>
              </a:solidFill>
            </a:endParaRPr>
          </a:p>
        </xdr:txBody>
      </xdr:sp>
      <xdr:sp macro="" textlink="Calculations!E11">
        <xdr:nvSpPr>
          <xdr:cNvPr id="12" name="TextBox 11">
            <a:extLst>
              <a:ext uri="{FF2B5EF4-FFF2-40B4-BE49-F238E27FC236}">
                <a16:creationId xmlns:a16="http://schemas.microsoft.com/office/drawing/2014/main" id="{CF86123C-2141-E143-AAB0-CE9BA73CCDBB}"/>
              </a:ext>
            </a:extLst>
          </xdr:cNvPr>
          <xdr:cNvSpPr txBox="1"/>
        </xdr:nvSpPr>
        <xdr:spPr>
          <a:xfrm>
            <a:off x="5638800" y="1651000"/>
            <a:ext cx="5080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8F90A6-62CB-D34C-A8BB-303F3609F7AC}" type="TxLink">
              <a:rPr lang="en-US" sz="1100" b="1" i="0" u="none" strike="noStrike">
                <a:solidFill>
                  <a:srgbClr val="000000"/>
                </a:solidFill>
                <a:latin typeface="Aptos Narrow"/>
              </a:rPr>
              <a:pPr/>
              <a:t>530</a:t>
            </a:fld>
            <a:endParaRPr lang="en-GB" sz="1050" b="1">
              <a:solidFill>
                <a:schemeClr val="tx2"/>
              </a:solidFill>
            </a:endParaRPr>
          </a:p>
        </xdr:txBody>
      </xdr:sp>
      <xdr:sp macro="" textlink="Calculations!E12">
        <xdr:nvSpPr>
          <xdr:cNvPr id="13" name="TextBox 12">
            <a:extLst>
              <a:ext uri="{FF2B5EF4-FFF2-40B4-BE49-F238E27FC236}">
                <a16:creationId xmlns:a16="http://schemas.microsoft.com/office/drawing/2014/main" id="{0FAA6009-C80A-C64B-91D6-267C46A45C69}"/>
              </a:ext>
            </a:extLst>
          </xdr:cNvPr>
          <xdr:cNvSpPr txBox="1"/>
        </xdr:nvSpPr>
        <xdr:spPr>
          <a:xfrm>
            <a:off x="5918200" y="1651000"/>
            <a:ext cx="10287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E25529-E9FF-0146-BC2C-078474BC06EB}" type="TxLink">
              <a:rPr lang="en-US" sz="1000" b="0" i="0" u="none" strike="noStrike">
                <a:solidFill>
                  <a:srgbClr val="000000"/>
                </a:solidFill>
                <a:latin typeface="Aptos Narrow"/>
              </a:rPr>
              <a:pPr/>
              <a:t>(530 this year)</a:t>
            </a:fld>
            <a:endParaRPr lang="en-GB" sz="600" b="1">
              <a:solidFill>
                <a:schemeClr val="tx2"/>
              </a:solidFill>
            </a:endParaRPr>
          </a:p>
        </xdr:txBody>
      </xdr:sp>
    </xdr:grpSp>
    <xdr:clientData/>
  </xdr:twoCellAnchor>
  <xdr:twoCellAnchor editAs="absolute">
    <xdr:from>
      <xdr:col>6</xdr:col>
      <xdr:colOff>1117600</xdr:colOff>
      <xdr:row>5</xdr:row>
      <xdr:rowOff>63500</xdr:rowOff>
    </xdr:from>
    <xdr:to>
      <xdr:col>6</xdr:col>
      <xdr:colOff>4597400</xdr:colOff>
      <xdr:row>9</xdr:row>
      <xdr:rowOff>73660</xdr:rowOff>
    </xdr:to>
    <xdr:grpSp>
      <xdr:nvGrpSpPr>
        <xdr:cNvPr id="21" name="Group 20">
          <a:extLst>
            <a:ext uri="{FF2B5EF4-FFF2-40B4-BE49-F238E27FC236}">
              <a16:creationId xmlns:a16="http://schemas.microsoft.com/office/drawing/2014/main" id="{5BE857F6-E74E-064E-DA8F-E25E27FC40E8}"/>
            </a:ext>
          </a:extLst>
        </xdr:cNvPr>
        <xdr:cNvGrpSpPr/>
      </xdr:nvGrpSpPr>
      <xdr:grpSpPr>
        <a:xfrm>
          <a:off x="8216900" y="1358900"/>
          <a:ext cx="3479800" cy="822960"/>
          <a:chOff x="8216900" y="1358900"/>
          <a:chExt cx="3479800" cy="822960"/>
        </a:xfrm>
      </xdr:grpSpPr>
      <xdr:sp macro="" textlink="">
        <xdr:nvSpPr>
          <xdr:cNvPr id="14" name="Rounded Rectangle 13">
            <a:extLst>
              <a:ext uri="{FF2B5EF4-FFF2-40B4-BE49-F238E27FC236}">
                <a16:creationId xmlns:a16="http://schemas.microsoft.com/office/drawing/2014/main" id="{8CFFF5C1-B75D-874C-AEC8-C2419E0E950C}"/>
              </a:ext>
            </a:extLst>
          </xdr:cNvPr>
          <xdr:cNvSpPr/>
        </xdr:nvSpPr>
        <xdr:spPr>
          <a:xfrm>
            <a:off x="8216900" y="1358900"/>
            <a:ext cx="3111500" cy="822960"/>
          </a:xfrm>
          <a:prstGeom prst="roundRect">
            <a:avLst>
              <a:gd name="adj" fmla="val 7408"/>
            </a:avLst>
          </a:prstGeom>
          <a:solidFill>
            <a:schemeClr val="bg1"/>
          </a:solidFill>
          <a:ln w="6350">
            <a:solidFill>
              <a:schemeClr val="bg1">
                <a:lumMod val="85000"/>
              </a:schemeClr>
            </a:solidFill>
          </a:ln>
          <a:effectLst>
            <a:outerShdw blurRad="825500" dist="127000" dir="5400000" sx="95000" sy="95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5" name="TextBox 14">
            <a:extLst>
              <a:ext uri="{FF2B5EF4-FFF2-40B4-BE49-F238E27FC236}">
                <a16:creationId xmlns:a16="http://schemas.microsoft.com/office/drawing/2014/main" id="{1A5C5F9B-8293-FF40-A1FB-79FA9C69EDAF}"/>
              </a:ext>
            </a:extLst>
          </xdr:cNvPr>
          <xdr:cNvSpPr txBox="1"/>
        </xdr:nvSpPr>
        <xdr:spPr>
          <a:xfrm>
            <a:off x="8267700" y="1409700"/>
            <a:ext cx="16637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tx2"/>
                </a:solidFill>
              </a:rPr>
              <a:t>Total TrackingBalance Balances</a:t>
            </a:r>
          </a:p>
        </xdr:txBody>
      </xdr:sp>
      <xdr:sp macro="" textlink="Calculations!E13">
        <xdr:nvSpPr>
          <xdr:cNvPr id="16" name="TextBox 15">
            <a:extLst>
              <a:ext uri="{FF2B5EF4-FFF2-40B4-BE49-F238E27FC236}">
                <a16:creationId xmlns:a16="http://schemas.microsoft.com/office/drawing/2014/main" id="{75D7E206-EE9D-EA49-8493-8D02D714593B}"/>
              </a:ext>
            </a:extLst>
          </xdr:cNvPr>
          <xdr:cNvSpPr txBox="1"/>
        </xdr:nvSpPr>
        <xdr:spPr>
          <a:xfrm>
            <a:off x="8267700" y="1651000"/>
            <a:ext cx="8763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2A0473-E3E6-0945-8DE2-294831386302}" type="TxLink">
              <a:rPr lang="en-US" sz="1100" b="0" i="0" u="none" strike="noStrike">
                <a:solidFill>
                  <a:srgbClr val="000000"/>
                </a:solidFill>
                <a:latin typeface="Aptos Narrow"/>
              </a:rPr>
              <a:pPr/>
              <a:t> 11'939 </a:t>
            </a:fld>
            <a:endParaRPr lang="en-GB" sz="1000" b="1">
              <a:solidFill>
                <a:schemeClr val="tx2"/>
              </a:solidFill>
            </a:endParaRPr>
          </a:p>
        </xdr:txBody>
      </xdr:sp>
      <xdr:sp macro="" textlink="Calculations!E14">
        <xdr:nvSpPr>
          <xdr:cNvPr id="17" name="TextBox 16">
            <a:extLst>
              <a:ext uri="{FF2B5EF4-FFF2-40B4-BE49-F238E27FC236}">
                <a16:creationId xmlns:a16="http://schemas.microsoft.com/office/drawing/2014/main" id="{7F683711-E47F-A84D-B200-5417638F78F1}"/>
              </a:ext>
            </a:extLst>
          </xdr:cNvPr>
          <xdr:cNvSpPr txBox="1"/>
        </xdr:nvSpPr>
        <xdr:spPr>
          <a:xfrm>
            <a:off x="8788400" y="1651000"/>
            <a:ext cx="2908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F82152-8868-3A45-AC4B-5AAA5B62EDF0}" type="TxLink">
              <a:rPr lang="en-US" sz="1000" b="0" i="0" u="none" strike="noStrike">
                <a:solidFill>
                  <a:srgbClr val="000000"/>
                </a:solidFill>
                <a:latin typeface="Aptos Narrow"/>
              </a:rPr>
              <a:pPr/>
              <a:t>of tracked income left to be allocated</a:t>
            </a:fld>
            <a:endParaRPr lang="en-GB" sz="300" b="1">
              <a:solidFill>
                <a:schemeClr val="tx2"/>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246944</xdr:colOff>
      <xdr:row>60</xdr:row>
      <xdr:rowOff>142286</xdr:rowOff>
    </xdr:from>
    <xdr:to>
      <xdr:col>24</xdr:col>
      <xdr:colOff>622065</xdr:colOff>
      <xdr:row>77</xdr:row>
      <xdr:rowOff>152869</xdr:rowOff>
    </xdr:to>
    <xdr:graphicFrame macro="">
      <xdr:nvGraphicFramePr>
        <xdr:cNvPr id="3" name="Chart 2">
          <a:extLst>
            <a:ext uri="{FF2B5EF4-FFF2-40B4-BE49-F238E27FC236}">
              <a16:creationId xmlns:a16="http://schemas.microsoft.com/office/drawing/2014/main" id="{9111E53A-5164-7DB4-FBF6-634FAC932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a Zosso " refreshedDate="46026.70784988426" createdVersion="8" refreshedVersion="8" minRefreshableVersion="3" recordCount="81" xr:uid="{703F9A89-A539-C547-B5E1-B02D72036736}">
  <cacheSource type="worksheet">
    <worksheetSource ref="B1:G1048576" sheet="Expenses_Agg"/>
  </cacheSource>
  <cacheFields count="8">
    <cacheField name="Year" numFmtId="0">
      <sharedItems containsString="0" containsBlank="1" containsNumber="1" containsInteger="1" minValue="2025" maxValue="2025"/>
    </cacheField>
    <cacheField name="Month" numFmtId="0">
      <sharedItems containsString="0" containsBlank="1" containsNumber="1" containsInteger="1" minValue="8" maxValue="12" count="6">
        <n v="8"/>
        <n v="9"/>
        <n v="10"/>
        <n v="11"/>
        <n v="12"/>
        <m/>
      </sharedItems>
    </cacheField>
    <cacheField name="Type" numFmtId="0">
      <sharedItems containsBlank="1"/>
    </cacheField>
    <cacheField name="Category" numFmtId="0">
      <sharedItems containsBlank="1" count="21">
        <s v="Digital Goods"/>
        <s v="Train"/>
        <s v="Restaurants"/>
        <s v="Car"/>
        <s v="Groceries"/>
        <s v="Wellbeing"/>
        <s v="Internet + Mobile"/>
        <s v="Health Insurance"/>
        <s v="Health Other"/>
        <s v="Housing"/>
        <s v="Debt"/>
        <s v="Extras"/>
        <s v="CC fees"/>
        <s v="Travel"/>
        <s v="Home Utils"/>
        <s v="Withdraw"/>
        <s v="Sport"/>
        <s v="Clothing"/>
        <s v="Rent Guarantee"/>
        <s v="Home Furnitures"/>
        <m/>
      </sharedItems>
    </cacheField>
    <cacheField name="Amount" numFmtId="0">
      <sharedItems containsString="0" containsBlank="1" containsNumber="1" minValue="1.5" maxValue="6240"/>
    </cacheField>
    <cacheField name="Budget" numFmtId="0">
      <sharedItems containsBlank="1" containsMixedTypes="1" containsNumber="1" minValue="0" maxValue="2000"/>
    </cacheField>
    <cacheField name="Diff %" numFmtId="0" formula=" (Amount-Budget)/Budget" databaseField="0"/>
    <cacheField name="Constant" numFmtId="0" formula=" 0" databaseField="0"/>
  </cacheFields>
  <extLst>
    <ext xmlns:x14="http://schemas.microsoft.com/office/spreadsheetml/2009/9/main" uri="{725AE2AE-9491-48be-B2B4-4EB974FC3084}">
      <x14:pivotCacheDefinition pivotCacheId="1369683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n v="2025"/>
    <x v="0"/>
    <s v="Expenses"/>
    <x v="0"/>
    <n v="83.6"/>
    <n v="200"/>
  </r>
  <r>
    <n v="2025"/>
    <x v="0"/>
    <s v="Expenses"/>
    <x v="1"/>
    <n v="163.79999999999998"/>
    <n v="160"/>
  </r>
  <r>
    <n v="2025"/>
    <x v="0"/>
    <s v="Expenses"/>
    <x v="2"/>
    <n v="555.79999999999995"/>
    <n v="600"/>
  </r>
  <r>
    <n v="2025"/>
    <x v="0"/>
    <s v="Expenses"/>
    <x v="3"/>
    <n v="59.81"/>
    <n v="50"/>
  </r>
  <r>
    <n v="2025"/>
    <x v="0"/>
    <s v="Expenses"/>
    <x v="4"/>
    <n v="389.54999999999995"/>
    <n v="500"/>
  </r>
  <r>
    <n v="2025"/>
    <x v="0"/>
    <s v="Expenses"/>
    <x v="5"/>
    <n v="10"/>
    <n v="200"/>
  </r>
  <r>
    <n v="2025"/>
    <x v="0"/>
    <s v="Expenses"/>
    <x v="6"/>
    <n v="77.849999999999994"/>
    <n v="80"/>
  </r>
  <r>
    <n v="2025"/>
    <x v="0"/>
    <s v="Expenses"/>
    <x v="7"/>
    <n v="501.35"/>
    <n v="501.35"/>
  </r>
  <r>
    <n v="2025"/>
    <x v="0"/>
    <s v="Expenses"/>
    <x v="8"/>
    <n v="18.100000000000001"/>
    <n v="100"/>
  </r>
  <r>
    <n v="2025"/>
    <x v="0"/>
    <s v="Expenses"/>
    <x v="9"/>
    <n v="1912"/>
    <n v="1912"/>
  </r>
  <r>
    <n v="2025"/>
    <x v="0"/>
    <s v="Expenses"/>
    <x v="10"/>
    <n v="1202"/>
    <n v="2000"/>
  </r>
  <r>
    <n v="2025"/>
    <x v="0"/>
    <s v="Expenses"/>
    <x v="11"/>
    <n v="50"/>
    <n v="200"/>
  </r>
  <r>
    <n v="2025"/>
    <x v="0"/>
    <s v="Expenses"/>
    <x v="12"/>
    <n v="15"/>
    <n v="15"/>
  </r>
  <r>
    <n v="2025"/>
    <x v="1"/>
    <s v="Expenses"/>
    <x v="4"/>
    <n v="233.80999999999992"/>
    <n v="500"/>
  </r>
  <r>
    <n v="2025"/>
    <x v="1"/>
    <s v="Expenses"/>
    <x v="1"/>
    <n v="151.29999999999998"/>
    <n v="160"/>
  </r>
  <r>
    <n v="2025"/>
    <x v="1"/>
    <s v="Expenses"/>
    <x v="0"/>
    <n v="204.42000000000002"/>
    <n v="200"/>
  </r>
  <r>
    <n v="2025"/>
    <x v="1"/>
    <s v="Expenses"/>
    <x v="2"/>
    <n v="558.63"/>
    <n v="600"/>
  </r>
  <r>
    <n v="2025"/>
    <x v="1"/>
    <s v="Expenses"/>
    <x v="7"/>
    <n v="501.35"/>
    <n v="501.35"/>
  </r>
  <r>
    <n v="2025"/>
    <x v="1"/>
    <s v="Expenses"/>
    <x v="8"/>
    <n v="21.15"/>
    <n v="100"/>
  </r>
  <r>
    <n v="2025"/>
    <x v="1"/>
    <s v="Expenses"/>
    <x v="13"/>
    <n v="150"/>
    <n v="400"/>
  </r>
  <r>
    <n v="2025"/>
    <x v="1"/>
    <s v="Expenses"/>
    <x v="14"/>
    <n v="116.1"/>
    <n v="35"/>
  </r>
  <r>
    <n v="2025"/>
    <x v="1"/>
    <s v="Expenses"/>
    <x v="11"/>
    <n v="40"/>
    <n v="200"/>
  </r>
  <r>
    <n v="2025"/>
    <x v="1"/>
    <s v="Expenses"/>
    <x v="15"/>
    <n v="150"/>
    <n v="20"/>
  </r>
  <r>
    <n v="2025"/>
    <x v="1"/>
    <s v="Expenses"/>
    <x v="16"/>
    <n v="28.9"/>
    <n v="100"/>
  </r>
  <r>
    <n v="2025"/>
    <x v="1"/>
    <s v="Expenses"/>
    <x v="3"/>
    <n v="2.85"/>
    <n v="50"/>
  </r>
  <r>
    <n v="2025"/>
    <x v="1"/>
    <s v="Expenses"/>
    <x v="5"/>
    <n v="209.7"/>
    <n v="200"/>
  </r>
  <r>
    <n v="2025"/>
    <x v="1"/>
    <s v="Expenses"/>
    <x v="9"/>
    <n v="1912"/>
    <n v="1912"/>
  </r>
  <r>
    <n v="2025"/>
    <x v="1"/>
    <s v="Expenses"/>
    <x v="10"/>
    <n v="554.85"/>
    <n v="2000"/>
  </r>
  <r>
    <n v="2025"/>
    <x v="1"/>
    <s v="Expenses"/>
    <x v="12"/>
    <n v="15"/>
    <n v="15"/>
  </r>
  <r>
    <n v="2025"/>
    <x v="2"/>
    <s v="Expenses"/>
    <x v="4"/>
    <n v="278.60000000000002"/>
    <n v="500"/>
  </r>
  <r>
    <n v="2025"/>
    <x v="2"/>
    <s v="Expenses"/>
    <x v="0"/>
    <n v="55"/>
    <n v="200"/>
  </r>
  <r>
    <n v="2025"/>
    <x v="2"/>
    <s v="Expenses"/>
    <x v="1"/>
    <n v="171.69999999999996"/>
    <n v="160"/>
  </r>
  <r>
    <n v="2025"/>
    <x v="2"/>
    <s v="Expenses"/>
    <x v="2"/>
    <n v="741.69999999999993"/>
    <n v="600"/>
  </r>
  <r>
    <n v="2025"/>
    <x v="2"/>
    <s v="Expenses"/>
    <x v="7"/>
    <n v="501.35"/>
    <n v="501.35"/>
  </r>
  <r>
    <n v="2025"/>
    <x v="2"/>
    <s v="Expenses"/>
    <x v="13"/>
    <n v="150"/>
    <n v="400"/>
  </r>
  <r>
    <n v="2025"/>
    <x v="2"/>
    <s v="Expenses"/>
    <x v="5"/>
    <n v="74.099999999999994"/>
    <n v="200"/>
  </r>
  <r>
    <n v="2025"/>
    <x v="2"/>
    <s v="Expenses"/>
    <x v="11"/>
    <n v="253.9"/>
    <n v="200"/>
  </r>
  <r>
    <n v="2025"/>
    <x v="2"/>
    <s v="Expenses"/>
    <x v="16"/>
    <n v="363.46000000000004"/>
    <n v="100"/>
  </r>
  <r>
    <n v="2025"/>
    <x v="2"/>
    <s v="Expenses"/>
    <x v="3"/>
    <n v="45.59"/>
    <n v="50"/>
  </r>
  <r>
    <n v="2025"/>
    <x v="2"/>
    <s v="Expenses"/>
    <x v="6"/>
    <n v="158.29999999999998"/>
    <n v="80"/>
  </r>
  <r>
    <n v="2025"/>
    <x v="2"/>
    <s v="Expenses"/>
    <x v="10"/>
    <n v="1000"/>
    <n v="2000"/>
  </r>
  <r>
    <n v="2025"/>
    <x v="2"/>
    <s v="Expenses"/>
    <x v="9"/>
    <n v="1912"/>
    <n v="1912"/>
  </r>
  <r>
    <n v="2025"/>
    <x v="2"/>
    <s v="Expenses"/>
    <x v="12"/>
    <n v="10"/>
    <n v="15"/>
  </r>
  <r>
    <n v="2025"/>
    <x v="3"/>
    <s v="Expenses"/>
    <x v="4"/>
    <n v="177.85000000000002"/>
    <n v="500"/>
  </r>
  <r>
    <n v="2025"/>
    <x v="3"/>
    <s v="Expenses"/>
    <x v="2"/>
    <n v="617.70000000000005"/>
    <n v="600"/>
  </r>
  <r>
    <n v="2025"/>
    <x v="3"/>
    <s v="Expenses"/>
    <x v="1"/>
    <n v="178.49999999999994"/>
    <n v="160"/>
  </r>
  <r>
    <n v="2025"/>
    <x v="3"/>
    <s v="Expenses"/>
    <x v="0"/>
    <n v="25.51"/>
    <n v="200"/>
  </r>
  <r>
    <n v="2025"/>
    <x v="3"/>
    <s v="Expenses"/>
    <x v="15"/>
    <n v="90"/>
    <n v="20"/>
  </r>
  <r>
    <n v="2025"/>
    <x v="3"/>
    <s v="Expenses"/>
    <x v="16"/>
    <n v="38"/>
    <n v="100"/>
  </r>
  <r>
    <n v="2025"/>
    <x v="3"/>
    <s v="Expenses"/>
    <x v="6"/>
    <n v="76.95"/>
    <n v="80"/>
  </r>
  <r>
    <n v="2025"/>
    <x v="3"/>
    <s v="Expenses"/>
    <x v="11"/>
    <n v="156"/>
    <n v="200"/>
  </r>
  <r>
    <n v="2025"/>
    <x v="3"/>
    <s v="Expenses"/>
    <x v="8"/>
    <n v="98.85"/>
    <n v="100"/>
  </r>
  <r>
    <n v="2025"/>
    <x v="3"/>
    <s v="Expenses"/>
    <x v="7"/>
    <n v="501.35"/>
    <n v="501.35"/>
  </r>
  <r>
    <n v="2025"/>
    <x v="3"/>
    <s v="Expenses"/>
    <x v="5"/>
    <n v="65"/>
    <n v="200"/>
  </r>
  <r>
    <n v="2025"/>
    <x v="3"/>
    <s v="Expenses"/>
    <x v="14"/>
    <n v="539.25"/>
    <n v="35"/>
  </r>
  <r>
    <n v="2025"/>
    <x v="3"/>
    <s v="Expenses"/>
    <x v="3"/>
    <n v="1.5"/>
    <n v="50"/>
  </r>
  <r>
    <n v="2025"/>
    <x v="3"/>
    <s v="Expenses"/>
    <x v="13"/>
    <n v="616.16999999999996"/>
    <n v="400"/>
  </r>
  <r>
    <n v="2025"/>
    <x v="3"/>
    <s v="Expenses"/>
    <x v="17"/>
    <n v="280"/>
    <n v="100"/>
  </r>
  <r>
    <n v="2025"/>
    <x v="3"/>
    <s v="Expenses"/>
    <x v="9"/>
    <n v="1912"/>
    <n v="1912"/>
  </r>
  <r>
    <n v="2025"/>
    <x v="3"/>
    <s v="Expenses"/>
    <x v="12"/>
    <n v="10"/>
    <n v="15"/>
  </r>
  <r>
    <n v="2025"/>
    <x v="4"/>
    <s v="Expenses"/>
    <x v="2"/>
    <n v="676.29999999999984"/>
    <n v="600"/>
  </r>
  <r>
    <n v="2025"/>
    <x v="4"/>
    <s v="Expenses"/>
    <x v="0"/>
    <n v="115.25999999999999"/>
    <n v="200"/>
  </r>
  <r>
    <n v="2025"/>
    <x v="4"/>
    <s v="Expenses"/>
    <x v="1"/>
    <n v="126.10000000000001"/>
    <n v="160"/>
  </r>
  <r>
    <n v="2025"/>
    <x v="4"/>
    <s v="Expenses"/>
    <x v="4"/>
    <n v="246.45"/>
    <n v="500"/>
  </r>
  <r>
    <n v="2025"/>
    <x v="4"/>
    <s v="Expenses"/>
    <x v="16"/>
    <n v="58"/>
    <n v="100"/>
  </r>
  <r>
    <n v="2025"/>
    <x v="4"/>
    <s v="Savings"/>
    <x v="18"/>
    <n v="6240"/>
    <s v="INCOME"/>
  </r>
  <r>
    <n v="2025"/>
    <x v="4"/>
    <s v="Expenses"/>
    <x v="6"/>
    <n v="76.95"/>
    <n v="80"/>
  </r>
  <r>
    <n v="2025"/>
    <x v="4"/>
    <s v="Expenses"/>
    <x v="19"/>
    <n v="1509.6000000000001"/>
    <n v="0"/>
  </r>
  <r>
    <n v="2025"/>
    <x v="4"/>
    <s v="Expenses"/>
    <x v="11"/>
    <n v="359"/>
    <n v="200"/>
  </r>
  <r>
    <n v="2025"/>
    <x v="4"/>
    <s v="Expenses"/>
    <x v="3"/>
    <n v="132.47"/>
    <n v="50"/>
  </r>
  <r>
    <n v="2025"/>
    <x v="4"/>
    <s v="Expenses"/>
    <x v="13"/>
    <n v="1835.3799999999999"/>
    <n v="400"/>
  </r>
  <r>
    <n v="2025"/>
    <x v="4"/>
    <s v="Expenses"/>
    <x v="17"/>
    <n v="39.99"/>
    <n v="100"/>
  </r>
  <r>
    <n v="2025"/>
    <x v="4"/>
    <s v="Expenses"/>
    <x v="7"/>
    <n v="501.35"/>
    <n v="501.35"/>
  </r>
  <r>
    <n v="2025"/>
    <x v="4"/>
    <s v="Expenses"/>
    <x v="12"/>
    <n v="10"/>
    <n v="15"/>
  </r>
  <r>
    <n v="2025"/>
    <x v="4"/>
    <s v="Expenses"/>
    <x v="9"/>
    <n v="1500"/>
    <n v="1912"/>
  </r>
  <r>
    <m/>
    <x v="5"/>
    <m/>
    <x v="20"/>
    <m/>
    <m/>
  </r>
  <r>
    <m/>
    <x v="5"/>
    <m/>
    <x v="20"/>
    <m/>
    <m/>
  </r>
  <r>
    <m/>
    <x v="5"/>
    <m/>
    <x v="20"/>
    <m/>
    <m/>
  </r>
  <r>
    <m/>
    <x v="5"/>
    <m/>
    <x v="20"/>
    <m/>
    <m/>
  </r>
  <r>
    <m/>
    <x v="5"/>
    <m/>
    <x v="20"/>
    <m/>
    <m/>
  </r>
  <r>
    <m/>
    <x v="5"/>
    <m/>
    <x v="2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CEC3C0-A837-C64F-A960-A4E130682BF9}" name="Monthly_Exp_Pivpt"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O3:Q8" firstHeaderRow="0" firstDataRow="1" firstDataCol="1" rowPageCount="1" colPageCount="1"/>
  <pivotFields count="8">
    <pivotField showAll="0"/>
    <pivotField axis="axisRow" showAll="0">
      <items count="7">
        <item x="0"/>
        <item x="1"/>
        <item x="2"/>
        <item h="1" x="5"/>
        <item x="3"/>
        <item x="4"/>
        <item t="default"/>
      </items>
    </pivotField>
    <pivotField showAll="0"/>
    <pivotField axis="axisPage" multipleItemSelectionAllowed="1" showAll="0">
      <items count="22">
        <item h="1" x="3"/>
        <item h="1" x="12"/>
        <item h="1" x="10"/>
        <item h="1" x="0"/>
        <item h="1" x="11"/>
        <item h="1" x="4"/>
        <item h="1" x="7"/>
        <item h="1" x="8"/>
        <item h="1" x="14"/>
        <item h="1" x="9"/>
        <item h="1" x="6"/>
        <item h="1" x="2"/>
        <item h="1" x="16"/>
        <item h="1" x="1"/>
        <item x="13"/>
        <item h="1" x="5"/>
        <item h="1" x="15"/>
        <item h="1" x="20"/>
        <item h="1" x="17"/>
        <item h="1" x="18"/>
        <item h="1" x="19"/>
        <item t="default"/>
      </items>
    </pivotField>
    <pivotField dataField="1" showAll="0"/>
    <pivotField showAll="0"/>
    <pivotField dataField="1" dragToRow="0" dragToCol="0" dragToPage="0" showAll="0" defaultSubtotal="0"/>
    <pivotField dragToRow="0" dragToCol="0" dragToPage="0" showAll="0" defaultSubtotal="0"/>
  </pivotFields>
  <rowFields count="1">
    <field x="1"/>
  </rowFields>
  <rowItems count="5">
    <i>
      <x v="1"/>
    </i>
    <i>
      <x v="2"/>
    </i>
    <i>
      <x v="4"/>
    </i>
    <i>
      <x v="5"/>
    </i>
    <i t="grand">
      <x/>
    </i>
  </rowItems>
  <colFields count="1">
    <field x="-2"/>
  </colFields>
  <colItems count="2">
    <i>
      <x/>
    </i>
    <i i="1">
      <x v="1"/>
    </i>
  </colItems>
  <pageFields count="1">
    <pageField fld="3" hier="-1"/>
  </pageFields>
  <dataFields count="2">
    <dataField name="Sum of Amount" fld="4" baseField="0" baseItem="0"/>
    <dataField name="Sum of Diff %" fld="6" baseField="0" baseItem="0" numFmtId="9"/>
  </dataFields>
  <formats count="2">
    <format dxfId="83">
      <pivotArea outline="0" collapsedLevelsAreSubtotals="1" fieldPosition="0"/>
    </format>
    <format dxfId="82">
      <pivotArea outline="0" fieldPosition="0">
        <references count="1">
          <reference field="4294967294" count="1">
            <x v="1"/>
          </reference>
        </references>
      </pivotArea>
    </format>
  </formats>
  <chartFormats count="2">
    <chartFormat chart="7" format="40" series="1">
      <pivotArea type="data" outline="0" fieldPosition="0">
        <references count="1">
          <reference field="4294967294" count="1" selected="0">
            <x v="1"/>
          </reference>
        </references>
      </pivotArea>
    </chartFormat>
    <chartFormat chart="7" format="4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ategorized_transactions" connectionId="5" xr16:uid="{991D3FAD-0E83-F44C-B581-D7E4E40DD32A}"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ategorized_transactions_4" connectionId="4" xr16:uid="{E4C835B4-5731-244C-ABE8-AEFABFF1DB57}"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categorized_transactions_3" connectionId="3" xr16:uid="{46393CC8-416E-6B46-A225-B9FCBD0ED2A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categorized_transactions_2" connectionId="2" xr16:uid="{7421EF48-B330-8243-87F7-6877B3CC2586}"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categorized_transactions_1" connectionId="1" xr16:uid="{DAD7EDFA-770C-9A4B-8AA8-412466232DAF}" autoFormatId="16" applyNumberFormats="0" applyBorderFormats="0" applyFontFormats="1" applyPatternFormats="1" applyAlignmentFormats="0" applyWidthHeightFormats="0"/>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24</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A2EEFC-2C12-C447-ADDC-3508ADDCF9CB}" sourceName="Category">
  <pivotTables>
    <pivotTable tabId="10" name="Monthly_Exp_Pivpt"/>
  </pivotTables>
  <data>
    <tabular pivotCacheId="1369683368">
      <items count="21">
        <i x="3"/>
        <i x="12"/>
        <i x="17"/>
        <i x="10"/>
        <i x="0"/>
        <i x="11"/>
        <i x="4"/>
        <i x="7"/>
        <i x="8"/>
        <i x="19"/>
        <i x="14"/>
        <i x="9"/>
        <i x="6"/>
        <i x="18"/>
        <i x="2"/>
        <i x="16"/>
        <i x="1"/>
        <i x="13" s="1"/>
        <i x="5"/>
        <i x="15"/>
        <i x="2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C80DBF5-1A76-3B41-B396-A8CCC82E64DA}" cache="Slicer_Category" caption="Category" startItem="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E18955B-F51F-0E42-BCCB-417EC5E66EF9}" name="Income11" displayName="Income11" ref="O1:O4" totalsRowShown="0" headerRowDxfId="113" dataDxfId="112">
  <autoFilter ref="O1:O4" xr:uid="{1E18955B-F51F-0E42-BCCB-417EC5E66EF9}"/>
  <tableColumns count="1">
    <tableColumn id="1" xr3:uid="{A004ECB6-DF9C-EF46-B849-E38897B2956D}" name="Income" dataDxfId="111"/>
  </tableColumns>
  <tableStyleInfo name="Income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DD3E498-0416-944A-98F7-E6816F61E14B}" name="Expenses12" displayName="Expenses12" ref="O14:O34" totalsRowShown="0" headerRowDxfId="110" dataDxfId="109">
  <autoFilter ref="O14:O34" xr:uid="{3DD3E498-0416-944A-98F7-E6816F61E14B}"/>
  <tableColumns count="1">
    <tableColumn id="1" xr3:uid="{F88792A9-8E2C-8248-9BE5-5A70038373AF}" name="Expenses" dataDxfId="108"/>
  </tableColumns>
  <tableStyleInfo name="Expenses Table Style "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B745AB5-8A13-F144-8C6B-DD5305FF593A}" name="Savings13" displayName="Savings13" ref="O41:O46" totalsRowShown="0" headerRowDxfId="107" dataDxfId="106">
  <autoFilter ref="O41:O46" xr:uid="{4B745AB5-8A13-F144-8C6B-DD5305FF593A}"/>
  <tableColumns count="1">
    <tableColumn id="1" xr3:uid="{5C5B58DA-1556-A242-B031-3C836A87FAF8}" name="Savings" dataDxfId="105"/>
  </tableColumns>
  <tableStyleInfo name="Savings Table Style "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3C7277-BE8C-5144-91BF-D42AC79C22CF}" name="Income" displayName="Income" ref="C12:C16" totalsRowShown="0" headerRowDxfId="104" dataDxfId="103">
  <autoFilter ref="C12:C16" xr:uid="{F33C7277-BE8C-5144-91BF-D42AC79C22CF}">
    <filterColumn colId="0" hiddenButton="1"/>
  </autoFilter>
  <tableColumns count="1">
    <tableColumn id="1" xr3:uid="{A145DABB-432C-6F44-B1F2-2FA4CF55CBE1}" name="Income" dataDxfId="102"/>
  </tableColumns>
  <tableStyleInfo name="Income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019767-9F6C-274A-AB50-243F2D91CEEA}" name="Expenses" displayName="Expenses" ref="C26:C47" totalsRowShown="0" headerRowDxfId="101" dataDxfId="100">
  <autoFilter ref="C26:C47" xr:uid="{E5019767-9F6C-274A-AB50-243F2D91CEEA}">
    <filterColumn colId="0" hiddenButton="1"/>
  </autoFilter>
  <tableColumns count="1">
    <tableColumn id="1" xr3:uid="{6B3A5C78-A7ED-CD47-9F9A-1A6D489AA338}" name="Expenses" dataDxfId="99"/>
  </tableColumns>
  <tableStyleInfo name="Expenses Table Style "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3650F5-60E2-7B4A-831D-87411FF556DE}" name="Savings" displayName="Savings" ref="C54:C60" totalsRowShown="0" headerRowDxfId="98" dataDxfId="97">
  <autoFilter ref="C54:C60" xr:uid="{773650F5-60E2-7B4A-831D-87411FF556DE}">
    <filterColumn colId="0" hiddenButton="1"/>
  </autoFilter>
  <tableColumns count="1">
    <tableColumn id="1" xr3:uid="{02C0F37E-7671-D742-9702-B8831443B7E1}" name="Savings" dataDxfId="96"/>
  </tableColumns>
  <tableStyleInfo name="Savings Table Style "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718BF39-198B-7646-A07E-A61AC0D7D1D2}" name="Tracking" displayName="Tracking" ref="C11:K541" totalsRowShown="0" headerRowDxfId="95" dataDxfId="94">
  <autoFilter ref="C11:K541" xr:uid="{D718BF39-198B-7646-A07E-A61AC0D7D1D2}"/>
  <tableColumns count="9">
    <tableColumn id="1" xr3:uid="{1A289D1F-6E9F-8640-920B-1C245EE7DD95}" name="Date" dataDxfId="93"/>
    <tableColumn id="2" xr3:uid="{E877AE05-9D89-174A-8CA3-B3207DF6CE75}" name="Type" dataDxfId="92"/>
    <tableColumn id="3" xr3:uid="{23E2798C-A13F-AB41-B77B-F169ACCDEE47}" name="Category" dataDxfId="91"/>
    <tableColumn id="4" xr3:uid="{C0FFFA04-9F92-5141-8C6E-F207345D09BF}" name="Amount" dataDxfId="90" dataCellStyle="Comma">
      <calculatedColumnFormula>SOURCE!E2</calculatedColumnFormula>
    </tableColumn>
    <tableColumn id="5" xr3:uid="{1D5503CC-A266-D64B-8F6D-F99072D70963}" name="Details" dataDxfId="89"/>
    <tableColumn id="6" xr3:uid="{51DAE8E6-D084-6E4C-AF94-2318205DE58F}" name="Balance" dataDxfId="88" dataCellStyle="Comma">
      <calculatedColumnFormula array="1">SUMPRODUCT(Tracking[Amount],--(Tracking[Date]&lt;=Tracking[[#This Row],[Date]]),(Tracking[Type]&lt;&gt;"Income")*(-1)+(Tracking[Type]="Income"))</calculatedColumnFormula>
    </tableColumn>
    <tableColumn id="7" xr3:uid="{7D928193-C9FC-DB46-87C9-22AFA182E8EA}" name="Effective Date" dataDxfId="87">
      <calculatedColumnFormula>IF(AND(Tracking[[#This Row],[Type]]="Income", shift_late_income_status="Active", DAY(Tracking[[#This Row],[Date]])&gt;=shift_late_income_starting_date), DATE(YEAR(Tracking[[#This Row],[Date]]),MONTH(Tracking[[#This Row],[Date]])+1,1),Tracking[[#This Row],[Date]])</calculatedColumnFormula>
    </tableColumn>
    <tableColumn id="8" xr3:uid="{AA30B5EC-EBC7-1049-ADAD-49CB224CBA69}" name="Month" dataDxfId="86">
      <calculatedColumnFormula>MONTH(Tracking[[#This Row],[Date]])</calculatedColumnFormula>
    </tableColumn>
    <tableColumn id="9" xr3:uid="{0656A3DF-C34F-0548-850F-5F47411186F6}" name="Year" dataDxfId="85">
      <calculatedColumnFormula>YEAR(Tracking[[#This Row],[Date]])</calculatedColumnFormula>
    </tableColumn>
  </tableColumns>
  <tableStyleInfo name="Tracking Table 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6381EC4-3677-FF4C-89C8-493E9D1354F8}" name="Previsions" displayName="Previsions" ref="M50:S71" totalsRowShown="0">
  <autoFilter ref="M50:S71" xr:uid="{26381EC4-3677-FF4C-89C8-493E9D1354F8}"/>
  <tableColumns count="7">
    <tableColumn id="1" xr3:uid="{8D2050A9-838B-7545-8591-6671B98AE15F}" name="Type"/>
    <tableColumn id="2" xr3:uid="{302C5EFC-A89F-C546-A634-EB60BD48E699}" name="Cat"/>
    <tableColumn id="3" xr3:uid="{E023623D-24AF-144C-835E-1FAC1F51DB8E}" name="Aug"/>
    <tableColumn id="4" xr3:uid="{D1D477A0-C02B-3046-A284-ED0F2FE51BA4}" name="Sep"/>
    <tableColumn id="5" xr3:uid="{9BE239E1-E8E8-BF43-B515-6337CEBDCD8F}" name="AVERAGE" dataDxfId="84"/>
    <tableColumn id="6" xr3:uid="{37A42767-38A4-FD4B-A6B7-D7E7333C5361}" name="Annualized"/>
    <tableColumn id="7" xr3:uid="{050001A9-EE9C-164C-AFA8-AD2A9A204774}" name="Final Budg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queryTable" Target="../queryTables/queryTable5.xml"/><Relationship Id="rId3" Type="http://schemas.openxmlformats.org/officeDocument/2006/relationships/table" Target="../tables/table3.xml"/><Relationship Id="rId7" Type="http://schemas.openxmlformats.org/officeDocument/2006/relationships/queryTable" Target="../queryTables/queryTable4.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queryTable" Target="../queryTables/queryTable3.xml"/><Relationship Id="rId5" Type="http://schemas.openxmlformats.org/officeDocument/2006/relationships/queryTable" Target="../queryTables/queryTable2.xml"/><Relationship Id="rId4"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eKyAOjH3Crk"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vmlDrawing" Target="../drawings/vmlDrawing1.vml"/><Relationship Id="rId5" Type="http://schemas.openxmlformats.org/officeDocument/2006/relationships/comments" Target="../comments1.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2.vml"/><Relationship Id="rId1" Type="http://schemas.openxmlformats.org/officeDocument/2006/relationships/drawing" Target="../drawings/drawing2.xml"/><Relationship Id="rId5" Type="http://schemas.openxmlformats.org/officeDocument/2006/relationships/comments" Target="../comments2.xml"/><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D1EAD-A292-5B41-B2F2-3AEB115A6F9B}">
  <sheetPr>
    <tabColor theme="5"/>
  </sheetPr>
  <dimension ref="A1:A11"/>
  <sheetViews>
    <sheetView workbookViewId="0">
      <selection activeCell="A11" sqref="A11"/>
    </sheetView>
  </sheetViews>
  <sheetFormatPr baseColWidth="10" defaultRowHeight="16" x14ac:dyDescent="0.2"/>
  <cols>
    <col min="1" max="1" width="61.83203125" customWidth="1"/>
  </cols>
  <sheetData>
    <row r="1" spans="1:1" x14ac:dyDescent="0.2">
      <c r="A1" s="109" t="s">
        <v>204</v>
      </c>
    </row>
    <row r="3" spans="1:1" x14ac:dyDescent="0.2">
      <c r="A3" t="s">
        <v>205</v>
      </c>
    </row>
    <row r="4" spans="1:1" x14ac:dyDescent="0.2">
      <c r="A4" t="s">
        <v>206</v>
      </c>
    </row>
    <row r="5" spans="1:1" x14ac:dyDescent="0.2">
      <c r="A5" t="s">
        <v>207</v>
      </c>
    </row>
    <row r="6" spans="1:1" x14ac:dyDescent="0.2">
      <c r="A6" t="s">
        <v>208</v>
      </c>
    </row>
    <row r="7" spans="1:1" x14ac:dyDescent="0.2">
      <c r="A7" t="s">
        <v>209</v>
      </c>
    </row>
    <row r="8" spans="1:1" x14ac:dyDescent="0.2">
      <c r="A8" t="s">
        <v>210</v>
      </c>
    </row>
    <row r="9" spans="1:1" x14ac:dyDescent="0.2">
      <c r="A9" t="s">
        <v>211</v>
      </c>
    </row>
    <row r="10" spans="1:1" x14ac:dyDescent="0.2">
      <c r="A10" t="s">
        <v>212</v>
      </c>
    </row>
    <row r="11" spans="1:1" x14ac:dyDescent="0.2">
      <c r="A11" t="s">
        <v>213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CB295-5E94-5540-906A-FD221D2B7FD8}">
  <sheetPr>
    <tabColor rgb="FFFFFF00"/>
  </sheetPr>
  <dimension ref="A1:O531"/>
  <sheetViews>
    <sheetView topLeftCell="A431" workbookViewId="0">
      <selection activeCell="D495" sqref="D495"/>
    </sheetView>
  </sheetViews>
  <sheetFormatPr baseColWidth="10" defaultRowHeight="16" x14ac:dyDescent="0.2"/>
  <cols>
    <col min="1" max="1" width="10.1640625" bestFit="1" customWidth="1"/>
    <col min="2" max="2" width="8.6640625" bestFit="1" customWidth="1"/>
    <col min="3" max="3" width="79.33203125" bestFit="1" customWidth="1"/>
    <col min="4" max="4" width="8.1640625" bestFit="1" customWidth="1"/>
    <col min="9" max="9" width="10.1640625" bestFit="1" customWidth="1"/>
    <col min="10" max="10" width="10.33203125" bestFit="1" customWidth="1"/>
    <col min="11" max="11" width="68.83203125" bestFit="1" customWidth="1"/>
    <col min="12" max="12" width="8.1640625" bestFit="1" customWidth="1"/>
    <col min="15" max="15" width="29.5" customWidth="1"/>
  </cols>
  <sheetData>
    <row r="1" spans="1:15" x14ac:dyDescent="0.2">
      <c r="A1" s="109" t="s">
        <v>106</v>
      </c>
      <c r="B1" s="109" t="s">
        <v>29</v>
      </c>
      <c r="C1" s="109" t="s">
        <v>30</v>
      </c>
      <c r="D1" s="109" t="s">
        <v>85</v>
      </c>
      <c r="E1" s="109" t="s">
        <v>176</v>
      </c>
      <c r="I1" t="s">
        <v>106</v>
      </c>
      <c r="J1" t="s">
        <v>29</v>
      </c>
      <c r="K1" t="s">
        <v>30</v>
      </c>
      <c r="L1" t="s">
        <v>85</v>
      </c>
      <c r="O1" s="13" t="s">
        <v>10</v>
      </c>
    </row>
    <row r="2" spans="1:15" x14ac:dyDescent="0.2">
      <c r="A2" s="107">
        <v>45870</v>
      </c>
      <c r="B2" t="s">
        <v>13</v>
      </c>
      <c r="C2" t="s">
        <v>158</v>
      </c>
      <c r="D2">
        <v>-0.05</v>
      </c>
      <c r="E2">
        <f>ABS(D2)</f>
        <v>0.05</v>
      </c>
      <c r="I2" s="107">
        <v>45870</v>
      </c>
      <c r="J2" t="s">
        <v>109</v>
      </c>
      <c r="K2" t="s">
        <v>132</v>
      </c>
      <c r="L2">
        <v>-0.05</v>
      </c>
      <c r="O2" s="20" t="s">
        <v>128</v>
      </c>
    </row>
    <row r="3" spans="1:15" x14ac:dyDescent="0.2">
      <c r="A3" s="107">
        <v>45870</v>
      </c>
      <c r="B3" t="s">
        <v>13</v>
      </c>
      <c r="C3" t="s">
        <v>157</v>
      </c>
      <c r="D3">
        <v>-18</v>
      </c>
      <c r="E3">
        <f t="shared" ref="E3:E66" si="0">ABS(D3)</f>
        <v>18</v>
      </c>
      <c r="I3" s="107">
        <v>45870</v>
      </c>
      <c r="J3" t="s">
        <v>13</v>
      </c>
      <c r="K3" t="s">
        <v>157</v>
      </c>
      <c r="L3">
        <v>-18</v>
      </c>
      <c r="O3" s="20" t="s">
        <v>127</v>
      </c>
    </row>
    <row r="4" spans="1:15" x14ac:dyDescent="0.2">
      <c r="A4" s="107">
        <v>45870</v>
      </c>
      <c r="B4" t="s">
        <v>13</v>
      </c>
      <c r="C4" t="s">
        <v>111</v>
      </c>
      <c r="D4">
        <v>-13.5</v>
      </c>
      <c r="E4">
        <f t="shared" si="0"/>
        <v>13.5</v>
      </c>
      <c r="I4" s="107">
        <v>45870</v>
      </c>
      <c r="J4" t="s">
        <v>13</v>
      </c>
      <c r="K4" t="s">
        <v>133</v>
      </c>
      <c r="L4">
        <v>-13.5</v>
      </c>
      <c r="O4" s="20" t="s">
        <v>105</v>
      </c>
    </row>
    <row r="5" spans="1:15" x14ac:dyDescent="0.2">
      <c r="A5" s="107">
        <v>45870</v>
      </c>
      <c r="B5" t="s">
        <v>13</v>
      </c>
      <c r="C5" t="s">
        <v>157</v>
      </c>
      <c r="D5">
        <v>-4.7</v>
      </c>
      <c r="E5">
        <f t="shared" si="0"/>
        <v>4.7</v>
      </c>
      <c r="I5" s="107">
        <v>45870</v>
      </c>
      <c r="J5" t="s">
        <v>13</v>
      </c>
      <c r="K5" t="s">
        <v>157</v>
      </c>
      <c r="L5">
        <v>-4.7</v>
      </c>
      <c r="O5" s="17" t="s">
        <v>11</v>
      </c>
    </row>
    <row r="6" spans="1:15" x14ac:dyDescent="0.2">
      <c r="A6" s="107">
        <v>45870</v>
      </c>
      <c r="B6" t="s">
        <v>13</v>
      </c>
      <c r="C6" t="s">
        <v>157</v>
      </c>
      <c r="D6">
        <v>-3.9</v>
      </c>
      <c r="E6">
        <f t="shared" si="0"/>
        <v>3.9</v>
      </c>
      <c r="I6" s="107">
        <v>45870</v>
      </c>
      <c r="J6" t="s">
        <v>13</v>
      </c>
      <c r="K6" t="s">
        <v>157</v>
      </c>
      <c r="L6">
        <v>-3.9</v>
      </c>
      <c r="O6" s="17" t="s">
        <v>11</v>
      </c>
    </row>
    <row r="7" spans="1:15" x14ac:dyDescent="0.2">
      <c r="A7" s="107">
        <v>45872</v>
      </c>
      <c r="B7" t="s">
        <v>13</v>
      </c>
      <c r="C7" t="s">
        <v>121</v>
      </c>
      <c r="D7">
        <v>-49.11</v>
      </c>
      <c r="E7">
        <f t="shared" si="0"/>
        <v>49.11</v>
      </c>
      <c r="I7" s="107">
        <v>45901</v>
      </c>
      <c r="J7" t="s">
        <v>13</v>
      </c>
      <c r="K7" t="s">
        <v>15</v>
      </c>
      <c r="L7">
        <v>-1.65</v>
      </c>
      <c r="O7" s="17" t="s">
        <v>11</v>
      </c>
    </row>
    <row r="8" spans="1:15" x14ac:dyDescent="0.2">
      <c r="A8" s="107">
        <v>45872</v>
      </c>
      <c r="B8" t="s">
        <v>10</v>
      </c>
      <c r="C8" t="s">
        <v>105</v>
      </c>
      <c r="D8">
        <v>44</v>
      </c>
      <c r="E8">
        <f t="shared" si="0"/>
        <v>44</v>
      </c>
      <c r="I8" s="107">
        <v>45901</v>
      </c>
      <c r="J8" t="s">
        <v>13</v>
      </c>
      <c r="K8" t="s">
        <v>157</v>
      </c>
      <c r="L8">
        <v>-4.7</v>
      </c>
      <c r="O8" s="17" t="s">
        <v>11</v>
      </c>
    </row>
    <row r="9" spans="1:15" x14ac:dyDescent="0.2">
      <c r="A9" s="107">
        <v>45873</v>
      </c>
      <c r="B9" t="s">
        <v>13</v>
      </c>
      <c r="C9" t="s">
        <v>157</v>
      </c>
      <c r="D9">
        <v>-4.7</v>
      </c>
      <c r="E9">
        <f t="shared" si="0"/>
        <v>4.7</v>
      </c>
      <c r="I9" s="107">
        <v>45901</v>
      </c>
      <c r="J9" t="s">
        <v>13</v>
      </c>
      <c r="K9" t="s">
        <v>157</v>
      </c>
      <c r="L9">
        <v>-4.7</v>
      </c>
      <c r="O9" s="17" t="s">
        <v>11</v>
      </c>
    </row>
    <row r="10" spans="1:15" x14ac:dyDescent="0.2">
      <c r="A10" s="107">
        <v>45873</v>
      </c>
      <c r="B10" t="s">
        <v>13</v>
      </c>
      <c r="C10" t="s">
        <v>111</v>
      </c>
      <c r="D10">
        <v>-31.5</v>
      </c>
      <c r="E10">
        <f t="shared" si="0"/>
        <v>31.5</v>
      </c>
      <c r="I10" s="107">
        <v>45901</v>
      </c>
      <c r="J10" t="s">
        <v>107</v>
      </c>
      <c r="K10" t="s">
        <v>108</v>
      </c>
      <c r="L10">
        <v>-726.2</v>
      </c>
      <c r="O10" s="17" t="s">
        <v>11</v>
      </c>
    </row>
    <row r="11" spans="1:15" x14ac:dyDescent="0.2">
      <c r="A11" s="107">
        <v>45874</v>
      </c>
      <c r="B11" t="s">
        <v>13</v>
      </c>
      <c r="C11" t="s">
        <v>111</v>
      </c>
      <c r="D11">
        <v>-8</v>
      </c>
      <c r="E11">
        <f t="shared" si="0"/>
        <v>8</v>
      </c>
      <c r="I11" s="107">
        <v>45901</v>
      </c>
      <c r="J11" t="s">
        <v>13</v>
      </c>
      <c r="K11" t="s">
        <v>157</v>
      </c>
      <c r="L11">
        <v>-3.6</v>
      </c>
      <c r="O11" s="17" t="s">
        <v>11</v>
      </c>
    </row>
    <row r="12" spans="1:15" x14ac:dyDescent="0.2">
      <c r="A12" s="107">
        <v>45874</v>
      </c>
      <c r="B12" t="s">
        <v>13</v>
      </c>
      <c r="C12" t="s">
        <v>157</v>
      </c>
      <c r="D12">
        <v>-4.7</v>
      </c>
      <c r="E12">
        <f t="shared" si="0"/>
        <v>4.7</v>
      </c>
      <c r="I12" s="107">
        <v>45901</v>
      </c>
      <c r="J12" t="s">
        <v>109</v>
      </c>
      <c r="K12" t="s">
        <v>110</v>
      </c>
      <c r="L12">
        <v>-0.01</v>
      </c>
      <c r="O12" s="12" t="s">
        <v>12</v>
      </c>
    </row>
    <row r="13" spans="1:15" x14ac:dyDescent="0.2">
      <c r="A13" s="107">
        <v>45875</v>
      </c>
      <c r="B13" t="s">
        <v>13</v>
      </c>
      <c r="C13" t="s">
        <v>15</v>
      </c>
      <c r="D13">
        <v>-9.5</v>
      </c>
      <c r="E13">
        <f t="shared" si="0"/>
        <v>9.5</v>
      </c>
      <c r="I13" s="107">
        <v>45901</v>
      </c>
      <c r="J13" t="s">
        <v>13</v>
      </c>
      <c r="K13" t="s">
        <v>111</v>
      </c>
      <c r="L13">
        <v>-18.899999999999999</v>
      </c>
    </row>
    <row r="14" spans="1:15" x14ac:dyDescent="0.2">
      <c r="A14" s="107">
        <v>45875</v>
      </c>
      <c r="B14" t="s">
        <v>13</v>
      </c>
      <c r="C14" t="s">
        <v>157</v>
      </c>
      <c r="D14">
        <v>-4.7</v>
      </c>
      <c r="E14">
        <f t="shared" si="0"/>
        <v>4.7</v>
      </c>
      <c r="I14" s="107">
        <v>45901</v>
      </c>
      <c r="J14" t="s">
        <v>13</v>
      </c>
      <c r="K14" t="s">
        <v>15</v>
      </c>
      <c r="L14">
        <v>-3.8</v>
      </c>
      <c r="O14" s="13" t="s">
        <v>13</v>
      </c>
    </row>
    <row r="15" spans="1:15" x14ac:dyDescent="0.2">
      <c r="A15" s="107">
        <v>45875</v>
      </c>
      <c r="B15" t="s">
        <v>13</v>
      </c>
      <c r="C15" t="s">
        <v>157</v>
      </c>
      <c r="D15">
        <v>-4.7</v>
      </c>
      <c r="E15">
        <f t="shared" si="0"/>
        <v>4.7</v>
      </c>
      <c r="I15" s="107">
        <v>45902</v>
      </c>
      <c r="J15" t="s">
        <v>13</v>
      </c>
      <c r="K15" t="s">
        <v>157</v>
      </c>
      <c r="L15">
        <v>-4.7</v>
      </c>
      <c r="O15" s="20" t="s">
        <v>14</v>
      </c>
    </row>
    <row r="16" spans="1:15" x14ac:dyDescent="0.2">
      <c r="A16" s="107">
        <v>45876</v>
      </c>
      <c r="B16" t="s">
        <v>13</v>
      </c>
      <c r="C16" t="s">
        <v>161</v>
      </c>
      <c r="D16">
        <v>-10</v>
      </c>
      <c r="E16">
        <f t="shared" si="0"/>
        <v>10</v>
      </c>
      <c r="I16" s="107">
        <v>45902</v>
      </c>
      <c r="J16" t="s">
        <v>13</v>
      </c>
      <c r="K16" t="s">
        <v>112</v>
      </c>
      <c r="L16">
        <v>-501.35</v>
      </c>
      <c r="O16" s="20" t="s">
        <v>162</v>
      </c>
    </row>
    <row r="17" spans="1:15" x14ac:dyDescent="0.2">
      <c r="A17" s="107">
        <v>45876</v>
      </c>
      <c r="B17" t="s">
        <v>13</v>
      </c>
      <c r="C17" t="s">
        <v>157</v>
      </c>
      <c r="D17">
        <v>-7.8</v>
      </c>
      <c r="E17">
        <f t="shared" si="0"/>
        <v>7.8</v>
      </c>
      <c r="I17" s="107">
        <v>45872</v>
      </c>
      <c r="J17" t="s">
        <v>13</v>
      </c>
      <c r="K17" t="s">
        <v>121</v>
      </c>
      <c r="L17">
        <v>-49.11</v>
      </c>
      <c r="O17" s="20" t="s">
        <v>15</v>
      </c>
    </row>
    <row r="18" spans="1:15" x14ac:dyDescent="0.2">
      <c r="A18" s="107">
        <v>45876</v>
      </c>
      <c r="B18" t="s">
        <v>13</v>
      </c>
      <c r="C18" t="s">
        <v>15</v>
      </c>
      <c r="D18">
        <v>-40.35</v>
      </c>
      <c r="E18">
        <f t="shared" si="0"/>
        <v>40.35</v>
      </c>
      <c r="I18" s="107">
        <v>45872</v>
      </c>
      <c r="J18" t="s">
        <v>10</v>
      </c>
      <c r="K18" t="s">
        <v>105</v>
      </c>
      <c r="L18">
        <v>44</v>
      </c>
      <c r="O18" s="20" t="s">
        <v>111</v>
      </c>
    </row>
    <row r="19" spans="1:15" x14ac:dyDescent="0.2">
      <c r="A19" s="107">
        <v>45876</v>
      </c>
      <c r="B19" t="s">
        <v>13</v>
      </c>
      <c r="C19" t="s">
        <v>158</v>
      </c>
      <c r="D19">
        <v>-7</v>
      </c>
      <c r="E19">
        <f t="shared" si="0"/>
        <v>7</v>
      </c>
      <c r="I19" s="107">
        <v>45903</v>
      </c>
      <c r="J19" t="s">
        <v>13</v>
      </c>
      <c r="K19" t="s">
        <v>111</v>
      </c>
      <c r="L19">
        <v>-18</v>
      </c>
      <c r="O19" s="20" t="s">
        <v>157</v>
      </c>
    </row>
    <row r="20" spans="1:15" x14ac:dyDescent="0.2">
      <c r="A20" s="107">
        <v>45876</v>
      </c>
      <c r="B20" t="s">
        <v>13</v>
      </c>
      <c r="C20" t="s">
        <v>111</v>
      </c>
      <c r="D20">
        <v>-8.1999999999999993</v>
      </c>
      <c r="E20">
        <f t="shared" si="0"/>
        <v>8.1999999999999993</v>
      </c>
      <c r="I20" s="107">
        <v>45873</v>
      </c>
      <c r="J20" t="s">
        <v>13</v>
      </c>
      <c r="K20" t="s">
        <v>157</v>
      </c>
      <c r="L20">
        <v>-4.7</v>
      </c>
      <c r="O20" s="20" t="s">
        <v>163</v>
      </c>
    </row>
    <row r="21" spans="1:15" x14ac:dyDescent="0.2">
      <c r="A21" s="107">
        <v>45876</v>
      </c>
      <c r="B21" t="s">
        <v>13</v>
      </c>
      <c r="C21" t="s">
        <v>111</v>
      </c>
      <c r="D21">
        <v>-14</v>
      </c>
      <c r="E21">
        <f t="shared" si="0"/>
        <v>14</v>
      </c>
      <c r="I21" s="107">
        <v>45873</v>
      </c>
      <c r="J21" t="s">
        <v>13</v>
      </c>
      <c r="K21" t="s">
        <v>116</v>
      </c>
      <c r="L21">
        <v>-31.5</v>
      </c>
      <c r="O21" s="20" t="s">
        <v>121</v>
      </c>
    </row>
    <row r="22" spans="1:15" x14ac:dyDescent="0.2">
      <c r="A22" s="107">
        <v>45877</v>
      </c>
      <c r="B22" t="s">
        <v>13</v>
      </c>
      <c r="C22" t="s">
        <v>163</v>
      </c>
      <c r="D22">
        <v>-49</v>
      </c>
      <c r="E22">
        <f t="shared" si="0"/>
        <v>49</v>
      </c>
      <c r="I22" s="107">
        <v>45904</v>
      </c>
      <c r="J22" t="s">
        <v>13</v>
      </c>
      <c r="K22" t="s">
        <v>157</v>
      </c>
      <c r="L22">
        <v>-4.7</v>
      </c>
      <c r="O22" s="20" t="s">
        <v>159</v>
      </c>
    </row>
    <row r="23" spans="1:15" x14ac:dyDescent="0.2">
      <c r="A23" s="107">
        <v>45877</v>
      </c>
      <c r="B23" t="s">
        <v>13</v>
      </c>
      <c r="C23" t="s">
        <v>163</v>
      </c>
      <c r="D23">
        <v>-28.85</v>
      </c>
      <c r="E23">
        <f t="shared" si="0"/>
        <v>28.85</v>
      </c>
      <c r="I23" s="107">
        <v>45904</v>
      </c>
      <c r="J23" t="s">
        <v>13</v>
      </c>
      <c r="K23" t="s">
        <v>113</v>
      </c>
      <c r="L23">
        <v>-9.1999999999999993</v>
      </c>
      <c r="O23" s="20" t="s">
        <v>113</v>
      </c>
    </row>
    <row r="24" spans="1:15" x14ac:dyDescent="0.2">
      <c r="A24" s="107">
        <v>45877</v>
      </c>
      <c r="B24" t="s">
        <v>13</v>
      </c>
      <c r="C24" t="s">
        <v>15</v>
      </c>
      <c r="D24">
        <v>-4.9000000000000004</v>
      </c>
      <c r="E24">
        <f t="shared" si="0"/>
        <v>4.9000000000000004</v>
      </c>
      <c r="I24" s="107">
        <v>45904</v>
      </c>
      <c r="J24" t="s">
        <v>13</v>
      </c>
      <c r="K24" t="s">
        <v>15</v>
      </c>
      <c r="L24">
        <v>-3.1</v>
      </c>
      <c r="O24" s="17" t="s">
        <v>24</v>
      </c>
    </row>
    <row r="25" spans="1:15" x14ac:dyDescent="0.2">
      <c r="A25" s="107">
        <v>45877</v>
      </c>
      <c r="B25" t="s">
        <v>13</v>
      </c>
      <c r="C25" t="s">
        <v>111</v>
      </c>
      <c r="D25">
        <v>-15.5</v>
      </c>
      <c r="E25">
        <f t="shared" si="0"/>
        <v>15.5</v>
      </c>
      <c r="I25" s="107">
        <v>45904</v>
      </c>
      <c r="J25" t="s">
        <v>13</v>
      </c>
      <c r="K25" t="s">
        <v>114</v>
      </c>
      <c r="L25">
        <v>-150</v>
      </c>
      <c r="O25" s="17" t="s">
        <v>25</v>
      </c>
    </row>
    <row r="26" spans="1:15" x14ac:dyDescent="0.2">
      <c r="A26" s="107">
        <v>45877</v>
      </c>
      <c r="B26" t="s">
        <v>10</v>
      </c>
      <c r="C26" t="s">
        <v>105</v>
      </c>
      <c r="D26">
        <v>30</v>
      </c>
      <c r="E26">
        <f t="shared" si="0"/>
        <v>30</v>
      </c>
      <c r="I26" s="107">
        <v>45874</v>
      </c>
      <c r="J26" t="s">
        <v>13</v>
      </c>
      <c r="K26" t="s">
        <v>134</v>
      </c>
      <c r="L26">
        <v>-8</v>
      </c>
      <c r="O26" s="20" t="s">
        <v>104</v>
      </c>
    </row>
    <row r="27" spans="1:15" x14ac:dyDescent="0.2">
      <c r="A27" s="107">
        <v>45877</v>
      </c>
      <c r="B27" t="s">
        <v>13</v>
      </c>
      <c r="C27" t="s">
        <v>157</v>
      </c>
      <c r="D27">
        <v>-4.7</v>
      </c>
      <c r="E27">
        <f t="shared" si="0"/>
        <v>4.7</v>
      </c>
      <c r="I27" s="107">
        <v>45874</v>
      </c>
      <c r="J27" t="s">
        <v>13</v>
      </c>
      <c r="K27" t="s">
        <v>157</v>
      </c>
      <c r="L27">
        <v>-4.7</v>
      </c>
      <c r="O27" s="20" t="s">
        <v>158</v>
      </c>
    </row>
    <row r="28" spans="1:15" x14ac:dyDescent="0.2">
      <c r="A28" s="107">
        <v>45877</v>
      </c>
      <c r="B28" t="s">
        <v>13</v>
      </c>
      <c r="C28" t="s">
        <v>111</v>
      </c>
      <c r="D28">
        <v>-32</v>
      </c>
      <c r="E28">
        <f t="shared" si="0"/>
        <v>32</v>
      </c>
      <c r="I28" s="107">
        <v>45905</v>
      </c>
      <c r="J28" t="s">
        <v>109</v>
      </c>
      <c r="K28" t="s">
        <v>115</v>
      </c>
      <c r="L28">
        <v>-11.6</v>
      </c>
      <c r="O28" s="20" t="s">
        <v>161</v>
      </c>
    </row>
    <row r="29" spans="1:15" x14ac:dyDescent="0.2">
      <c r="A29" s="107">
        <v>45878</v>
      </c>
      <c r="B29" t="s">
        <v>10</v>
      </c>
      <c r="C29" t="s">
        <v>105</v>
      </c>
      <c r="D29">
        <v>23</v>
      </c>
      <c r="E29">
        <f t="shared" si="0"/>
        <v>23</v>
      </c>
      <c r="I29" s="107">
        <v>45905</v>
      </c>
      <c r="J29" t="s">
        <v>13</v>
      </c>
      <c r="K29" t="s">
        <v>116</v>
      </c>
      <c r="L29">
        <v>-40</v>
      </c>
      <c r="O29" s="20" t="s">
        <v>165</v>
      </c>
    </row>
    <row r="30" spans="1:15" x14ac:dyDescent="0.2">
      <c r="A30" s="107">
        <v>45880</v>
      </c>
      <c r="B30" t="s">
        <v>13</v>
      </c>
      <c r="C30" t="s">
        <v>111</v>
      </c>
      <c r="D30">
        <v>-10</v>
      </c>
      <c r="E30">
        <f t="shared" si="0"/>
        <v>10</v>
      </c>
      <c r="I30" s="107">
        <v>45875</v>
      </c>
      <c r="J30" t="s">
        <v>13</v>
      </c>
      <c r="K30" t="s">
        <v>135</v>
      </c>
      <c r="L30">
        <v>-9.5</v>
      </c>
      <c r="O30" s="20" t="s">
        <v>160</v>
      </c>
    </row>
    <row r="31" spans="1:15" x14ac:dyDescent="0.2">
      <c r="A31" s="107">
        <v>45880</v>
      </c>
      <c r="B31" t="s">
        <v>13</v>
      </c>
      <c r="C31" t="s">
        <v>15</v>
      </c>
      <c r="D31">
        <v>-18.55</v>
      </c>
      <c r="E31">
        <f t="shared" si="0"/>
        <v>18.55</v>
      </c>
      <c r="I31" s="107">
        <v>45875</v>
      </c>
      <c r="J31" t="s">
        <v>13</v>
      </c>
      <c r="K31" t="s">
        <v>157</v>
      </c>
      <c r="L31">
        <v>-4.7</v>
      </c>
      <c r="O31" s="20" t="s">
        <v>164</v>
      </c>
    </row>
    <row r="32" spans="1:15" x14ac:dyDescent="0.2">
      <c r="A32" s="107">
        <v>45880</v>
      </c>
      <c r="B32" t="s">
        <v>13</v>
      </c>
      <c r="C32" t="s">
        <v>159</v>
      </c>
      <c r="D32">
        <v>-501.35</v>
      </c>
      <c r="E32">
        <f t="shared" si="0"/>
        <v>501.35</v>
      </c>
      <c r="I32" s="107">
        <v>45875</v>
      </c>
      <c r="J32" t="s">
        <v>13</v>
      </c>
      <c r="K32" t="s">
        <v>157</v>
      </c>
      <c r="L32">
        <v>-4.7</v>
      </c>
      <c r="O32" s="20" t="s">
        <v>167</v>
      </c>
    </row>
    <row r="33" spans="1:15" x14ac:dyDescent="0.2">
      <c r="A33" s="107">
        <v>45880</v>
      </c>
      <c r="B33" t="s">
        <v>13</v>
      </c>
      <c r="C33" t="s">
        <v>157</v>
      </c>
      <c r="D33">
        <v>-4.7</v>
      </c>
      <c r="E33">
        <f t="shared" si="0"/>
        <v>4.7</v>
      </c>
      <c r="I33" s="107">
        <v>45906</v>
      </c>
      <c r="J33" t="s">
        <v>13</v>
      </c>
      <c r="K33" t="s">
        <v>157</v>
      </c>
      <c r="L33">
        <v>-2</v>
      </c>
      <c r="O33" s="20" t="s">
        <v>177</v>
      </c>
    </row>
    <row r="34" spans="1:15" x14ac:dyDescent="0.2">
      <c r="A34" s="107">
        <v>45880</v>
      </c>
      <c r="B34" t="s">
        <v>13</v>
      </c>
      <c r="C34" t="s">
        <v>15</v>
      </c>
      <c r="D34">
        <v>-10.45</v>
      </c>
      <c r="E34">
        <f t="shared" si="0"/>
        <v>10.45</v>
      </c>
      <c r="I34" s="107">
        <v>45906</v>
      </c>
      <c r="J34" t="s">
        <v>109</v>
      </c>
      <c r="K34" t="s">
        <v>117</v>
      </c>
      <c r="L34">
        <v>-34.76</v>
      </c>
      <c r="O34" s="20" t="s">
        <v>166</v>
      </c>
    </row>
    <row r="35" spans="1:15" x14ac:dyDescent="0.2">
      <c r="A35" s="107">
        <v>45881</v>
      </c>
      <c r="B35" t="s">
        <v>13</v>
      </c>
      <c r="C35" t="s">
        <v>15</v>
      </c>
      <c r="D35">
        <v>-14.85</v>
      </c>
      <c r="E35">
        <f t="shared" si="0"/>
        <v>14.85</v>
      </c>
      <c r="I35" s="107">
        <v>45906</v>
      </c>
      <c r="J35" t="s">
        <v>13</v>
      </c>
      <c r="K35" t="s">
        <v>157</v>
      </c>
      <c r="L35">
        <v>-2</v>
      </c>
      <c r="O35" s="17" t="s">
        <v>16</v>
      </c>
    </row>
    <row r="36" spans="1:15" x14ac:dyDescent="0.2">
      <c r="A36" s="107">
        <v>45881</v>
      </c>
      <c r="B36" t="s">
        <v>13</v>
      </c>
      <c r="C36" t="s">
        <v>15</v>
      </c>
      <c r="D36">
        <v>-9.9499999999999993</v>
      </c>
      <c r="E36">
        <f t="shared" si="0"/>
        <v>9.9499999999999993</v>
      </c>
      <c r="I36" s="107">
        <v>45876</v>
      </c>
      <c r="J36" t="s">
        <v>13</v>
      </c>
      <c r="K36" t="s">
        <v>136</v>
      </c>
      <c r="L36">
        <v>-10</v>
      </c>
      <c r="O36" s="17" t="s">
        <v>16</v>
      </c>
    </row>
    <row r="37" spans="1:15" x14ac:dyDescent="0.2">
      <c r="A37" s="107">
        <v>45881</v>
      </c>
      <c r="B37" t="s">
        <v>13</v>
      </c>
      <c r="C37" t="s">
        <v>15</v>
      </c>
      <c r="D37">
        <v>-39.799999999999997</v>
      </c>
      <c r="E37">
        <f t="shared" si="0"/>
        <v>39.799999999999997</v>
      </c>
      <c r="I37" s="107">
        <v>45876</v>
      </c>
      <c r="J37" t="s">
        <v>13</v>
      </c>
      <c r="K37" t="s">
        <v>157</v>
      </c>
      <c r="L37">
        <v>-7.8</v>
      </c>
      <c r="O37" s="17" t="s">
        <v>16</v>
      </c>
    </row>
    <row r="38" spans="1:15" x14ac:dyDescent="0.2">
      <c r="A38" s="107">
        <v>45881</v>
      </c>
      <c r="B38" t="s">
        <v>13</v>
      </c>
      <c r="C38" t="s">
        <v>113</v>
      </c>
      <c r="D38">
        <v>-9.8000000000000007</v>
      </c>
      <c r="E38">
        <f t="shared" si="0"/>
        <v>9.8000000000000007</v>
      </c>
      <c r="I38" s="107">
        <v>45876</v>
      </c>
      <c r="J38" t="s">
        <v>13</v>
      </c>
      <c r="K38" t="s">
        <v>135</v>
      </c>
      <c r="L38">
        <v>-40.35</v>
      </c>
      <c r="O38" s="17" t="s">
        <v>16</v>
      </c>
    </row>
    <row r="39" spans="1:15" x14ac:dyDescent="0.2">
      <c r="A39" s="107">
        <v>45882</v>
      </c>
      <c r="B39" t="s">
        <v>10</v>
      </c>
      <c r="C39" t="s">
        <v>127</v>
      </c>
      <c r="D39">
        <v>1465.3</v>
      </c>
      <c r="E39">
        <f t="shared" si="0"/>
        <v>1465.3</v>
      </c>
      <c r="I39" s="107">
        <v>45876</v>
      </c>
      <c r="J39" t="s">
        <v>109</v>
      </c>
      <c r="K39" t="s">
        <v>137</v>
      </c>
      <c r="L39">
        <v>-7</v>
      </c>
      <c r="O39" s="12" t="s">
        <v>12</v>
      </c>
    </row>
    <row r="40" spans="1:15" x14ac:dyDescent="0.2">
      <c r="A40" s="107">
        <v>45882</v>
      </c>
      <c r="B40" t="s">
        <v>10</v>
      </c>
      <c r="C40" t="s">
        <v>127</v>
      </c>
      <c r="D40">
        <v>852</v>
      </c>
      <c r="E40">
        <f t="shared" si="0"/>
        <v>852</v>
      </c>
      <c r="I40" s="107">
        <v>45876</v>
      </c>
      <c r="J40" t="s">
        <v>13</v>
      </c>
      <c r="K40" t="s">
        <v>138</v>
      </c>
      <c r="L40">
        <v>-8.1999999999999993</v>
      </c>
    </row>
    <row r="41" spans="1:15" x14ac:dyDescent="0.2">
      <c r="A41" s="107">
        <v>45882</v>
      </c>
      <c r="B41" t="s">
        <v>10</v>
      </c>
      <c r="C41" t="s">
        <v>127</v>
      </c>
      <c r="D41">
        <v>400</v>
      </c>
      <c r="E41">
        <f t="shared" si="0"/>
        <v>400</v>
      </c>
      <c r="I41" s="107">
        <v>45876</v>
      </c>
      <c r="J41" t="s">
        <v>13</v>
      </c>
      <c r="K41" t="s">
        <v>139</v>
      </c>
      <c r="L41">
        <v>-14</v>
      </c>
      <c r="O41" s="13" t="s">
        <v>17</v>
      </c>
    </row>
    <row r="42" spans="1:15" x14ac:dyDescent="0.2">
      <c r="A42" s="107">
        <v>45882</v>
      </c>
      <c r="B42" t="s">
        <v>10</v>
      </c>
      <c r="C42" t="s">
        <v>127</v>
      </c>
      <c r="D42">
        <v>320</v>
      </c>
      <c r="E42">
        <f t="shared" si="0"/>
        <v>320</v>
      </c>
      <c r="I42" s="107">
        <v>45907</v>
      </c>
      <c r="J42" t="s">
        <v>13</v>
      </c>
      <c r="K42" t="s">
        <v>157</v>
      </c>
      <c r="L42">
        <v>-4.7</v>
      </c>
      <c r="O42" s="20" t="s">
        <v>18</v>
      </c>
    </row>
    <row r="43" spans="1:15" x14ac:dyDescent="0.2">
      <c r="A43" s="107">
        <v>45882</v>
      </c>
      <c r="B43" t="s">
        <v>10</v>
      </c>
      <c r="C43" t="s">
        <v>127</v>
      </c>
      <c r="D43">
        <v>320</v>
      </c>
      <c r="E43">
        <f t="shared" si="0"/>
        <v>320</v>
      </c>
      <c r="I43" s="107">
        <v>45907</v>
      </c>
      <c r="J43" t="s">
        <v>13</v>
      </c>
      <c r="K43" t="s">
        <v>118</v>
      </c>
      <c r="L43">
        <v>-55</v>
      </c>
      <c r="O43" s="20" t="s">
        <v>19</v>
      </c>
    </row>
    <row r="44" spans="1:15" x14ac:dyDescent="0.2">
      <c r="A44" s="107">
        <v>45882</v>
      </c>
      <c r="B44" t="s">
        <v>13</v>
      </c>
      <c r="C44" t="s">
        <v>15</v>
      </c>
      <c r="D44">
        <v>-25.9</v>
      </c>
      <c r="E44">
        <f t="shared" si="0"/>
        <v>25.9</v>
      </c>
      <c r="I44" s="107">
        <v>45907</v>
      </c>
      <c r="J44" t="s">
        <v>13</v>
      </c>
      <c r="K44" t="s">
        <v>15</v>
      </c>
      <c r="L44">
        <v>-1.95</v>
      </c>
      <c r="O44" s="20" t="s">
        <v>20</v>
      </c>
    </row>
    <row r="45" spans="1:15" x14ac:dyDescent="0.2">
      <c r="A45" s="107">
        <v>45883</v>
      </c>
      <c r="B45" t="s">
        <v>13</v>
      </c>
      <c r="C45" t="s">
        <v>157</v>
      </c>
      <c r="D45">
        <v>-4.7</v>
      </c>
      <c r="E45">
        <f t="shared" si="0"/>
        <v>4.7</v>
      </c>
      <c r="I45" s="107">
        <v>45907</v>
      </c>
      <c r="J45" t="s">
        <v>13</v>
      </c>
      <c r="K45" t="s">
        <v>157</v>
      </c>
      <c r="L45">
        <v>-4.7</v>
      </c>
      <c r="O45" s="17" t="s">
        <v>26</v>
      </c>
    </row>
    <row r="46" spans="1:15" x14ac:dyDescent="0.2">
      <c r="A46" s="107">
        <v>45883</v>
      </c>
      <c r="B46" t="s">
        <v>13</v>
      </c>
      <c r="C46" t="s">
        <v>157</v>
      </c>
      <c r="D46">
        <v>-4.7</v>
      </c>
      <c r="E46">
        <f t="shared" si="0"/>
        <v>4.7</v>
      </c>
      <c r="I46" s="107">
        <v>45877</v>
      </c>
      <c r="J46" t="s">
        <v>13</v>
      </c>
      <c r="K46" t="s">
        <v>140</v>
      </c>
      <c r="L46">
        <v>-49</v>
      </c>
      <c r="O46" s="17" t="s">
        <v>27</v>
      </c>
    </row>
    <row r="47" spans="1:15" x14ac:dyDescent="0.2">
      <c r="A47" s="107">
        <v>45883</v>
      </c>
      <c r="B47" t="s">
        <v>13</v>
      </c>
      <c r="C47" t="s">
        <v>121</v>
      </c>
      <c r="D47">
        <v>-9.75</v>
      </c>
      <c r="E47">
        <f t="shared" si="0"/>
        <v>9.75</v>
      </c>
      <c r="I47" s="107">
        <v>45877</v>
      </c>
      <c r="J47" t="s">
        <v>13</v>
      </c>
      <c r="K47" t="s">
        <v>140</v>
      </c>
      <c r="L47">
        <v>-28.85</v>
      </c>
      <c r="O47" s="17" t="s">
        <v>21</v>
      </c>
    </row>
    <row r="48" spans="1:15" x14ac:dyDescent="0.2">
      <c r="A48" s="107">
        <v>45884</v>
      </c>
      <c r="B48" t="s">
        <v>13</v>
      </c>
      <c r="C48" t="s">
        <v>15</v>
      </c>
      <c r="D48">
        <v>-10.1</v>
      </c>
      <c r="E48">
        <f t="shared" si="0"/>
        <v>10.1</v>
      </c>
      <c r="I48" s="107">
        <v>45877</v>
      </c>
      <c r="J48" t="s">
        <v>13</v>
      </c>
      <c r="K48" t="s">
        <v>135</v>
      </c>
      <c r="L48">
        <v>-4.9000000000000004</v>
      </c>
      <c r="O48" s="17" t="s">
        <v>21</v>
      </c>
    </row>
    <row r="49" spans="1:15" x14ac:dyDescent="0.2">
      <c r="A49" s="107">
        <v>45884</v>
      </c>
      <c r="B49" t="s">
        <v>13</v>
      </c>
      <c r="C49" t="s">
        <v>111</v>
      </c>
      <c r="D49">
        <v>-33</v>
      </c>
      <c r="E49">
        <f t="shared" si="0"/>
        <v>33</v>
      </c>
      <c r="I49" s="107">
        <v>45877</v>
      </c>
      <c r="J49" t="s">
        <v>13</v>
      </c>
      <c r="K49" t="s">
        <v>111</v>
      </c>
      <c r="L49">
        <v>-15.5</v>
      </c>
      <c r="O49" s="17" t="s">
        <v>21</v>
      </c>
    </row>
    <row r="50" spans="1:15" x14ac:dyDescent="0.2">
      <c r="A50" s="107">
        <v>45884</v>
      </c>
      <c r="B50" t="s">
        <v>13</v>
      </c>
      <c r="C50" t="s">
        <v>111</v>
      </c>
      <c r="D50">
        <v>-21</v>
      </c>
      <c r="E50">
        <f t="shared" si="0"/>
        <v>21</v>
      </c>
      <c r="I50" s="107">
        <v>45877</v>
      </c>
      <c r="J50" t="s">
        <v>10</v>
      </c>
      <c r="K50" t="s">
        <v>105</v>
      </c>
      <c r="L50">
        <v>30</v>
      </c>
      <c r="O50" s="17" t="s">
        <v>21</v>
      </c>
    </row>
    <row r="51" spans="1:15" x14ac:dyDescent="0.2">
      <c r="A51" s="107">
        <v>45884</v>
      </c>
      <c r="B51" t="s">
        <v>13</v>
      </c>
      <c r="C51" t="s">
        <v>158</v>
      </c>
      <c r="D51">
        <v>-26.6</v>
      </c>
      <c r="E51">
        <f t="shared" si="0"/>
        <v>26.6</v>
      </c>
      <c r="I51" s="107">
        <v>45877</v>
      </c>
      <c r="J51" t="s">
        <v>10</v>
      </c>
      <c r="K51" t="s">
        <v>127</v>
      </c>
      <c r="L51">
        <v>4</v>
      </c>
      <c r="O51" s="17" t="s">
        <v>21</v>
      </c>
    </row>
    <row r="52" spans="1:15" x14ac:dyDescent="0.2">
      <c r="A52" s="107">
        <v>45885</v>
      </c>
      <c r="B52" t="s">
        <v>13</v>
      </c>
      <c r="C52" t="s">
        <v>157</v>
      </c>
      <c r="D52">
        <v>-4.7</v>
      </c>
      <c r="E52">
        <f t="shared" si="0"/>
        <v>4.7</v>
      </c>
      <c r="I52" s="107">
        <v>45877</v>
      </c>
      <c r="J52" t="s">
        <v>13</v>
      </c>
      <c r="K52" t="s">
        <v>157</v>
      </c>
      <c r="L52">
        <v>-4.7</v>
      </c>
      <c r="O52" s="12" t="s">
        <v>12</v>
      </c>
    </row>
    <row r="53" spans="1:15" x14ac:dyDescent="0.2">
      <c r="A53" s="107">
        <v>45885</v>
      </c>
      <c r="B53" t="s">
        <v>13</v>
      </c>
      <c r="C53" t="s">
        <v>157</v>
      </c>
      <c r="D53">
        <v>-4.7</v>
      </c>
      <c r="E53">
        <f t="shared" si="0"/>
        <v>4.7</v>
      </c>
      <c r="I53" s="107">
        <v>45877</v>
      </c>
      <c r="J53" t="s">
        <v>13</v>
      </c>
      <c r="K53" t="s">
        <v>111</v>
      </c>
      <c r="L53">
        <v>-32</v>
      </c>
    </row>
    <row r="54" spans="1:15" x14ac:dyDescent="0.2">
      <c r="A54" s="107">
        <v>45885</v>
      </c>
      <c r="B54" t="s">
        <v>13</v>
      </c>
      <c r="C54" t="s">
        <v>111</v>
      </c>
      <c r="D54">
        <v>-53.9</v>
      </c>
      <c r="E54">
        <f t="shared" si="0"/>
        <v>53.9</v>
      </c>
      <c r="I54" s="107">
        <v>45908</v>
      </c>
      <c r="J54" t="s">
        <v>13</v>
      </c>
      <c r="K54" t="s">
        <v>15</v>
      </c>
      <c r="L54">
        <v>-16.5</v>
      </c>
    </row>
    <row r="55" spans="1:15" x14ac:dyDescent="0.2">
      <c r="A55" s="107">
        <v>45886</v>
      </c>
      <c r="B55" t="s">
        <v>13</v>
      </c>
      <c r="C55" t="s">
        <v>157</v>
      </c>
      <c r="D55">
        <v>-3.4</v>
      </c>
      <c r="E55">
        <f t="shared" si="0"/>
        <v>3.4</v>
      </c>
      <c r="I55" s="107">
        <v>45908</v>
      </c>
      <c r="J55" t="s">
        <v>109</v>
      </c>
      <c r="K55" t="s">
        <v>141</v>
      </c>
      <c r="L55">
        <v>-7</v>
      </c>
    </row>
    <row r="56" spans="1:15" x14ac:dyDescent="0.2">
      <c r="A56" s="107">
        <v>45886</v>
      </c>
      <c r="B56" t="s">
        <v>13</v>
      </c>
      <c r="C56" t="s">
        <v>111</v>
      </c>
      <c r="D56">
        <v>-14.5</v>
      </c>
      <c r="E56">
        <f t="shared" si="0"/>
        <v>14.5</v>
      </c>
      <c r="I56" s="107">
        <v>45878</v>
      </c>
      <c r="J56" t="s">
        <v>10</v>
      </c>
      <c r="K56" t="s">
        <v>105</v>
      </c>
      <c r="L56">
        <v>23</v>
      </c>
    </row>
    <row r="57" spans="1:15" x14ac:dyDescent="0.2">
      <c r="A57" s="107">
        <v>45887</v>
      </c>
      <c r="B57" t="s">
        <v>13</v>
      </c>
      <c r="C57" t="s">
        <v>157</v>
      </c>
      <c r="D57">
        <v>-4.7</v>
      </c>
      <c r="E57">
        <f t="shared" si="0"/>
        <v>4.7</v>
      </c>
      <c r="I57" s="107">
        <v>45909</v>
      </c>
      <c r="J57" t="s">
        <v>13</v>
      </c>
      <c r="K57" t="s">
        <v>157</v>
      </c>
      <c r="L57">
        <v>-4.7</v>
      </c>
    </row>
    <row r="58" spans="1:15" x14ac:dyDescent="0.2">
      <c r="A58" s="107">
        <v>45887</v>
      </c>
      <c r="B58" t="s">
        <v>13</v>
      </c>
      <c r="C58" t="s">
        <v>113</v>
      </c>
      <c r="D58">
        <v>-8.3000000000000007</v>
      </c>
      <c r="E58">
        <f t="shared" si="0"/>
        <v>8.3000000000000007</v>
      </c>
      <c r="I58" s="107">
        <v>45909</v>
      </c>
      <c r="J58" t="s">
        <v>13</v>
      </c>
      <c r="K58" t="s">
        <v>157</v>
      </c>
      <c r="L58">
        <v>-4.7</v>
      </c>
    </row>
    <row r="59" spans="1:15" x14ac:dyDescent="0.2">
      <c r="A59" s="107">
        <v>45887</v>
      </c>
      <c r="B59" t="s">
        <v>13</v>
      </c>
      <c r="C59" t="s">
        <v>157</v>
      </c>
      <c r="D59">
        <v>-3.3</v>
      </c>
      <c r="E59">
        <f t="shared" si="0"/>
        <v>3.3</v>
      </c>
      <c r="I59" s="107">
        <v>45910</v>
      </c>
      <c r="J59" t="s">
        <v>13</v>
      </c>
      <c r="K59" t="s">
        <v>111</v>
      </c>
      <c r="L59">
        <v>-13.7</v>
      </c>
    </row>
    <row r="60" spans="1:15" x14ac:dyDescent="0.2">
      <c r="A60" s="107">
        <v>45887</v>
      </c>
      <c r="B60" t="s">
        <v>13</v>
      </c>
      <c r="C60" t="s">
        <v>15</v>
      </c>
      <c r="D60">
        <v>-1.95</v>
      </c>
      <c r="E60">
        <f t="shared" si="0"/>
        <v>1.95</v>
      </c>
      <c r="I60" s="107">
        <v>45910</v>
      </c>
      <c r="J60" t="s">
        <v>13</v>
      </c>
      <c r="K60" t="s">
        <v>113</v>
      </c>
      <c r="L60">
        <v>-11.95</v>
      </c>
    </row>
    <row r="61" spans="1:15" x14ac:dyDescent="0.2">
      <c r="A61" s="107">
        <v>45888</v>
      </c>
      <c r="B61" t="s">
        <v>13</v>
      </c>
      <c r="C61" t="s">
        <v>157</v>
      </c>
      <c r="D61">
        <v>-3.4</v>
      </c>
      <c r="E61">
        <f t="shared" si="0"/>
        <v>3.4</v>
      </c>
      <c r="I61" s="107">
        <v>45910</v>
      </c>
      <c r="J61" t="s">
        <v>13</v>
      </c>
      <c r="K61" t="s">
        <v>111</v>
      </c>
      <c r="L61">
        <v>-18.100000000000001</v>
      </c>
    </row>
    <row r="62" spans="1:15" x14ac:dyDescent="0.2">
      <c r="A62" s="107">
        <v>45888</v>
      </c>
      <c r="B62" t="s">
        <v>13</v>
      </c>
      <c r="C62" t="s">
        <v>157</v>
      </c>
      <c r="D62">
        <v>-4.7</v>
      </c>
      <c r="E62">
        <f t="shared" si="0"/>
        <v>4.7</v>
      </c>
      <c r="I62" s="107">
        <v>45910</v>
      </c>
      <c r="J62" t="s">
        <v>13</v>
      </c>
      <c r="K62" t="s">
        <v>119</v>
      </c>
      <c r="L62">
        <v>-40</v>
      </c>
    </row>
    <row r="63" spans="1:15" x14ac:dyDescent="0.2">
      <c r="A63" s="107">
        <v>45888</v>
      </c>
      <c r="B63" t="s">
        <v>13</v>
      </c>
      <c r="C63" t="s">
        <v>111</v>
      </c>
      <c r="D63">
        <v>-9.5</v>
      </c>
      <c r="E63">
        <f t="shared" si="0"/>
        <v>9.5</v>
      </c>
      <c r="I63" s="107">
        <v>45880</v>
      </c>
      <c r="J63" t="s">
        <v>13</v>
      </c>
      <c r="K63" t="s">
        <v>111</v>
      </c>
      <c r="L63">
        <v>-10</v>
      </c>
    </row>
    <row r="64" spans="1:15" x14ac:dyDescent="0.2">
      <c r="A64" s="107">
        <v>45888</v>
      </c>
      <c r="B64" t="s">
        <v>13</v>
      </c>
      <c r="C64" t="s">
        <v>158</v>
      </c>
      <c r="D64">
        <v>-49.95</v>
      </c>
      <c r="E64">
        <f t="shared" si="0"/>
        <v>49.95</v>
      </c>
      <c r="I64" s="107">
        <v>45880</v>
      </c>
      <c r="J64" t="s">
        <v>13</v>
      </c>
      <c r="K64" t="s">
        <v>142</v>
      </c>
      <c r="L64">
        <v>-18.55</v>
      </c>
    </row>
    <row r="65" spans="1:12" x14ac:dyDescent="0.2">
      <c r="A65" s="107">
        <v>45888</v>
      </c>
      <c r="B65" t="s">
        <v>13</v>
      </c>
      <c r="C65" t="s">
        <v>15</v>
      </c>
      <c r="D65">
        <v>-1.95</v>
      </c>
      <c r="E65">
        <f t="shared" si="0"/>
        <v>1.95</v>
      </c>
      <c r="I65" s="107">
        <v>45880</v>
      </c>
      <c r="J65" t="s">
        <v>13</v>
      </c>
      <c r="K65" t="s">
        <v>112</v>
      </c>
      <c r="L65">
        <v>-501.35</v>
      </c>
    </row>
    <row r="66" spans="1:12" x14ac:dyDescent="0.2">
      <c r="A66" s="107">
        <v>45889</v>
      </c>
      <c r="B66" t="s">
        <v>13</v>
      </c>
      <c r="C66" t="s">
        <v>157</v>
      </c>
      <c r="D66">
        <v>-4.7</v>
      </c>
      <c r="E66">
        <f t="shared" si="0"/>
        <v>4.7</v>
      </c>
      <c r="I66" s="107">
        <v>45880</v>
      </c>
      <c r="J66" t="s">
        <v>13</v>
      </c>
      <c r="K66" t="s">
        <v>157</v>
      </c>
      <c r="L66">
        <v>-4.7</v>
      </c>
    </row>
    <row r="67" spans="1:12" x14ac:dyDescent="0.2">
      <c r="A67" s="107">
        <v>45889</v>
      </c>
      <c r="B67" t="s">
        <v>13</v>
      </c>
      <c r="C67" t="s">
        <v>157</v>
      </c>
      <c r="D67">
        <v>-3.4</v>
      </c>
      <c r="E67">
        <f t="shared" ref="E67:E130" si="1">ABS(D67)</f>
        <v>3.4</v>
      </c>
      <c r="I67" s="107">
        <v>45880</v>
      </c>
      <c r="J67" t="s">
        <v>13</v>
      </c>
      <c r="K67" t="s">
        <v>142</v>
      </c>
      <c r="L67">
        <v>-10.45</v>
      </c>
    </row>
    <row r="68" spans="1:12" x14ac:dyDescent="0.2">
      <c r="A68" s="107">
        <v>45889</v>
      </c>
      <c r="B68" t="s">
        <v>13</v>
      </c>
      <c r="C68" t="s">
        <v>15</v>
      </c>
      <c r="D68">
        <v>-6.05</v>
      </c>
      <c r="E68">
        <f t="shared" si="1"/>
        <v>6.05</v>
      </c>
      <c r="I68" s="107">
        <v>45911</v>
      </c>
      <c r="J68" t="s">
        <v>13</v>
      </c>
      <c r="K68" t="s">
        <v>157</v>
      </c>
      <c r="L68">
        <v>-4.7</v>
      </c>
    </row>
    <row r="69" spans="1:12" x14ac:dyDescent="0.2">
      <c r="A69" s="107">
        <v>45889</v>
      </c>
      <c r="B69" t="s">
        <v>13</v>
      </c>
      <c r="C69" t="s">
        <v>111</v>
      </c>
      <c r="D69">
        <v>-10.9</v>
      </c>
      <c r="E69">
        <f t="shared" si="1"/>
        <v>10.9</v>
      </c>
      <c r="I69" s="107">
        <v>45911</v>
      </c>
      <c r="J69" t="s">
        <v>13</v>
      </c>
      <c r="K69" t="s">
        <v>157</v>
      </c>
      <c r="L69">
        <v>-4.7</v>
      </c>
    </row>
    <row r="70" spans="1:12" x14ac:dyDescent="0.2">
      <c r="A70" s="107">
        <v>45890</v>
      </c>
      <c r="B70" t="s">
        <v>13</v>
      </c>
      <c r="C70" t="s">
        <v>157</v>
      </c>
      <c r="D70">
        <v>-4.7</v>
      </c>
      <c r="E70">
        <f t="shared" si="1"/>
        <v>4.7</v>
      </c>
      <c r="I70" s="107">
        <v>45911</v>
      </c>
      <c r="J70" t="s">
        <v>13</v>
      </c>
      <c r="K70" t="s">
        <v>15</v>
      </c>
      <c r="L70">
        <v>-3.15</v>
      </c>
    </row>
    <row r="71" spans="1:12" x14ac:dyDescent="0.2">
      <c r="A71" s="107">
        <v>45890</v>
      </c>
      <c r="B71" t="s">
        <v>13</v>
      </c>
      <c r="C71" t="s">
        <v>157</v>
      </c>
      <c r="D71">
        <v>-3.4</v>
      </c>
      <c r="E71">
        <f t="shared" si="1"/>
        <v>3.4</v>
      </c>
      <c r="I71" s="107">
        <v>45911</v>
      </c>
      <c r="J71" t="s">
        <v>13</v>
      </c>
      <c r="K71" t="s">
        <v>120</v>
      </c>
      <c r="L71">
        <v>-150</v>
      </c>
    </row>
    <row r="72" spans="1:12" x14ac:dyDescent="0.2">
      <c r="A72" s="107">
        <v>45891</v>
      </c>
      <c r="B72" t="s">
        <v>10</v>
      </c>
      <c r="C72" t="s">
        <v>127</v>
      </c>
      <c r="D72">
        <v>956</v>
      </c>
      <c r="E72">
        <f t="shared" si="1"/>
        <v>956</v>
      </c>
      <c r="I72" s="107">
        <v>45881</v>
      </c>
      <c r="J72" t="s">
        <v>13</v>
      </c>
      <c r="K72" t="s">
        <v>15</v>
      </c>
      <c r="L72">
        <v>-14.85</v>
      </c>
    </row>
    <row r="73" spans="1:12" x14ac:dyDescent="0.2">
      <c r="A73" s="107">
        <v>45891</v>
      </c>
      <c r="B73" t="s">
        <v>13</v>
      </c>
      <c r="C73" t="s">
        <v>157</v>
      </c>
      <c r="D73">
        <v>-4.7</v>
      </c>
      <c r="E73">
        <f t="shared" si="1"/>
        <v>4.7</v>
      </c>
      <c r="I73" s="107">
        <v>45881</v>
      </c>
      <c r="J73" t="s">
        <v>13</v>
      </c>
      <c r="K73" t="s">
        <v>15</v>
      </c>
      <c r="L73">
        <v>-9.9499999999999993</v>
      </c>
    </row>
    <row r="74" spans="1:12" x14ac:dyDescent="0.2">
      <c r="A74" s="107">
        <v>45891</v>
      </c>
      <c r="B74" t="s">
        <v>13</v>
      </c>
      <c r="C74" t="s">
        <v>15</v>
      </c>
      <c r="D74">
        <v>-0.85</v>
      </c>
      <c r="E74">
        <f t="shared" si="1"/>
        <v>0.85</v>
      </c>
      <c r="I74" s="107">
        <v>45881</v>
      </c>
      <c r="J74" t="s">
        <v>13</v>
      </c>
      <c r="K74" t="s">
        <v>15</v>
      </c>
      <c r="L74">
        <v>-39.799999999999997</v>
      </c>
    </row>
    <row r="75" spans="1:12" x14ac:dyDescent="0.2">
      <c r="A75" s="107">
        <v>45891</v>
      </c>
      <c r="B75" t="s">
        <v>13</v>
      </c>
      <c r="C75" t="s">
        <v>15</v>
      </c>
      <c r="D75">
        <v>-19.899999999999999</v>
      </c>
      <c r="E75">
        <f t="shared" si="1"/>
        <v>19.899999999999999</v>
      </c>
      <c r="I75" s="107">
        <v>45881</v>
      </c>
      <c r="J75" t="s">
        <v>13</v>
      </c>
      <c r="K75" t="s">
        <v>113</v>
      </c>
      <c r="L75">
        <v>-9.8000000000000007</v>
      </c>
    </row>
    <row r="76" spans="1:12" x14ac:dyDescent="0.2">
      <c r="A76" s="107">
        <v>45891</v>
      </c>
      <c r="B76" t="s">
        <v>13</v>
      </c>
      <c r="C76" t="s">
        <v>111</v>
      </c>
      <c r="D76">
        <v>-9</v>
      </c>
      <c r="E76">
        <f t="shared" si="1"/>
        <v>9</v>
      </c>
      <c r="I76" s="107">
        <v>45912</v>
      </c>
      <c r="J76" t="s">
        <v>13</v>
      </c>
      <c r="K76" t="s">
        <v>15</v>
      </c>
      <c r="L76">
        <v>-17.05</v>
      </c>
    </row>
    <row r="77" spans="1:12" x14ac:dyDescent="0.2">
      <c r="A77" s="107">
        <v>45891</v>
      </c>
      <c r="B77" t="s">
        <v>13</v>
      </c>
      <c r="C77" t="s">
        <v>111</v>
      </c>
      <c r="D77">
        <v>-9.9</v>
      </c>
      <c r="E77">
        <f t="shared" si="1"/>
        <v>9.9</v>
      </c>
      <c r="I77" s="107">
        <v>45912</v>
      </c>
      <c r="J77" t="s">
        <v>13</v>
      </c>
      <c r="K77" t="s">
        <v>15</v>
      </c>
      <c r="L77">
        <v>-9.5</v>
      </c>
    </row>
    <row r="78" spans="1:12" x14ac:dyDescent="0.2">
      <c r="A78" s="107">
        <v>45892</v>
      </c>
      <c r="B78" t="s">
        <v>13</v>
      </c>
      <c r="C78" t="s">
        <v>111</v>
      </c>
      <c r="D78">
        <v>-45</v>
      </c>
      <c r="E78">
        <f t="shared" si="1"/>
        <v>45</v>
      </c>
      <c r="I78" s="107">
        <v>45882</v>
      </c>
      <c r="J78" t="s">
        <v>10</v>
      </c>
      <c r="K78" t="s">
        <v>127</v>
      </c>
      <c r="L78">
        <v>1465.3</v>
      </c>
    </row>
    <row r="79" spans="1:12" x14ac:dyDescent="0.2">
      <c r="A79" s="107">
        <v>45892</v>
      </c>
      <c r="B79" t="s">
        <v>13</v>
      </c>
      <c r="C79" t="s">
        <v>15</v>
      </c>
      <c r="D79">
        <v>-19.600000000000001</v>
      </c>
      <c r="E79">
        <f t="shared" si="1"/>
        <v>19.600000000000001</v>
      </c>
      <c r="I79" s="107">
        <v>45882</v>
      </c>
      <c r="J79" t="s">
        <v>10</v>
      </c>
      <c r="K79" t="s">
        <v>127</v>
      </c>
      <c r="L79">
        <v>852</v>
      </c>
    </row>
    <row r="80" spans="1:12" x14ac:dyDescent="0.2">
      <c r="A80" s="107">
        <v>45892</v>
      </c>
      <c r="B80" t="s">
        <v>13</v>
      </c>
      <c r="C80" t="s">
        <v>15</v>
      </c>
      <c r="D80">
        <v>-77</v>
      </c>
      <c r="E80">
        <f t="shared" si="1"/>
        <v>77</v>
      </c>
      <c r="I80" s="107">
        <v>45882</v>
      </c>
      <c r="J80" t="s">
        <v>10</v>
      </c>
      <c r="K80" t="s">
        <v>127</v>
      </c>
      <c r="L80">
        <v>400</v>
      </c>
    </row>
    <row r="81" spans="1:12" x14ac:dyDescent="0.2">
      <c r="A81" s="107">
        <v>45893</v>
      </c>
      <c r="B81" t="s">
        <v>13</v>
      </c>
      <c r="C81" t="s">
        <v>111</v>
      </c>
      <c r="D81">
        <v>-16</v>
      </c>
      <c r="E81">
        <f t="shared" si="1"/>
        <v>16</v>
      </c>
      <c r="I81" s="107">
        <v>45882</v>
      </c>
      <c r="J81" t="s">
        <v>10</v>
      </c>
      <c r="K81" t="s">
        <v>127</v>
      </c>
      <c r="L81">
        <v>320</v>
      </c>
    </row>
    <row r="82" spans="1:12" x14ac:dyDescent="0.2">
      <c r="A82" s="107">
        <v>45893</v>
      </c>
      <c r="B82" t="s">
        <v>13</v>
      </c>
      <c r="C82" t="s">
        <v>157</v>
      </c>
      <c r="D82">
        <v>-3.6</v>
      </c>
      <c r="E82">
        <f t="shared" si="1"/>
        <v>3.6</v>
      </c>
      <c r="I82" s="107">
        <v>45882</v>
      </c>
      <c r="J82" t="s">
        <v>10</v>
      </c>
      <c r="K82" t="s">
        <v>127</v>
      </c>
      <c r="L82">
        <v>320</v>
      </c>
    </row>
    <row r="83" spans="1:12" x14ac:dyDescent="0.2">
      <c r="A83" s="107">
        <v>45893</v>
      </c>
      <c r="B83" t="s">
        <v>13</v>
      </c>
      <c r="C83" t="s">
        <v>157</v>
      </c>
      <c r="D83">
        <v>-4.7</v>
      </c>
      <c r="E83">
        <f t="shared" si="1"/>
        <v>4.7</v>
      </c>
      <c r="I83" s="107">
        <v>45882</v>
      </c>
      <c r="J83" t="s">
        <v>13</v>
      </c>
      <c r="K83" t="s">
        <v>143</v>
      </c>
      <c r="L83">
        <v>-25.9</v>
      </c>
    </row>
    <row r="84" spans="1:12" x14ac:dyDescent="0.2">
      <c r="A84" s="107">
        <v>45894</v>
      </c>
      <c r="B84" t="s">
        <v>13</v>
      </c>
      <c r="C84" t="s">
        <v>14</v>
      </c>
      <c r="D84">
        <v>-1912</v>
      </c>
      <c r="E84">
        <f t="shared" si="1"/>
        <v>1912</v>
      </c>
      <c r="I84" s="107">
        <v>45913</v>
      </c>
      <c r="J84" t="s">
        <v>13</v>
      </c>
      <c r="K84" t="s">
        <v>15</v>
      </c>
      <c r="L84">
        <v>-8.9499999999999993</v>
      </c>
    </row>
    <row r="85" spans="1:12" x14ac:dyDescent="0.2">
      <c r="A85" s="107">
        <v>45894</v>
      </c>
      <c r="B85" t="s">
        <v>13</v>
      </c>
      <c r="C85" t="s">
        <v>157</v>
      </c>
      <c r="D85">
        <v>-4.7</v>
      </c>
      <c r="E85">
        <f t="shared" si="1"/>
        <v>4.7</v>
      </c>
      <c r="I85" s="107">
        <v>45913</v>
      </c>
      <c r="J85" t="s">
        <v>13</v>
      </c>
      <c r="K85" t="s">
        <v>111</v>
      </c>
      <c r="L85">
        <v>-5.2</v>
      </c>
    </row>
    <row r="86" spans="1:12" x14ac:dyDescent="0.2">
      <c r="A86" s="107">
        <v>45894</v>
      </c>
      <c r="B86" t="s">
        <v>13</v>
      </c>
      <c r="C86" t="s">
        <v>157</v>
      </c>
      <c r="D86">
        <v>-3.4</v>
      </c>
      <c r="E86">
        <f t="shared" si="1"/>
        <v>3.4</v>
      </c>
      <c r="I86" s="107">
        <v>45913</v>
      </c>
      <c r="J86" t="s">
        <v>13</v>
      </c>
      <c r="K86" t="s">
        <v>111</v>
      </c>
      <c r="L86">
        <v>-8.9</v>
      </c>
    </row>
    <row r="87" spans="1:12" x14ac:dyDescent="0.2">
      <c r="A87" s="107">
        <v>45894</v>
      </c>
      <c r="B87" t="s">
        <v>13</v>
      </c>
      <c r="C87" t="s">
        <v>111</v>
      </c>
      <c r="D87">
        <v>-13.9</v>
      </c>
      <c r="E87">
        <f t="shared" si="1"/>
        <v>13.9</v>
      </c>
      <c r="I87" s="107">
        <v>45913</v>
      </c>
      <c r="J87" t="s">
        <v>109</v>
      </c>
      <c r="K87" t="s">
        <v>144</v>
      </c>
      <c r="L87">
        <v>-30.58</v>
      </c>
    </row>
    <row r="88" spans="1:12" x14ac:dyDescent="0.2">
      <c r="A88" s="107">
        <v>45894</v>
      </c>
      <c r="B88" t="s">
        <v>10</v>
      </c>
      <c r="C88" t="s">
        <v>105</v>
      </c>
      <c r="D88">
        <v>38</v>
      </c>
      <c r="E88">
        <f t="shared" si="1"/>
        <v>38</v>
      </c>
      <c r="I88" s="107">
        <v>45883</v>
      </c>
      <c r="J88" t="s">
        <v>13</v>
      </c>
      <c r="K88" t="s">
        <v>157</v>
      </c>
      <c r="L88">
        <v>-4.7</v>
      </c>
    </row>
    <row r="89" spans="1:12" x14ac:dyDescent="0.2">
      <c r="A89" s="107">
        <v>45894</v>
      </c>
      <c r="B89" t="s">
        <v>10</v>
      </c>
      <c r="C89" t="s">
        <v>128</v>
      </c>
      <c r="D89">
        <v>3587.1</v>
      </c>
      <c r="E89">
        <f t="shared" si="1"/>
        <v>3587.1</v>
      </c>
      <c r="I89" s="107">
        <v>45883</v>
      </c>
      <c r="J89" t="s">
        <v>13</v>
      </c>
      <c r="K89" t="s">
        <v>157</v>
      </c>
      <c r="L89">
        <v>-4.7</v>
      </c>
    </row>
    <row r="90" spans="1:12" x14ac:dyDescent="0.2">
      <c r="A90" s="107">
        <v>45894</v>
      </c>
      <c r="B90" t="s">
        <v>10</v>
      </c>
      <c r="C90" t="s">
        <v>105</v>
      </c>
      <c r="D90">
        <v>30.55</v>
      </c>
      <c r="E90">
        <f t="shared" si="1"/>
        <v>30.55</v>
      </c>
      <c r="I90" s="107">
        <v>45883</v>
      </c>
      <c r="J90" t="s">
        <v>13</v>
      </c>
      <c r="K90" t="s">
        <v>121</v>
      </c>
      <c r="L90">
        <v>-9.75</v>
      </c>
    </row>
    <row r="91" spans="1:12" x14ac:dyDescent="0.2">
      <c r="A91" s="107">
        <v>45895</v>
      </c>
      <c r="B91" t="s">
        <v>13</v>
      </c>
      <c r="C91" t="s">
        <v>111</v>
      </c>
      <c r="D91">
        <v>-60</v>
      </c>
      <c r="E91">
        <f t="shared" si="1"/>
        <v>60</v>
      </c>
      <c r="I91" s="107">
        <v>45884</v>
      </c>
      <c r="J91" t="s">
        <v>13</v>
      </c>
      <c r="K91" t="s">
        <v>15</v>
      </c>
      <c r="L91">
        <v>-10.1</v>
      </c>
    </row>
    <row r="92" spans="1:12" x14ac:dyDescent="0.2">
      <c r="A92" s="107">
        <v>45895</v>
      </c>
      <c r="B92" t="s">
        <v>13</v>
      </c>
      <c r="C92" t="s">
        <v>121</v>
      </c>
      <c r="D92">
        <v>-0.95</v>
      </c>
      <c r="E92">
        <f t="shared" si="1"/>
        <v>0.95</v>
      </c>
      <c r="I92" s="107">
        <v>45884</v>
      </c>
      <c r="J92" t="s">
        <v>13</v>
      </c>
      <c r="K92" t="s">
        <v>111</v>
      </c>
      <c r="L92">
        <v>-33</v>
      </c>
    </row>
    <row r="93" spans="1:12" x14ac:dyDescent="0.2">
      <c r="A93" s="107">
        <v>45895</v>
      </c>
      <c r="B93" t="s">
        <v>13</v>
      </c>
      <c r="C93" t="s">
        <v>166</v>
      </c>
      <c r="D93">
        <v>-952</v>
      </c>
      <c r="E93">
        <f t="shared" si="1"/>
        <v>952</v>
      </c>
      <c r="I93" s="107">
        <v>45884</v>
      </c>
      <c r="J93" t="s">
        <v>13</v>
      </c>
      <c r="K93" t="s">
        <v>111</v>
      </c>
      <c r="L93">
        <v>-21</v>
      </c>
    </row>
    <row r="94" spans="1:12" x14ac:dyDescent="0.2">
      <c r="A94" s="107">
        <v>45895</v>
      </c>
      <c r="B94" t="s">
        <v>13</v>
      </c>
      <c r="C94" t="s">
        <v>104</v>
      </c>
      <c r="D94">
        <v>-50</v>
      </c>
      <c r="E94">
        <f t="shared" si="1"/>
        <v>50</v>
      </c>
      <c r="I94" s="107">
        <v>45884</v>
      </c>
      <c r="J94" t="s">
        <v>13</v>
      </c>
      <c r="K94" t="s">
        <v>145</v>
      </c>
      <c r="L94">
        <v>-26.6</v>
      </c>
    </row>
    <row r="95" spans="1:12" x14ac:dyDescent="0.2">
      <c r="A95" s="107">
        <v>45895</v>
      </c>
      <c r="B95" t="s">
        <v>13</v>
      </c>
      <c r="C95" t="s">
        <v>157</v>
      </c>
      <c r="D95">
        <v>-4.7</v>
      </c>
      <c r="E95">
        <f t="shared" si="1"/>
        <v>4.7</v>
      </c>
      <c r="I95" s="107">
        <v>45915</v>
      </c>
      <c r="J95" t="s">
        <v>13</v>
      </c>
      <c r="K95" t="s">
        <v>157</v>
      </c>
      <c r="L95">
        <v>-4.7</v>
      </c>
    </row>
    <row r="96" spans="1:12" x14ac:dyDescent="0.2">
      <c r="A96" s="107">
        <v>45895</v>
      </c>
      <c r="B96" t="s">
        <v>10</v>
      </c>
      <c r="C96" t="s">
        <v>105</v>
      </c>
      <c r="D96">
        <v>30</v>
      </c>
      <c r="E96">
        <f t="shared" si="1"/>
        <v>30</v>
      </c>
      <c r="I96" s="107">
        <v>45915</v>
      </c>
      <c r="J96" t="s">
        <v>13</v>
      </c>
      <c r="K96" t="s">
        <v>111</v>
      </c>
      <c r="L96">
        <v>-36.85</v>
      </c>
    </row>
    <row r="97" spans="1:12" x14ac:dyDescent="0.2">
      <c r="A97" s="107">
        <v>45896</v>
      </c>
      <c r="B97" t="s">
        <v>13</v>
      </c>
      <c r="C97" t="s">
        <v>157</v>
      </c>
      <c r="D97">
        <v>-4.7</v>
      </c>
      <c r="E97">
        <f t="shared" si="1"/>
        <v>4.7</v>
      </c>
      <c r="I97" s="107">
        <v>45915</v>
      </c>
      <c r="J97" t="s">
        <v>109</v>
      </c>
      <c r="K97" t="s">
        <v>146</v>
      </c>
      <c r="L97">
        <v>-18</v>
      </c>
    </row>
    <row r="98" spans="1:12" x14ac:dyDescent="0.2">
      <c r="A98" s="107">
        <v>45896</v>
      </c>
      <c r="B98" t="s">
        <v>13</v>
      </c>
      <c r="C98" t="s">
        <v>157</v>
      </c>
      <c r="D98">
        <v>-3.6</v>
      </c>
      <c r="E98">
        <f t="shared" si="1"/>
        <v>3.6</v>
      </c>
      <c r="I98" s="107">
        <v>45915</v>
      </c>
      <c r="J98" t="s">
        <v>13</v>
      </c>
      <c r="K98" t="s">
        <v>157</v>
      </c>
      <c r="L98">
        <v>-9.6</v>
      </c>
    </row>
    <row r="99" spans="1:12" x14ac:dyDescent="0.2">
      <c r="A99" s="107">
        <v>45896</v>
      </c>
      <c r="B99" t="s">
        <v>13</v>
      </c>
      <c r="C99" t="s">
        <v>15</v>
      </c>
      <c r="D99">
        <v>-14.2</v>
      </c>
      <c r="E99">
        <f t="shared" si="1"/>
        <v>14.2</v>
      </c>
      <c r="I99" s="107">
        <v>45915</v>
      </c>
      <c r="J99" t="s">
        <v>13</v>
      </c>
      <c r="K99" t="s">
        <v>157</v>
      </c>
      <c r="L99">
        <v>-11.9</v>
      </c>
    </row>
    <row r="100" spans="1:12" x14ac:dyDescent="0.2">
      <c r="A100" s="107">
        <v>45896</v>
      </c>
      <c r="B100" t="s">
        <v>13</v>
      </c>
      <c r="C100" t="s">
        <v>157</v>
      </c>
      <c r="D100">
        <v>-4.7</v>
      </c>
      <c r="E100">
        <f t="shared" si="1"/>
        <v>4.7</v>
      </c>
      <c r="I100" s="107">
        <v>45885</v>
      </c>
      <c r="J100" t="s">
        <v>13</v>
      </c>
      <c r="K100" t="s">
        <v>157</v>
      </c>
      <c r="L100">
        <v>-4.7</v>
      </c>
    </row>
    <row r="101" spans="1:12" x14ac:dyDescent="0.2">
      <c r="A101" s="107">
        <v>45897</v>
      </c>
      <c r="B101" t="s">
        <v>13</v>
      </c>
      <c r="C101" t="s">
        <v>157</v>
      </c>
      <c r="D101">
        <v>-4.7</v>
      </c>
      <c r="E101">
        <f t="shared" si="1"/>
        <v>4.7</v>
      </c>
      <c r="I101" s="107">
        <v>45885</v>
      </c>
      <c r="J101" t="s">
        <v>13</v>
      </c>
      <c r="K101" t="s">
        <v>157</v>
      </c>
      <c r="L101">
        <v>-4.7</v>
      </c>
    </row>
    <row r="102" spans="1:12" x14ac:dyDescent="0.2">
      <c r="A102" s="107">
        <v>45897</v>
      </c>
      <c r="B102" t="s">
        <v>13</v>
      </c>
      <c r="C102" t="s">
        <v>15</v>
      </c>
      <c r="D102">
        <v>-19.899999999999999</v>
      </c>
      <c r="E102">
        <f t="shared" si="1"/>
        <v>19.899999999999999</v>
      </c>
      <c r="I102" s="107">
        <v>45885</v>
      </c>
      <c r="J102" t="s">
        <v>109</v>
      </c>
      <c r="K102" t="s">
        <v>122</v>
      </c>
      <c r="L102">
        <v>-53.9</v>
      </c>
    </row>
    <row r="103" spans="1:12" x14ac:dyDescent="0.2">
      <c r="A103" s="107">
        <v>45897</v>
      </c>
      <c r="B103" t="s">
        <v>13</v>
      </c>
      <c r="C103" t="s">
        <v>111</v>
      </c>
      <c r="D103">
        <v>-30</v>
      </c>
      <c r="E103">
        <f t="shared" si="1"/>
        <v>30</v>
      </c>
      <c r="I103" s="107">
        <v>45916</v>
      </c>
      <c r="J103" t="s">
        <v>13</v>
      </c>
      <c r="K103" t="s">
        <v>123</v>
      </c>
      <c r="L103">
        <v>-17.5</v>
      </c>
    </row>
    <row r="104" spans="1:12" x14ac:dyDescent="0.2">
      <c r="A104" s="107">
        <v>45898</v>
      </c>
      <c r="B104" t="s">
        <v>13</v>
      </c>
      <c r="C104" t="s">
        <v>111</v>
      </c>
      <c r="D104">
        <v>-46.5</v>
      </c>
      <c r="E104">
        <f t="shared" si="1"/>
        <v>46.5</v>
      </c>
      <c r="I104" s="107">
        <v>45916</v>
      </c>
      <c r="J104" t="s">
        <v>13</v>
      </c>
      <c r="K104" t="s">
        <v>157</v>
      </c>
      <c r="L104">
        <v>-4.7</v>
      </c>
    </row>
    <row r="105" spans="1:12" x14ac:dyDescent="0.2">
      <c r="A105" s="107">
        <v>45898</v>
      </c>
      <c r="B105" t="s">
        <v>13</v>
      </c>
      <c r="C105" t="s">
        <v>167</v>
      </c>
      <c r="D105">
        <v>-15</v>
      </c>
      <c r="E105">
        <f t="shared" si="1"/>
        <v>15</v>
      </c>
      <c r="I105" s="107">
        <v>45916</v>
      </c>
      <c r="J105" t="s">
        <v>13</v>
      </c>
      <c r="K105" t="s">
        <v>157</v>
      </c>
      <c r="L105">
        <v>-4.7</v>
      </c>
    </row>
    <row r="106" spans="1:12" x14ac:dyDescent="0.2">
      <c r="A106" s="107">
        <v>45899</v>
      </c>
      <c r="B106" t="s">
        <v>13</v>
      </c>
      <c r="C106" t="s">
        <v>15</v>
      </c>
      <c r="D106">
        <v>-29.25</v>
      </c>
      <c r="E106">
        <f t="shared" si="1"/>
        <v>29.25</v>
      </c>
      <c r="I106" s="107">
        <v>45916</v>
      </c>
      <c r="J106" t="s">
        <v>13</v>
      </c>
      <c r="K106" t="s">
        <v>15</v>
      </c>
      <c r="L106">
        <v>-2.9</v>
      </c>
    </row>
    <row r="107" spans="1:12" x14ac:dyDescent="0.2">
      <c r="A107" s="107">
        <v>45899</v>
      </c>
      <c r="B107" t="s">
        <v>13</v>
      </c>
      <c r="C107" t="s">
        <v>15</v>
      </c>
      <c r="D107">
        <v>-14.55</v>
      </c>
      <c r="E107">
        <f t="shared" si="1"/>
        <v>14.55</v>
      </c>
      <c r="I107" s="107">
        <v>45916</v>
      </c>
      <c r="J107" t="s">
        <v>13</v>
      </c>
      <c r="K107" t="s">
        <v>111</v>
      </c>
      <c r="L107">
        <v>-13.3</v>
      </c>
    </row>
    <row r="108" spans="1:12" x14ac:dyDescent="0.2">
      <c r="A108" s="107">
        <v>45899</v>
      </c>
      <c r="B108" t="s">
        <v>13</v>
      </c>
      <c r="C108" t="s">
        <v>157</v>
      </c>
      <c r="D108">
        <v>-3.2</v>
      </c>
      <c r="E108">
        <f t="shared" si="1"/>
        <v>3.2</v>
      </c>
      <c r="I108" s="107">
        <v>45886</v>
      </c>
      <c r="J108" t="s">
        <v>13</v>
      </c>
      <c r="K108" t="s">
        <v>157</v>
      </c>
      <c r="L108">
        <v>-3.4</v>
      </c>
    </row>
    <row r="109" spans="1:12" x14ac:dyDescent="0.2">
      <c r="A109" s="107">
        <v>45899</v>
      </c>
      <c r="B109" t="s">
        <v>13</v>
      </c>
      <c r="C109" t="s">
        <v>111</v>
      </c>
      <c r="D109">
        <v>-10</v>
      </c>
      <c r="E109">
        <f t="shared" si="1"/>
        <v>10</v>
      </c>
      <c r="I109" s="107">
        <v>45886</v>
      </c>
      <c r="J109" t="s">
        <v>13</v>
      </c>
      <c r="K109" t="s">
        <v>111</v>
      </c>
      <c r="L109">
        <v>-14.5</v>
      </c>
    </row>
    <row r="110" spans="1:12" x14ac:dyDescent="0.2">
      <c r="A110" s="107">
        <v>45899</v>
      </c>
      <c r="B110" t="s">
        <v>13</v>
      </c>
      <c r="C110" t="s">
        <v>166</v>
      </c>
      <c r="D110">
        <v>-250</v>
      </c>
      <c r="E110">
        <f t="shared" si="1"/>
        <v>250</v>
      </c>
      <c r="I110" s="107">
        <v>45917</v>
      </c>
      <c r="J110" t="s">
        <v>13</v>
      </c>
      <c r="K110" t="s">
        <v>111</v>
      </c>
      <c r="L110">
        <v>-15.5</v>
      </c>
    </row>
    <row r="111" spans="1:12" x14ac:dyDescent="0.2">
      <c r="A111" s="107">
        <v>45900</v>
      </c>
      <c r="B111" t="s">
        <v>13</v>
      </c>
      <c r="C111" t="s">
        <v>111</v>
      </c>
      <c r="D111">
        <v>-40</v>
      </c>
      <c r="E111">
        <f t="shared" si="1"/>
        <v>40</v>
      </c>
      <c r="I111" s="107">
        <v>45887</v>
      </c>
      <c r="J111" t="s">
        <v>13</v>
      </c>
      <c r="K111" t="s">
        <v>157</v>
      </c>
      <c r="L111">
        <v>-4.7</v>
      </c>
    </row>
    <row r="112" spans="1:12" x14ac:dyDescent="0.2">
      <c r="A112" s="107">
        <v>45901</v>
      </c>
      <c r="B112" t="s">
        <v>13</v>
      </c>
      <c r="C112" t="s">
        <v>15</v>
      </c>
      <c r="D112">
        <v>-1.65</v>
      </c>
      <c r="E112">
        <f t="shared" si="1"/>
        <v>1.65</v>
      </c>
      <c r="I112" s="107">
        <v>45887</v>
      </c>
      <c r="J112" t="s">
        <v>13</v>
      </c>
      <c r="K112" t="s">
        <v>113</v>
      </c>
      <c r="L112">
        <v>-8.3000000000000007</v>
      </c>
    </row>
    <row r="113" spans="1:12" x14ac:dyDescent="0.2">
      <c r="A113" s="107">
        <v>45901</v>
      </c>
      <c r="B113" t="s">
        <v>13</v>
      </c>
      <c r="C113" t="s">
        <v>157</v>
      </c>
      <c r="D113">
        <v>-4.7</v>
      </c>
      <c r="E113">
        <f t="shared" si="1"/>
        <v>4.7</v>
      </c>
      <c r="I113" s="107">
        <v>45887</v>
      </c>
      <c r="J113" t="s">
        <v>13</v>
      </c>
      <c r="K113" t="s">
        <v>157</v>
      </c>
      <c r="L113">
        <v>-3.3</v>
      </c>
    </row>
    <row r="114" spans="1:12" x14ac:dyDescent="0.2">
      <c r="A114" s="107">
        <v>45901</v>
      </c>
      <c r="B114" t="s">
        <v>13</v>
      </c>
      <c r="C114" t="s">
        <v>157</v>
      </c>
      <c r="D114">
        <v>-4.7</v>
      </c>
      <c r="E114">
        <f t="shared" si="1"/>
        <v>4.7</v>
      </c>
      <c r="I114" s="107">
        <v>45887</v>
      </c>
      <c r="J114" t="s">
        <v>13</v>
      </c>
      <c r="K114" t="s">
        <v>15</v>
      </c>
      <c r="L114">
        <v>-1.95</v>
      </c>
    </row>
    <row r="115" spans="1:12" x14ac:dyDescent="0.2">
      <c r="A115" s="107">
        <v>45901</v>
      </c>
      <c r="B115" t="s">
        <v>107</v>
      </c>
      <c r="C115" t="s">
        <v>108</v>
      </c>
      <c r="D115">
        <v>-726.2</v>
      </c>
      <c r="E115">
        <f t="shared" si="1"/>
        <v>726.2</v>
      </c>
      <c r="I115" s="107">
        <v>45918</v>
      </c>
      <c r="J115" t="s">
        <v>13</v>
      </c>
      <c r="K115" t="s">
        <v>157</v>
      </c>
      <c r="L115">
        <v>-4.7</v>
      </c>
    </row>
    <row r="116" spans="1:12" x14ac:dyDescent="0.2">
      <c r="A116" s="107">
        <v>45901</v>
      </c>
      <c r="B116" t="s">
        <v>13</v>
      </c>
      <c r="C116" t="s">
        <v>157</v>
      </c>
      <c r="D116">
        <v>-3.6</v>
      </c>
      <c r="E116">
        <f t="shared" si="1"/>
        <v>3.6</v>
      </c>
      <c r="I116" s="107">
        <v>45918</v>
      </c>
      <c r="J116" t="s">
        <v>13</v>
      </c>
      <c r="K116" t="s">
        <v>157</v>
      </c>
      <c r="L116">
        <v>-4.7</v>
      </c>
    </row>
    <row r="117" spans="1:12" x14ac:dyDescent="0.2">
      <c r="A117" s="107">
        <v>45901</v>
      </c>
      <c r="B117" t="s">
        <v>13</v>
      </c>
      <c r="C117" t="s">
        <v>158</v>
      </c>
      <c r="D117">
        <v>-0.01</v>
      </c>
      <c r="E117">
        <f t="shared" si="1"/>
        <v>0.01</v>
      </c>
      <c r="I117" s="107">
        <v>45918</v>
      </c>
      <c r="J117" t="s">
        <v>13</v>
      </c>
      <c r="K117" t="s">
        <v>157</v>
      </c>
      <c r="L117">
        <v>-4.7</v>
      </c>
    </row>
    <row r="118" spans="1:12" x14ac:dyDescent="0.2">
      <c r="A118" s="107">
        <v>45901</v>
      </c>
      <c r="B118" t="s">
        <v>13</v>
      </c>
      <c r="C118" t="s">
        <v>111</v>
      </c>
      <c r="D118">
        <v>-18.899999999999999</v>
      </c>
      <c r="E118">
        <f t="shared" si="1"/>
        <v>18.899999999999999</v>
      </c>
      <c r="I118" s="107">
        <v>45918</v>
      </c>
      <c r="J118" t="s">
        <v>13</v>
      </c>
      <c r="K118" t="s">
        <v>121</v>
      </c>
      <c r="L118">
        <v>-2.85</v>
      </c>
    </row>
    <row r="119" spans="1:12" x14ac:dyDescent="0.2">
      <c r="A119" s="107">
        <v>45901</v>
      </c>
      <c r="B119" t="s">
        <v>13</v>
      </c>
      <c r="C119" t="s">
        <v>15</v>
      </c>
      <c r="D119">
        <v>-3.8</v>
      </c>
      <c r="E119">
        <f t="shared" si="1"/>
        <v>3.8</v>
      </c>
      <c r="I119" s="107">
        <v>45918</v>
      </c>
      <c r="J119" t="s">
        <v>13</v>
      </c>
      <c r="K119" t="s">
        <v>15</v>
      </c>
      <c r="L119">
        <v>-4.8</v>
      </c>
    </row>
    <row r="120" spans="1:12" x14ac:dyDescent="0.2">
      <c r="A120" s="107">
        <v>45902</v>
      </c>
      <c r="B120" t="s">
        <v>13</v>
      </c>
      <c r="C120" t="s">
        <v>157</v>
      </c>
      <c r="D120">
        <v>-4.7</v>
      </c>
      <c r="E120">
        <f t="shared" si="1"/>
        <v>4.7</v>
      </c>
      <c r="I120" s="107">
        <v>45888</v>
      </c>
      <c r="J120" t="s">
        <v>13</v>
      </c>
      <c r="K120" t="s">
        <v>157</v>
      </c>
      <c r="L120">
        <v>-3.4</v>
      </c>
    </row>
    <row r="121" spans="1:12" x14ac:dyDescent="0.2">
      <c r="A121" s="107">
        <v>45902</v>
      </c>
      <c r="B121" t="s">
        <v>13</v>
      </c>
      <c r="C121" t="s">
        <v>159</v>
      </c>
      <c r="D121">
        <v>-501.35</v>
      </c>
      <c r="E121">
        <f t="shared" si="1"/>
        <v>501.35</v>
      </c>
      <c r="I121" s="107">
        <v>45888</v>
      </c>
      <c r="J121" t="s">
        <v>13</v>
      </c>
      <c r="K121" t="s">
        <v>157</v>
      </c>
      <c r="L121">
        <v>-4.7</v>
      </c>
    </row>
    <row r="122" spans="1:12" x14ac:dyDescent="0.2">
      <c r="A122" s="107">
        <v>45903</v>
      </c>
      <c r="B122" t="s">
        <v>13</v>
      </c>
      <c r="C122" t="s">
        <v>111</v>
      </c>
      <c r="D122">
        <v>-18</v>
      </c>
      <c r="E122">
        <f t="shared" si="1"/>
        <v>18</v>
      </c>
      <c r="I122" s="107">
        <v>45888</v>
      </c>
      <c r="J122" t="s">
        <v>13</v>
      </c>
      <c r="K122" t="s">
        <v>111</v>
      </c>
      <c r="L122">
        <v>-9.5</v>
      </c>
    </row>
    <row r="123" spans="1:12" x14ac:dyDescent="0.2">
      <c r="A123" s="107">
        <v>45904</v>
      </c>
      <c r="B123" t="s">
        <v>13</v>
      </c>
      <c r="C123" t="s">
        <v>157</v>
      </c>
      <c r="D123">
        <v>-4.7</v>
      </c>
      <c r="E123">
        <f t="shared" si="1"/>
        <v>4.7</v>
      </c>
      <c r="I123" s="107">
        <v>45888</v>
      </c>
      <c r="J123" t="s">
        <v>109</v>
      </c>
      <c r="K123" t="s">
        <v>124</v>
      </c>
      <c r="L123">
        <v>-49.95</v>
      </c>
    </row>
    <row r="124" spans="1:12" x14ac:dyDescent="0.2">
      <c r="A124" s="107">
        <v>45904</v>
      </c>
      <c r="B124" t="s">
        <v>13</v>
      </c>
      <c r="C124" t="s">
        <v>113</v>
      </c>
      <c r="D124">
        <v>-9.1999999999999993</v>
      </c>
      <c r="E124">
        <f t="shared" si="1"/>
        <v>9.1999999999999993</v>
      </c>
      <c r="I124" s="107">
        <v>45888</v>
      </c>
      <c r="J124" t="s">
        <v>13</v>
      </c>
      <c r="K124" t="s">
        <v>15</v>
      </c>
      <c r="L124">
        <v>-1.95</v>
      </c>
    </row>
    <row r="125" spans="1:12" x14ac:dyDescent="0.2">
      <c r="A125" s="107">
        <v>45904</v>
      </c>
      <c r="B125" t="s">
        <v>13</v>
      </c>
      <c r="C125" t="s">
        <v>15</v>
      </c>
      <c r="D125">
        <v>-3.1</v>
      </c>
      <c r="E125">
        <f t="shared" si="1"/>
        <v>3.1</v>
      </c>
      <c r="I125" s="107">
        <v>45919</v>
      </c>
      <c r="J125" t="s">
        <v>13</v>
      </c>
      <c r="K125" t="s">
        <v>111</v>
      </c>
      <c r="L125">
        <v>-15.8</v>
      </c>
    </row>
    <row r="126" spans="1:12" x14ac:dyDescent="0.2">
      <c r="A126" s="107">
        <v>45904</v>
      </c>
      <c r="B126" t="s">
        <v>13</v>
      </c>
      <c r="C126" t="s">
        <v>160</v>
      </c>
      <c r="D126">
        <v>-150</v>
      </c>
      <c r="E126">
        <f t="shared" si="1"/>
        <v>150</v>
      </c>
      <c r="I126" s="107">
        <v>45919</v>
      </c>
      <c r="J126" t="s">
        <v>13</v>
      </c>
      <c r="K126" t="s">
        <v>111</v>
      </c>
      <c r="L126">
        <v>-40</v>
      </c>
    </row>
    <row r="127" spans="1:12" x14ac:dyDescent="0.2">
      <c r="A127" s="107">
        <v>45905</v>
      </c>
      <c r="B127" t="s">
        <v>13</v>
      </c>
      <c r="C127" t="s">
        <v>111</v>
      </c>
      <c r="D127">
        <v>-11.6</v>
      </c>
      <c r="E127">
        <f t="shared" si="1"/>
        <v>11.6</v>
      </c>
      <c r="I127" s="107">
        <v>45919</v>
      </c>
      <c r="J127" t="s">
        <v>109</v>
      </c>
      <c r="K127" t="s">
        <v>147</v>
      </c>
      <c r="L127">
        <v>-40</v>
      </c>
    </row>
    <row r="128" spans="1:12" x14ac:dyDescent="0.2">
      <c r="A128" s="107">
        <v>45905</v>
      </c>
      <c r="B128" t="s">
        <v>13</v>
      </c>
      <c r="C128" t="s">
        <v>111</v>
      </c>
      <c r="D128">
        <v>-40</v>
      </c>
      <c r="E128">
        <f t="shared" si="1"/>
        <v>40</v>
      </c>
      <c r="I128" s="107">
        <v>45919</v>
      </c>
      <c r="J128" t="s">
        <v>13</v>
      </c>
      <c r="K128" t="s">
        <v>125</v>
      </c>
      <c r="L128">
        <v>-35</v>
      </c>
    </row>
    <row r="129" spans="1:12" x14ac:dyDescent="0.2">
      <c r="A129" s="107">
        <v>45906</v>
      </c>
      <c r="B129" t="s">
        <v>13</v>
      </c>
      <c r="C129" t="s">
        <v>157</v>
      </c>
      <c r="D129">
        <v>-2</v>
      </c>
      <c r="E129">
        <f t="shared" si="1"/>
        <v>2</v>
      </c>
      <c r="I129" s="107">
        <v>45919</v>
      </c>
      <c r="J129" t="s">
        <v>13</v>
      </c>
      <c r="K129" t="s">
        <v>157</v>
      </c>
      <c r="L129">
        <v>-4.7</v>
      </c>
    </row>
    <row r="130" spans="1:12" x14ac:dyDescent="0.2">
      <c r="A130" s="107">
        <v>45906</v>
      </c>
      <c r="B130" t="s">
        <v>13</v>
      </c>
      <c r="C130" t="s">
        <v>15</v>
      </c>
      <c r="D130">
        <v>-34.76</v>
      </c>
      <c r="E130">
        <f t="shared" si="1"/>
        <v>34.76</v>
      </c>
      <c r="I130" s="107">
        <v>45889</v>
      </c>
      <c r="J130" t="s">
        <v>13</v>
      </c>
      <c r="K130" t="s">
        <v>157</v>
      </c>
      <c r="L130">
        <v>-4.7</v>
      </c>
    </row>
    <row r="131" spans="1:12" x14ac:dyDescent="0.2">
      <c r="A131" s="107">
        <v>45906</v>
      </c>
      <c r="B131" t="s">
        <v>13</v>
      </c>
      <c r="C131" t="s">
        <v>157</v>
      </c>
      <c r="D131">
        <v>-2</v>
      </c>
      <c r="E131">
        <f t="shared" ref="E131:E194" si="2">ABS(D131)</f>
        <v>2</v>
      </c>
      <c r="I131" s="107">
        <v>45889</v>
      </c>
      <c r="J131" t="s">
        <v>13</v>
      </c>
      <c r="K131" t="s">
        <v>157</v>
      </c>
      <c r="L131">
        <v>-3.4</v>
      </c>
    </row>
    <row r="132" spans="1:12" x14ac:dyDescent="0.2">
      <c r="A132" s="107">
        <v>45907</v>
      </c>
      <c r="B132" t="s">
        <v>13</v>
      </c>
      <c r="C132" t="s">
        <v>157</v>
      </c>
      <c r="D132">
        <v>-4.7</v>
      </c>
      <c r="E132">
        <f t="shared" si="2"/>
        <v>4.7</v>
      </c>
      <c r="I132" s="107">
        <v>45889</v>
      </c>
      <c r="J132" t="s">
        <v>13</v>
      </c>
      <c r="K132" t="s">
        <v>15</v>
      </c>
      <c r="L132">
        <v>-6.05</v>
      </c>
    </row>
    <row r="133" spans="1:12" x14ac:dyDescent="0.2">
      <c r="A133" s="107">
        <v>45907</v>
      </c>
      <c r="B133" t="s">
        <v>13</v>
      </c>
      <c r="C133" t="s">
        <v>162</v>
      </c>
      <c r="D133">
        <v>-55</v>
      </c>
      <c r="E133">
        <f t="shared" si="2"/>
        <v>55</v>
      </c>
      <c r="I133" s="107">
        <v>45889</v>
      </c>
      <c r="J133" t="s">
        <v>13</v>
      </c>
      <c r="K133" t="s">
        <v>111</v>
      </c>
      <c r="L133">
        <v>-10.9</v>
      </c>
    </row>
    <row r="134" spans="1:12" x14ac:dyDescent="0.2">
      <c r="A134" s="107">
        <v>45907</v>
      </c>
      <c r="B134" t="s">
        <v>13</v>
      </c>
      <c r="C134" t="s">
        <v>15</v>
      </c>
      <c r="D134">
        <v>-1.95</v>
      </c>
      <c r="E134">
        <f t="shared" si="2"/>
        <v>1.95</v>
      </c>
      <c r="I134" s="107">
        <v>45920</v>
      </c>
      <c r="J134" t="s">
        <v>13</v>
      </c>
      <c r="K134" t="s">
        <v>111</v>
      </c>
      <c r="L134">
        <v>-26</v>
      </c>
    </row>
    <row r="135" spans="1:12" x14ac:dyDescent="0.2">
      <c r="A135" s="107">
        <v>45907</v>
      </c>
      <c r="B135" t="s">
        <v>13</v>
      </c>
      <c r="C135" t="s">
        <v>157</v>
      </c>
      <c r="D135">
        <v>-4.7</v>
      </c>
      <c r="E135">
        <f t="shared" si="2"/>
        <v>4.7</v>
      </c>
      <c r="I135" s="107">
        <v>45920</v>
      </c>
      <c r="J135" t="s">
        <v>10</v>
      </c>
      <c r="K135" t="s">
        <v>105</v>
      </c>
      <c r="L135">
        <v>38</v>
      </c>
    </row>
    <row r="136" spans="1:12" x14ac:dyDescent="0.2">
      <c r="A136" s="107">
        <v>45908</v>
      </c>
      <c r="B136" t="s">
        <v>13</v>
      </c>
      <c r="C136" t="s">
        <v>15</v>
      </c>
      <c r="D136">
        <v>-16.5</v>
      </c>
      <c r="E136">
        <f t="shared" si="2"/>
        <v>16.5</v>
      </c>
      <c r="I136" s="107">
        <v>45920</v>
      </c>
      <c r="J136" t="s">
        <v>13</v>
      </c>
      <c r="K136" t="s">
        <v>111</v>
      </c>
      <c r="L136">
        <v>-13.5</v>
      </c>
    </row>
    <row r="137" spans="1:12" x14ac:dyDescent="0.2">
      <c r="A137" s="107">
        <v>45908</v>
      </c>
      <c r="B137" t="s">
        <v>13</v>
      </c>
      <c r="C137" t="s">
        <v>158</v>
      </c>
      <c r="D137">
        <v>-7</v>
      </c>
      <c r="E137">
        <f t="shared" si="2"/>
        <v>7</v>
      </c>
      <c r="I137" s="107">
        <v>45920</v>
      </c>
      <c r="J137" t="s">
        <v>13</v>
      </c>
      <c r="K137" t="s">
        <v>15</v>
      </c>
      <c r="L137">
        <v>-76.849999999999994</v>
      </c>
    </row>
    <row r="138" spans="1:12" x14ac:dyDescent="0.2">
      <c r="A138" s="107">
        <v>45909</v>
      </c>
      <c r="B138" t="s">
        <v>13</v>
      </c>
      <c r="C138" t="s">
        <v>157</v>
      </c>
      <c r="D138">
        <v>-4.7</v>
      </c>
      <c r="E138">
        <f t="shared" si="2"/>
        <v>4.7</v>
      </c>
      <c r="I138" s="107">
        <v>45890</v>
      </c>
      <c r="J138" t="s">
        <v>13</v>
      </c>
      <c r="K138" t="s">
        <v>157</v>
      </c>
      <c r="L138">
        <v>-4.7</v>
      </c>
    </row>
    <row r="139" spans="1:12" x14ac:dyDescent="0.2">
      <c r="A139" s="107">
        <v>45909</v>
      </c>
      <c r="B139" t="s">
        <v>13</v>
      </c>
      <c r="C139" t="s">
        <v>157</v>
      </c>
      <c r="D139">
        <v>-4.7</v>
      </c>
      <c r="E139">
        <f t="shared" si="2"/>
        <v>4.7</v>
      </c>
      <c r="I139" s="107">
        <v>45890</v>
      </c>
      <c r="J139" t="s">
        <v>13</v>
      </c>
      <c r="K139" t="s">
        <v>157</v>
      </c>
      <c r="L139">
        <v>-3.4</v>
      </c>
    </row>
    <row r="140" spans="1:12" x14ac:dyDescent="0.2">
      <c r="A140" s="107">
        <v>45910</v>
      </c>
      <c r="B140" t="s">
        <v>13</v>
      </c>
      <c r="C140" t="s">
        <v>111</v>
      </c>
      <c r="D140">
        <v>-13.7</v>
      </c>
      <c r="E140">
        <f t="shared" si="2"/>
        <v>13.7</v>
      </c>
      <c r="I140" s="107">
        <v>45921</v>
      </c>
      <c r="J140" t="s">
        <v>109</v>
      </c>
      <c r="K140" t="s">
        <v>148</v>
      </c>
      <c r="L140">
        <v>-12.41</v>
      </c>
    </row>
    <row r="141" spans="1:12" x14ac:dyDescent="0.2">
      <c r="A141" s="107">
        <v>45910</v>
      </c>
      <c r="B141" t="s">
        <v>13</v>
      </c>
      <c r="C141" t="s">
        <v>113</v>
      </c>
      <c r="D141">
        <v>-11.95</v>
      </c>
      <c r="E141">
        <f t="shared" si="2"/>
        <v>11.95</v>
      </c>
      <c r="I141" s="107">
        <v>45921</v>
      </c>
      <c r="J141" t="s">
        <v>13</v>
      </c>
      <c r="K141" t="s">
        <v>111</v>
      </c>
      <c r="L141">
        <v>-26.5</v>
      </c>
    </row>
    <row r="142" spans="1:12" x14ac:dyDescent="0.2">
      <c r="A142" s="107">
        <v>45910</v>
      </c>
      <c r="B142" t="s">
        <v>13</v>
      </c>
      <c r="C142" t="s">
        <v>111</v>
      </c>
      <c r="D142">
        <v>-18.100000000000001</v>
      </c>
      <c r="E142">
        <f t="shared" si="2"/>
        <v>18.100000000000001</v>
      </c>
      <c r="I142" s="107">
        <v>45891</v>
      </c>
      <c r="J142" t="s">
        <v>10</v>
      </c>
      <c r="K142" t="s">
        <v>127</v>
      </c>
      <c r="L142">
        <v>956</v>
      </c>
    </row>
    <row r="143" spans="1:12" x14ac:dyDescent="0.2">
      <c r="A143" s="107">
        <v>45910</v>
      </c>
      <c r="B143" t="s">
        <v>13</v>
      </c>
      <c r="C143" t="s">
        <v>104</v>
      </c>
      <c r="D143">
        <v>-40</v>
      </c>
      <c r="E143">
        <f t="shared" si="2"/>
        <v>40</v>
      </c>
      <c r="I143" s="107">
        <v>45891</v>
      </c>
      <c r="J143" t="s">
        <v>13</v>
      </c>
      <c r="K143" t="s">
        <v>157</v>
      </c>
      <c r="L143">
        <v>-4.7</v>
      </c>
    </row>
    <row r="144" spans="1:12" x14ac:dyDescent="0.2">
      <c r="A144" s="107">
        <v>45911</v>
      </c>
      <c r="B144" t="s">
        <v>13</v>
      </c>
      <c r="C144" t="s">
        <v>157</v>
      </c>
      <c r="D144">
        <v>-4.7</v>
      </c>
      <c r="E144">
        <f t="shared" si="2"/>
        <v>4.7</v>
      </c>
      <c r="I144" s="107">
        <v>45891</v>
      </c>
      <c r="J144" t="s">
        <v>13</v>
      </c>
      <c r="K144" t="s">
        <v>15</v>
      </c>
      <c r="L144">
        <v>-0.85</v>
      </c>
    </row>
    <row r="145" spans="1:12" x14ac:dyDescent="0.2">
      <c r="A145" s="107">
        <v>45911</v>
      </c>
      <c r="B145" t="s">
        <v>13</v>
      </c>
      <c r="C145" t="s">
        <v>157</v>
      </c>
      <c r="D145">
        <v>-4.7</v>
      </c>
      <c r="E145">
        <f t="shared" si="2"/>
        <v>4.7</v>
      </c>
      <c r="I145" s="107">
        <v>45891</v>
      </c>
      <c r="J145" t="s">
        <v>13</v>
      </c>
      <c r="K145" t="s">
        <v>15</v>
      </c>
      <c r="L145">
        <v>-19.899999999999999</v>
      </c>
    </row>
    <row r="146" spans="1:12" x14ac:dyDescent="0.2">
      <c r="A146" s="107">
        <v>45911</v>
      </c>
      <c r="B146" t="s">
        <v>13</v>
      </c>
      <c r="C146" t="s">
        <v>15</v>
      </c>
      <c r="D146">
        <v>-3.15</v>
      </c>
      <c r="E146">
        <f t="shared" si="2"/>
        <v>3.15</v>
      </c>
      <c r="I146" s="107">
        <v>45891</v>
      </c>
      <c r="J146" t="s">
        <v>13</v>
      </c>
      <c r="K146" t="s">
        <v>111</v>
      </c>
      <c r="L146">
        <v>-9</v>
      </c>
    </row>
    <row r="147" spans="1:12" x14ac:dyDescent="0.2">
      <c r="A147" s="107">
        <v>45911</v>
      </c>
      <c r="B147" t="s">
        <v>13</v>
      </c>
      <c r="C147" t="s">
        <v>164</v>
      </c>
      <c r="D147">
        <v>-150</v>
      </c>
      <c r="E147">
        <f t="shared" si="2"/>
        <v>150</v>
      </c>
      <c r="I147" s="107">
        <v>45891</v>
      </c>
      <c r="J147" t="s">
        <v>13</v>
      </c>
      <c r="K147" t="s">
        <v>111</v>
      </c>
      <c r="L147">
        <v>-9.9</v>
      </c>
    </row>
    <row r="148" spans="1:12" x14ac:dyDescent="0.2">
      <c r="A148" s="107">
        <v>45912</v>
      </c>
      <c r="B148" t="s">
        <v>13</v>
      </c>
      <c r="C148" t="s">
        <v>15</v>
      </c>
      <c r="D148">
        <v>-17.05</v>
      </c>
      <c r="E148">
        <f t="shared" si="2"/>
        <v>17.05</v>
      </c>
      <c r="I148" s="107">
        <v>45922</v>
      </c>
      <c r="J148" t="s">
        <v>109</v>
      </c>
      <c r="K148" t="s">
        <v>149</v>
      </c>
      <c r="L148">
        <v>-79.7</v>
      </c>
    </row>
    <row r="149" spans="1:12" x14ac:dyDescent="0.2">
      <c r="A149" s="107">
        <v>45912</v>
      </c>
      <c r="B149" t="s">
        <v>13</v>
      </c>
      <c r="C149" t="s">
        <v>15</v>
      </c>
      <c r="D149">
        <v>-9.5</v>
      </c>
      <c r="E149">
        <f t="shared" si="2"/>
        <v>9.5</v>
      </c>
      <c r="I149" s="107">
        <v>45922</v>
      </c>
      <c r="J149" t="s">
        <v>13</v>
      </c>
      <c r="K149" t="s">
        <v>15</v>
      </c>
      <c r="L149">
        <v>-5.6</v>
      </c>
    </row>
    <row r="150" spans="1:12" x14ac:dyDescent="0.2">
      <c r="A150" s="107">
        <v>45913</v>
      </c>
      <c r="B150" t="s">
        <v>13</v>
      </c>
      <c r="C150" t="s">
        <v>15</v>
      </c>
      <c r="D150">
        <v>-8.9499999999999993</v>
      </c>
      <c r="E150">
        <f t="shared" si="2"/>
        <v>8.9499999999999993</v>
      </c>
      <c r="I150" s="107">
        <v>45922</v>
      </c>
      <c r="J150" t="s">
        <v>13</v>
      </c>
      <c r="K150" t="s">
        <v>126</v>
      </c>
      <c r="L150">
        <v>-61.1</v>
      </c>
    </row>
    <row r="151" spans="1:12" x14ac:dyDescent="0.2">
      <c r="A151" s="107">
        <v>45913</v>
      </c>
      <c r="B151" t="s">
        <v>13</v>
      </c>
      <c r="C151" t="s">
        <v>111</v>
      </c>
      <c r="D151">
        <v>-5.2</v>
      </c>
      <c r="E151">
        <f t="shared" si="2"/>
        <v>5.2</v>
      </c>
      <c r="I151" s="107">
        <v>45922</v>
      </c>
      <c r="J151" t="s">
        <v>10</v>
      </c>
      <c r="K151" t="s">
        <v>127</v>
      </c>
      <c r="L151">
        <v>956</v>
      </c>
    </row>
    <row r="152" spans="1:12" x14ac:dyDescent="0.2">
      <c r="A152" s="107">
        <v>45913</v>
      </c>
      <c r="B152" t="s">
        <v>13</v>
      </c>
      <c r="C152" t="s">
        <v>111</v>
      </c>
      <c r="D152">
        <v>-8.9</v>
      </c>
      <c r="E152">
        <f t="shared" si="2"/>
        <v>8.9</v>
      </c>
      <c r="I152" s="107">
        <v>45922</v>
      </c>
      <c r="J152" t="s">
        <v>109</v>
      </c>
      <c r="K152" t="s">
        <v>150</v>
      </c>
      <c r="L152">
        <v>-10.9</v>
      </c>
    </row>
    <row r="153" spans="1:12" x14ac:dyDescent="0.2">
      <c r="A153" s="107">
        <v>45913</v>
      </c>
      <c r="B153" t="s">
        <v>13</v>
      </c>
      <c r="C153" t="s">
        <v>111</v>
      </c>
      <c r="D153">
        <v>-30.58</v>
      </c>
      <c r="E153">
        <f t="shared" si="2"/>
        <v>30.58</v>
      </c>
      <c r="I153" s="107">
        <v>45892</v>
      </c>
      <c r="J153" t="s">
        <v>13</v>
      </c>
      <c r="K153" t="s">
        <v>151</v>
      </c>
      <c r="L153">
        <v>-45</v>
      </c>
    </row>
    <row r="154" spans="1:12" x14ac:dyDescent="0.2">
      <c r="A154" s="107">
        <v>45915</v>
      </c>
      <c r="B154" t="s">
        <v>13</v>
      </c>
      <c r="C154" t="s">
        <v>157</v>
      </c>
      <c r="D154">
        <v>-4.7</v>
      </c>
      <c r="E154">
        <f t="shared" si="2"/>
        <v>4.7</v>
      </c>
      <c r="I154" s="107">
        <v>45892</v>
      </c>
      <c r="J154" t="s">
        <v>13</v>
      </c>
      <c r="K154" t="s">
        <v>15</v>
      </c>
      <c r="L154">
        <v>-19.600000000000001</v>
      </c>
    </row>
    <row r="155" spans="1:12" x14ac:dyDescent="0.2">
      <c r="A155" s="107">
        <v>45915</v>
      </c>
      <c r="B155" t="s">
        <v>13</v>
      </c>
      <c r="C155" t="s">
        <v>111</v>
      </c>
      <c r="D155">
        <v>-36.85</v>
      </c>
      <c r="E155">
        <f t="shared" si="2"/>
        <v>36.85</v>
      </c>
      <c r="I155" s="107">
        <v>45892</v>
      </c>
      <c r="J155" t="s">
        <v>13</v>
      </c>
      <c r="K155" t="s">
        <v>15</v>
      </c>
      <c r="L155">
        <v>-77</v>
      </c>
    </row>
    <row r="156" spans="1:12" x14ac:dyDescent="0.2">
      <c r="A156" s="107">
        <v>45915</v>
      </c>
      <c r="B156" t="s">
        <v>13</v>
      </c>
      <c r="C156" t="s">
        <v>165</v>
      </c>
      <c r="D156">
        <v>-18</v>
      </c>
      <c r="E156">
        <f t="shared" si="2"/>
        <v>18</v>
      </c>
      <c r="I156" s="107">
        <v>45923</v>
      </c>
      <c r="J156" t="s">
        <v>13</v>
      </c>
      <c r="K156" t="s">
        <v>157</v>
      </c>
      <c r="L156">
        <v>-4.7</v>
      </c>
    </row>
    <row r="157" spans="1:12" x14ac:dyDescent="0.2">
      <c r="A157" s="107">
        <v>45915</v>
      </c>
      <c r="B157" t="s">
        <v>13</v>
      </c>
      <c r="C157" t="s">
        <v>157</v>
      </c>
      <c r="D157">
        <v>-9.6</v>
      </c>
      <c r="E157">
        <f t="shared" si="2"/>
        <v>9.6</v>
      </c>
      <c r="I157" s="107">
        <v>45923</v>
      </c>
      <c r="J157" t="s">
        <v>13</v>
      </c>
      <c r="K157" t="s">
        <v>157</v>
      </c>
      <c r="L157">
        <v>-4.7</v>
      </c>
    </row>
    <row r="158" spans="1:12" x14ac:dyDescent="0.2">
      <c r="A158" s="107">
        <v>45915</v>
      </c>
      <c r="B158" t="s">
        <v>13</v>
      </c>
      <c r="C158" t="s">
        <v>157</v>
      </c>
      <c r="D158">
        <v>-11.9</v>
      </c>
      <c r="E158">
        <f t="shared" si="2"/>
        <v>11.9</v>
      </c>
      <c r="I158" s="107">
        <v>45893</v>
      </c>
      <c r="J158" t="s">
        <v>13</v>
      </c>
      <c r="K158" t="s">
        <v>111</v>
      </c>
      <c r="L158">
        <v>-16</v>
      </c>
    </row>
    <row r="159" spans="1:12" x14ac:dyDescent="0.2">
      <c r="A159" s="107">
        <v>45916</v>
      </c>
      <c r="B159" t="s">
        <v>13</v>
      </c>
      <c r="C159" t="s">
        <v>111</v>
      </c>
      <c r="D159">
        <v>-17.5</v>
      </c>
      <c r="E159">
        <f t="shared" si="2"/>
        <v>17.5</v>
      </c>
      <c r="I159" s="107">
        <v>45893</v>
      </c>
      <c r="J159" t="s">
        <v>13</v>
      </c>
      <c r="K159" t="s">
        <v>157</v>
      </c>
      <c r="L159">
        <v>-3.6</v>
      </c>
    </row>
    <row r="160" spans="1:12" x14ac:dyDescent="0.2">
      <c r="A160" s="107">
        <v>45916</v>
      </c>
      <c r="B160" t="s">
        <v>13</v>
      </c>
      <c r="C160" t="s">
        <v>157</v>
      </c>
      <c r="D160">
        <v>-4.7</v>
      </c>
      <c r="E160">
        <f t="shared" si="2"/>
        <v>4.7</v>
      </c>
      <c r="I160" s="107">
        <v>45893</v>
      </c>
      <c r="J160" t="s">
        <v>13</v>
      </c>
      <c r="K160" t="s">
        <v>157</v>
      </c>
      <c r="L160">
        <v>-4.7</v>
      </c>
    </row>
    <row r="161" spans="1:12" x14ac:dyDescent="0.2">
      <c r="A161" s="107">
        <v>45916</v>
      </c>
      <c r="B161" t="s">
        <v>13</v>
      </c>
      <c r="C161" t="s">
        <v>157</v>
      </c>
      <c r="D161">
        <v>-4.7</v>
      </c>
      <c r="E161">
        <f t="shared" si="2"/>
        <v>4.7</v>
      </c>
      <c r="I161" s="107">
        <v>45924</v>
      </c>
      <c r="J161" t="s">
        <v>13</v>
      </c>
      <c r="K161" t="s">
        <v>15</v>
      </c>
      <c r="L161">
        <v>-2.7</v>
      </c>
    </row>
    <row r="162" spans="1:12" x14ac:dyDescent="0.2">
      <c r="A162" s="107">
        <v>45916</v>
      </c>
      <c r="B162" t="s">
        <v>13</v>
      </c>
      <c r="C162" t="s">
        <v>15</v>
      </c>
      <c r="D162">
        <v>-2.9</v>
      </c>
      <c r="E162">
        <f t="shared" si="2"/>
        <v>2.9</v>
      </c>
      <c r="I162" s="107">
        <v>45894</v>
      </c>
      <c r="J162" t="s">
        <v>13</v>
      </c>
      <c r="K162" t="s">
        <v>14</v>
      </c>
      <c r="L162">
        <v>-1912</v>
      </c>
    </row>
    <row r="163" spans="1:12" x14ac:dyDescent="0.2">
      <c r="A163" s="107">
        <v>45916</v>
      </c>
      <c r="B163" t="s">
        <v>13</v>
      </c>
      <c r="C163" t="s">
        <v>111</v>
      </c>
      <c r="D163">
        <v>-13.3</v>
      </c>
      <c r="E163">
        <f t="shared" si="2"/>
        <v>13.3</v>
      </c>
      <c r="I163" s="107">
        <v>45894</v>
      </c>
      <c r="J163" t="s">
        <v>13</v>
      </c>
      <c r="K163" t="s">
        <v>157</v>
      </c>
      <c r="L163">
        <v>-4.7</v>
      </c>
    </row>
    <row r="164" spans="1:12" x14ac:dyDescent="0.2">
      <c r="A164" s="107">
        <v>45917</v>
      </c>
      <c r="B164" t="s">
        <v>13</v>
      </c>
      <c r="C164" t="s">
        <v>111</v>
      </c>
      <c r="D164">
        <v>-15.5</v>
      </c>
      <c r="E164">
        <f t="shared" si="2"/>
        <v>15.5</v>
      </c>
      <c r="I164" s="107">
        <v>45894</v>
      </c>
      <c r="J164" t="s">
        <v>13</v>
      </c>
      <c r="K164" t="s">
        <v>157</v>
      </c>
      <c r="L164">
        <v>-3.4</v>
      </c>
    </row>
    <row r="165" spans="1:12" x14ac:dyDescent="0.2">
      <c r="A165" s="107">
        <v>45918</v>
      </c>
      <c r="B165" t="s">
        <v>13</v>
      </c>
      <c r="C165" t="s">
        <v>157</v>
      </c>
      <c r="D165">
        <v>-4.7</v>
      </c>
      <c r="E165">
        <f t="shared" si="2"/>
        <v>4.7</v>
      </c>
      <c r="I165" s="107">
        <v>45894</v>
      </c>
      <c r="J165" t="s">
        <v>13</v>
      </c>
      <c r="K165" t="s">
        <v>111</v>
      </c>
      <c r="L165">
        <v>-13.9</v>
      </c>
    </row>
    <row r="166" spans="1:12" x14ac:dyDescent="0.2">
      <c r="A166" s="107">
        <v>45918</v>
      </c>
      <c r="B166" t="s">
        <v>13</v>
      </c>
      <c r="C166" t="s">
        <v>157</v>
      </c>
      <c r="D166">
        <v>-4.7</v>
      </c>
      <c r="E166">
        <f t="shared" si="2"/>
        <v>4.7</v>
      </c>
      <c r="I166" s="107">
        <v>45894</v>
      </c>
      <c r="J166" t="s">
        <v>10</v>
      </c>
      <c r="K166" t="s">
        <v>105</v>
      </c>
      <c r="L166">
        <v>38</v>
      </c>
    </row>
    <row r="167" spans="1:12" x14ac:dyDescent="0.2">
      <c r="A167" s="107">
        <v>45918</v>
      </c>
      <c r="B167" t="s">
        <v>13</v>
      </c>
      <c r="C167" t="s">
        <v>157</v>
      </c>
      <c r="D167">
        <v>-4.7</v>
      </c>
      <c r="E167">
        <f t="shared" si="2"/>
        <v>4.7</v>
      </c>
      <c r="I167" s="107">
        <v>45894</v>
      </c>
      <c r="J167" t="s">
        <v>10</v>
      </c>
      <c r="K167" t="s">
        <v>128</v>
      </c>
      <c r="L167">
        <v>3587.1</v>
      </c>
    </row>
    <row r="168" spans="1:12" x14ac:dyDescent="0.2">
      <c r="A168" s="107">
        <v>45918</v>
      </c>
      <c r="B168" t="s">
        <v>13</v>
      </c>
      <c r="C168" t="s">
        <v>121</v>
      </c>
      <c r="D168">
        <v>-2.85</v>
      </c>
      <c r="E168">
        <f t="shared" si="2"/>
        <v>2.85</v>
      </c>
      <c r="I168" s="107">
        <v>45894</v>
      </c>
      <c r="J168" t="s">
        <v>10</v>
      </c>
      <c r="K168" t="s">
        <v>105</v>
      </c>
      <c r="L168">
        <v>30.55</v>
      </c>
    </row>
    <row r="169" spans="1:12" x14ac:dyDescent="0.2">
      <c r="A169" s="107">
        <v>45918</v>
      </c>
      <c r="B169" t="s">
        <v>13</v>
      </c>
      <c r="C169" t="s">
        <v>15</v>
      </c>
      <c r="D169">
        <v>-4.8</v>
      </c>
      <c r="E169">
        <f t="shared" si="2"/>
        <v>4.8</v>
      </c>
      <c r="I169" s="107">
        <v>45925</v>
      </c>
      <c r="J169" t="s">
        <v>13</v>
      </c>
      <c r="K169" t="s">
        <v>14</v>
      </c>
      <c r="L169">
        <v>-1912</v>
      </c>
    </row>
    <row r="170" spans="1:12" x14ac:dyDescent="0.2">
      <c r="A170" s="107">
        <v>45919</v>
      </c>
      <c r="B170" t="s">
        <v>13</v>
      </c>
      <c r="C170" t="s">
        <v>111</v>
      </c>
      <c r="D170">
        <v>-15.8</v>
      </c>
      <c r="E170">
        <f t="shared" si="2"/>
        <v>15.8</v>
      </c>
      <c r="I170" s="107">
        <v>45925</v>
      </c>
      <c r="J170" t="s">
        <v>10</v>
      </c>
      <c r="K170" t="s">
        <v>128</v>
      </c>
      <c r="L170">
        <v>8204.85</v>
      </c>
    </row>
    <row r="171" spans="1:12" x14ac:dyDescent="0.2">
      <c r="A171" s="107">
        <v>45919</v>
      </c>
      <c r="B171" t="s">
        <v>13</v>
      </c>
      <c r="C171" t="s">
        <v>111</v>
      </c>
      <c r="D171">
        <v>-40</v>
      </c>
      <c r="E171">
        <f t="shared" si="2"/>
        <v>40</v>
      </c>
      <c r="I171" s="107">
        <v>45925</v>
      </c>
      <c r="J171" t="s">
        <v>13</v>
      </c>
      <c r="K171" t="s">
        <v>111</v>
      </c>
      <c r="L171">
        <v>-44.5</v>
      </c>
    </row>
    <row r="172" spans="1:12" x14ac:dyDescent="0.2">
      <c r="A172" s="107">
        <v>45919</v>
      </c>
      <c r="B172" t="s">
        <v>13</v>
      </c>
      <c r="C172" t="s">
        <v>161</v>
      </c>
      <c r="D172">
        <v>-40</v>
      </c>
      <c r="E172">
        <f t="shared" si="2"/>
        <v>40</v>
      </c>
      <c r="I172" s="107">
        <v>45925</v>
      </c>
      <c r="J172" t="s">
        <v>13</v>
      </c>
      <c r="K172" t="s">
        <v>111</v>
      </c>
      <c r="L172">
        <v>-14</v>
      </c>
    </row>
    <row r="173" spans="1:12" x14ac:dyDescent="0.2">
      <c r="A173" s="107">
        <v>45919</v>
      </c>
      <c r="B173" t="s">
        <v>13</v>
      </c>
      <c r="C173" t="s">
        <v>111</v>
      </c>
      <c r="D173">
        <v>-35</v>
      </c>
      <c r="E173">
        <f t="shared" si="2"/>
        <v>35</v>
      </c>
      <c r="I173" s="107">
        <v>45925</v>
      </c>
      <c r="J173" t="s">
        <v>13</v>
      </c>
      <c r="K173" t="s">
        <v>15</v>
      </c>
      <c r="L173">
        <v>-11.45</v>
      </c>
    </row>
    <row r="174" spans="1:12" x14ac:dyDescent="0.2">
      <c r="A174" s="107">
        <v>45919</v>
      </c>
      <c r="B174" t="s">
        <v>13</v>
      </c>
      <c r="C174" t="s">
        <v>157</v>
      </c>
      <c r="D174">
        <v>-4.7</v>
      </c>
      <c r="E174">
        <f t="shared" si="2"/>
        <v>4.7</v>
      </c>
      <c r="I174" s="107">
        <v>45925</v>
      </c>
      <c r="J174" t="s">
        <v>13</v>
      </c>
      <c r="K174" t="s">
        <v>15</v>
      </c>
      <c r="L174">
        <v>-2.2000000000000002</v>
      </c>
    </row>
    <row r="175" spans="1:12" x14ac:dyDescent="0.2">
      <c r="A175" s="107">
        <v>45920</v>
      </c>
      <c r="B175" t="s">
        <v>13</v>
      </c>
      <c r="C175" t="s">
        <v>111</v>
      </c>
      <c r="D175">
        <v>-26</v>
      </c>
      <c r="E175">
        <f t="shared" si="2"/>
        <v>26</v>
      </c>
      <c r="I175" s="107">
        <v>45895</v>
      </c>
      <c r="J175" t="s">
        <v>13</v>
      </c>
      <c r="K175" t="s">
        <v>111</v>
      </c>
      <c r="L175">
        <v>-60</v>
      </c>
    </row>
    <row r="176" spans="1:12" x14ac:dyDescent="0.2">
      <c r="A176" s="107">
        <v>45920</v>
      </c>
      <c r="B176" t="s">
        <v>10</v>
      </c>
      <c r="C176" t="s">
        <v>105</v>
      </c>
      <c r="D176">
        <v>38</v>
      </c>
      <c r="E176">
        <f t="shared" si="2"/>
        <v>38</v>
      </c>
      <c r="I176" s="107">
        <v>45895</v>
      </c>
      <c r="J176" t="s">
        <v>13</v>
      </c>
      <c r="K176" t="s">
        <v>121</v>
      </c>
      <c r="L176">
        <v>-0.95</v>
      </c>
    </row>
    <row r="177" spans="1:12" x14ac:dyDescent="0.2">
      <c r="A177" s="107">
        <v>45920</v>
      </c>
      <c r="B177" t="s">
        <v>13</v>
      </c>
      <c r="C177" t="s">
        <v>111</v>
      </c>
      <c r="D177">
        <v>-13.5</v>
      </c>
      <c r="E177">
        <f t="shared" si="2"/>
        <v>13.5</v>
      </c>
      <c r="I177" s="107">
        <v>45895</v>
      </c>
      <c r="J177" t="s">
        <v>13</v>
      </c>
      <c r="K177" t="s">
        <v>152</v>
      </c>
      <c r="L177">
        <v>-952</v>
      </c>
    </row>
    <row r="178" spans="1:12" x14ac:dyDescent="0.2">
      <c r="A178" s="107">
        <v>45920</v>
      </c>
      <c r="B178" t="s">
        <v>13</v>
      </c>
      <c r="C178" t="s">
        <v>15</v>
      </c>
      <c r="D178">
        <v>-76.849999999999994</v>
      </c>
      <c r="E178">
        <f t="shared" si="2"/>
        <v>76.849999999999994</v>
      </c>
      <c r="I178" s="107">
        <v>45895</v>
      </c>
      <c r="J178" t="s">
        <v>13</v>
      </c>
      <c r="K178" t="s">
        <v>153</v>
      </c>
      <c r="L178">
        <v>-50</v>
      </c>
    </row>
    <row r="179" spans="1:12" x14ac:dyDescent="0.2">
      <c r="A179" s="107">
        <v>45921</v>
      </c>
      <c r="B179" t="s">
        <v>13</v>
      </c>
      <c r="C179" t="s">
        <v>158</v>
      </c>
      <c r="D179">
        <v>-12.41</v>
      </c>
      <c r="E179">
        <f t="shared" si="2"/>
        <v>12.41</v>
      </c>
      <c r="I179" s="107">
        <v>45895</v>
      </c>
      <c r="J179" t="s">
        <v>13</v>
      </c>
      <c r="K179" t="s">
        <v>157</v>
      </c>
      <c r="L179">
        <v>-4.7</v>
      </c>
    </row>
    <row r="180" spans="1:12" x14ac:dyDescent="0.2">
      <c r="A180" s="107">
        <v>45921</v>
      </c>
      <c r="B180" t="s">
        <v>13</v>
      </c>
      <c r="C180" t="s">
        <v>111</v>
      </c>
      <c r="D180">
        <v>-26.5</v>
      </c>
      <c r="E180">
        <f t="shared" si="2"/>
        <v>26.5</v>
      </c>
      <c r="I180" s="107">
        <v>45895</v>
      </c>
      <c r="J180" t="s">
        <v>10</v>
      </c>
      <c r="K180" t="s">
        <v>105</v>
      </c>
      <c r="L180">
        <v>30</v>
      </c>
    </row>
    <row r="181" spans="1:12" x14ac:dyDescent="0.2">
      <c r="A181" s="107">
        <v>45922</v>
      </c>
      <c r="B181" t="s">
        <v>13</v>
      </c>
      <c r="C181" t="s">
        <v>161</v>
      </c>
      <c r="D181">
        <v>-79.7</v>
      </c>
      <c r="E181">
        <f t="shared" si="2"/>
        <v>79.7</v>
      </c>
      <c r="I181" s="107">
        <v>45926</v>
      </c>
      <c r="J181" t="s">
        <v>13</v>
      </c>
      <c r="K181" t="s">
        <v>123</v>
      </c>
      <c r="L181">
        <v>-371.95</v>
      </c>
    </row>
    <row r="182" spans="1:12" x14ac:dyDescent="0.2">
      <c r="A182" s="107">
        <v>45922</v>
      </c>
      <c r="B182" t="s">
        <v>13</v>
      </c>
      <c r="C182" t="s">
        <v>15</v>
      </c>
      <c r="D182">
        <v>-5.6</v>
      </c>
      <c r="E182">
        <f t="shared" si="2"/>
        <v>5.6</v>
      </c>
      <c r="I182" s="107">
        <v>45926</v>
      </c>
      <c r="J182" t="s">
        <v>13</v>
      </c>
      <c r="K182" t="s">
        <v>15</v>
      </c>
      <c r="L182">
        <v>-9.5</v>
      </c>
    </row>
    <row r="183" spans="1:12" x14ac:dyDescent="0.2">
      <c r="A183" s="107">
        <v>45922</v>
      </c>
      <c r="B183" t="s">
        <v>13</v>
      </c>
      <c r="C183" t="s">
        <v>162</v>
      </c>
      <c r="D183">
        <v>-61.1</v>
      </c>
      <c r="E183">
        <f t="shared" si="2"/>
        <v>61.1</v>
      </c>
      <c r="I183" s="107">
        <v>45926</v>
      </c>
      <c r="J183" t="s">
        <v>10</v>
      </c>
      <c r="K183" t="s">
        <v>127</v>
      </c>
      <c r="L183">
        <v>743.9</v>
      </c>
    </row>
    <row r="184" spans="1:12" x14ac:dyDescent="0.2">
      <c r="A184" s="107">
        <v>45922</v>
      </c>
      <c r="B184" t="s">
        <v>10</v>
      </c>
      <c r="C184" t="s">
        <v>127</v>
      </c>
      <c r="D184">
        <v>956</v>
      </c>
      <c r="E184">
        <f t="shared" si="2"/>
        <v>956</v>
      </c>
      <c r="I184" s="107">
        <v>45926</v>
      </c>
      <c r="J184" t="s">
        <v>13</v>
      </c>
      <c r="K184" t="s">
        <v>129</v>
      </c>
      <c r="L184">
        <v>-40</v>
      </c>
    </row>
    <row r="185" spans="1:12" x14ac:dyDescent="0.2">
      <c r="A185" s="107">
        <v>45922</v>
      </c>
      <c r="B185" t="s">
        <v>13</v>
      </c>
      <c r="C185" t="s">
        <v>165</v>
      </c>
      <c r="D185">
        <v>-10.9</v>
      </c>
      <c r="E185">
        <f t="shared" si="2"/>
        <v>10.9</v>
      </c>
      <c r="I185" s="107">
        <v>45926</v>
      </c>
      <c r="J185" t="s">
        <v>13</v>
      </c>
      <c r="K185" t="s">
        <v>157</v>
      </c>
      <c r="L185">
        <v>-4.7</v>
      </c>
    </row>
    <row r="186" spans="1:12" x14ac:dyDescent="0.2">
      <c r="A186" s="107">
        <v>45923</v>
      </c>
      <c r="B186" t="s">
        <v>13</v>
      </c>
      <c r="C186" t="s">
        <v>157</v>
      </c>
      <c r="D186">
        <v>-4.7</v>
      </c>
      <c r="E186">
        <f t="shared" si="2"/>
        <v>4.7</v>
      </c>
      <c r="I186" s="107">
        <v>45896</v>
      </c>
      <c r="J186" t="s">
        <v>13</v>
      </c>
      <c r="K186" t="s">
        <v>157</v>
      </c>
      <c r="L186">
        <v>-4.7</v>
      </c>
    </row>
    <row r="187" spans="1:12" x14ac:dyDescent="0.2">
      <c r="A187" s="107">
        <v>45923</v>
      </c>
      <c r="B187" t="s">
        <v>13</v>
      </c>
      <c r="C187" t="s">
        <v>157</v>
      </c>
      <c r="D187">
        <v>-4.7</v>
      </c>
      <c r="E187">
        <f t="shared" si="2"/>
        <v>4.7</v>
      </c>
      <c r="I187" s="107">
        <v>45896</v>
      </c>
      <c r="J187" t="s">
        <v>13</v>
      </c>
      <c r="K187" t="s">
        <v>157</v>
      </c>
      <c r="L187">
        <v>-3.6</v>
      </c>
    </row>
    <row r="188" spans="1:12" x14ac:dyDescent="0.2">
      <c r="A188" s="107">
        <v>45924</v>
      </c>
      <c r="B188" t="s">
        <v>13</v>
      </c>
      <c r="C188" t="s">
        <v>15</v>
      </c>
      <c r="D188">
        <v>-2.7</v>
      </c>
      <c r="E188">
        <f t="shared" si="2"/>
        <v>2.7</v>
      </c>
      <c r="I188" s="107">
        <v>45896</v>
      </c>
      <c r="J188" t="s">
        <v>13</v>
      </c>
      <c r="K188" t="s">
        <v>15</v>
      </c>
      <c r="L188">
        <v>-14.2</v>
      </c>
    </row>
    <row r="189" spans="1:12" x14ac:dyDescent="0.2">
      <c r="A189" s="107">
        <v>45925</v>
      </c>
      <c r="B189" t="s">
        <v>13</v>
      </c>
      <c r="C189" t="s">
        <v>14</v>
      </c>
      <c r="D189">
        <v>-1912</v>
      </c>
      <c r="E189">
        <f t="shared" si="2"/>
        <v>1912</v>
      </c>
      <c r="I189" s="107">
        <v>45896</v>
      </c>
      <c r="J189" t="s">
        <v>13</v>
      </c>
      <c r="K189" t="s">
        <v>157</v>
      </c>
      <c r="L189">
        <v>-4.7</v>
      </c>
    </row>
    <row r="190" spans="1:12" x14ac:dyDescent="0.2">
      <c r="A190" s="107">
        <v>45925</v>
      </c>
      <c r="B190" t="s">
        <v>10</v>
      </c>
      <c r="C190" t="s">
        <v>128</v>
      </c>
      <c r="D190">
        <v>8204.85</v>
      </c>
      <c r="E190">
        <f t="shared" si="2"/>
        <v>8204.85</v>
      </c>
      <c r="I190" s="107">
        <v>45927</v>
      </c>
      <c r="J190" t="s">
        <v>109</v>
      </c>
      <c r="K190" t="s">
        <v>154</v>
      </c>
      <c r="L190">
        <v>-29</v>
      </c>
    </row>
    <row r="191" spans="1:12" x14ac:dyDescent="0.2">
      <c r="A191" s="107">
        <v>45925</v>
      </c>
      <c r="B191" t="s">
        <v>13</v>
      </c>
      <c r="C191" t="s">
        <v>111</v>
      </c>
      <c r="D191">
        <v>-44.5</v>
      </c>
      <c r="E191">
        <f t="shared" si="2"/>
        <v>44.5</v>
      </c>
      <c r="I191" s="107">
        <v>45927</v>
      </c>
      <c r="J191" t="s">
        <v>109</v>
      </c>
      <c r="K191" t="s">
        <v>155</v>
      </c>
      <c r="L191">
        <v>-41</v>
      </c>
    </row>
    <row r="192" spans="1:12" x14ac:dyDescent="0.2">
      <c r="A192" s="107">
        <v>45925</v>
      </c>
      <c r="B192" t="s">
        <v>13</v>
      </c>
      <c r="C192" t="s">
        <v>111</v>
      </c>
      <c r="D192">
        <v>-14</v>
      </c>
      <c r="E192">
        <f t="shared" si="2"/>
        <v>14</v>
      </c>
      <c r="I192" s="107">
        <v>45927</v>
      </c>
      <c r="J192" t="s">
        <v>13</v>
      </c>
      <c r="K192" t="s">
        <v>111</v>
      </c>
      <c r="L192">
        <v>-41.7</v>
      </c>
    </row>
    <row r="193" spans="1:12" x14ac:dyDescent="0.2">
      <c r="A193" s="107">
        <v>45925</v>
      </c>
      <c r="B193" t="s">
        <v>13</v>
      </c>
      <c r="C193" t="s">
        <v>15</v>
      </c>
      <c r="D193">
        <v>-11.45</v>
      </c>
      <c r="E193">
        <f t="shared" si="2"/>
        <v>11.45</v>
      </c>
      <c r="I193" s="107">
        <v>45927</v>
      </c>
      <c r="J193" t="s">
        <v>13</v>
      </c>
      <c r="K193" t="s">
        <v>111</v>
      </c>
      <c r="L193">
        <v>-13.5</v>
      </c>
    </row>
    <row r="194" spans="1:12" x14ac:dyDescent="0.2">
      <c r="A194" s="107">
        <v>45925</v>
      </c>
      <c r="B194" t="s">
        <v>13</v>
      </c>
      <c r="C194" t="s">
        <v>15</v>
      </c>
      <c r="D194">
        <v>-2.2000000000000002</v>
      </c>
      <c r="E194">
        <f t="shared" si="2"/>
        <v>2.2000000000000002</v>
      </c>
      <c r="I194" s="107">
        <v>45927</v>
      </c>
      <c r="J194" t="s">
        <v>13</v>
      </c>
      <c r="K194" t="s">
        <v>15</v>
      </c>
      <c r="L194">
        <v>-7.6</v>
      </c>
    </row>
    <row r="195" spans="1:12" x14ac:dyDescent="0.2">
      <c r="A195" s="107">
        <v>45926</v>
      </c>
      <c r="B195" t="s">
        <v>13</v>
      </c>
      <c r="C195" t="s">
        <v>166</v>
      </c>
      <c r="D195">
        <v>-371.95</v>
      </c>
      <c r="E195">
        <f t="shared" ref="E195:E258" si="3">ABS(D195)</f>
        <v>371.95</v>
      </c>
      <c r="I195" s="107">
        <v>45897</v>
      </c>
      <c r="J195" t="s">
        <v>13</v>
      </c>
      <c r="K195" t="s">
        <v>157</v>
      </c>
      <c r="L195">
        <v>-4.7</v>
      </c>
    </row>
    <row r="196" spans="1:12" x14ac:dyDescent="0.2">
      <c r="A196" s="107">
        <v>45926</v>
      </c>
      <c r="B196" t="s">
        <v>13</v>
      </c>
      <c r="C196" t="s">
        <v>15</v>
      </c>
      <c r="D196">
        <v>-9.5</v>
      </c>
      <c r="E196">
        <f t="shared" si="3"/>
        <v>9.5</v>
      </c>
      <c r="I196" s="107">
        <v>45897</v>
      </c>
      <c r="J196" t="s">
        <v>13</v>
      </c>
      <c r="K196" t="s">
        <v>15</v>
      </c>
      <c r="L196">
        <v>-19.899999999999999</v>
      </c>
    </row>
    <row r="197" spans="1:12" x14ac:dyDescent="0.2">
      <c r="A197" s="107">
        <v>45926</v>
      </c>
      <c r="B197" t="s">
        <v>10</v>
      </c>
      <c r="C197" t="s">
        <v>127</v>
      </c>
      <c r="D197">
        <v>743.9</v>
      </c>
      <c r="E197">
        <f t="shared" si="3"/>
        <v>743.9</v>
      </c>
      <c r="I197" s="107">
        <v>45897</v>
      </c>
      <c r="J197" t="s">
        <v>13</v>
      </c>
      <c r="K197" t="s">
        <v>111</v>
      </c>
      <c r="L197">
        <v>-30</v>
      </c>
    </row>
    <row r="198" spans="1:12" x14ac:dyDescent="0.2">
      <c r="A198" s="107">
        <v>45926</v>
      </c>
      <c r="B198" t="s">
        <v>13</v>
      </c>
      <c r="C198" t="s">
        <v>111</v>
      </c>
      <c r="D198">
        <v>-40</v>
      </c>
      <c r="E198">
        <f t="shared" si="3"/>
        <v>40</v>
      </c>
      <c r="I198" s="107">
        <v>45928</v>
      </c>
      <c r="J198" t="s">
        <v>109</v>
      </c>
      <c r="K198" t="s">
        <v>156</v>
      </c>
      <c r="L198">
        <v>-185</v>
      </c>
    </row>
    <row r="199" spans="1:12" x14ac:dyDescent="0.2">
      <c r="A199" s="107">
        <v>45926</v>
      </c>
      <c r="B199" t="s">
        <v>13</v>
      </c>
      <c r="C199" t="s">
        <v>157</v>
      </c>
      <c r="D199">
        <v>-4.7</v>
      </c>
      <c r="E199">
        <f t="shared" si="3"/>
        <v>4.7</v>
      </c>
      <c r="I199" s="107">
        <v>45928</v>
      </c>
      <c r="J199" t="s">
        <v>13</v>
      </c>
      <c r="K199" t="s">
        <v>157</v>
      </c>
      <c r="L199">
        <v>-4.7</v>
      </c>
    </row>
    <row r="200" spans="1:12" x14ac:dyDescent="0.2">
      <c r="A200" s="107">
        <v>45927</v>
      </c>
      <c r="B200" t="s">
        <v>13</v>
      </c>
      <c r="C200" t="s">
        <v>161</v>
      </c>
      <c r="D200">
        <v>-29</v>
      </c>
      <c r="E200">
        <f t="shared" si="3"/>
        <v>29</v>
      </c>
      <c r="I200" s="107">
        <v>45928</v>
      </c>
      <c r="J200" t="s">
        <v>13</v>
      </c>
      <c r="K200" t="s">
        <v>157</v>
      </c>
      <c r="L200">
        <v>-4.7</v>
      </c>
    </row>
    <row r="201" spans="1:12" x14ac:dyDescent="0.2">
      <c r="A201" s="107">
        <v>45927</v>
      </c>
      <c r="B201" t="s">
        <v>13</v>
      </c>
      <c r="C201" t="s">
        <v>161</v>
      </c>
      <c r="D201">
        <v>-41</v>
      </c>
      <c r="E201">
        <f t="shared" si="3"/>
        <v>41</v>
      </c>
      <c r="I201" s="107">
        <v>45928</v>
      </c>
      <c r="J201" t="s">
        <v>13</v>
      </c>
      <c r="K201" t="s">
        <v>15</v>
      </c>
      <c r="L201">
        <v>-1.95</v>
      </c>
    </row>
    <row r="202" spans="1:12" x14ac:dyDescent="0.2">
      <c r="A202" s="107">
        <v>45927</v>
      </c>
      <c r="B202" t="s">
        <v>13</v>
      </c>
      <c r="C202" t="s">
        <v>111</v>
      </c>
      <c r="D202">
        <v>-41.7</v>
      </c>
      <c r="E202">
        <f t="shared" si="3"/>
        <v>41.7</v>
      </c>
      <c r="I202" s="107">
        <v>45898</v>
      </c>
      <c r="J202" t="s">
        <v>13</v>
      </c>
      <c r="K202" t="s">
        <v>116</v>
      </c>
      <c r="L202">
        <v>-46.5</v>
      </c>
    </row>
    <row r="203" spans="1:12" x14ac:dyDescent="0.2">
      <c r="A203" s="107">
        <v>45927</v>
      </c>
      <c r="B203" t="s">
        <v>13</v>
      </c>
      <c r="C203" t="s">
        <v>111</v>
      </c>
      <c r="D203">
        <v>-13.5</v>
      </c>
      <c r="E203">
        <f t="shared" si="3"/>
        <v>13.5</v>
      </c>
      <c r="I203" s="107">
        <v>45898</v>
      </c>
      <c r="J203" t="s">
        <v>13</v>
      </c>
      <c r="K203" t="s">
        <v>131</v>
      </c>
      <c r="L203">
        <v>-15</v>
      </c>
    </row>
    <row r="204" spans="1:12" x14ac:dyDescent="0.2">
      <c r="A204" s="107">
        <v>45927</v>
      </c>
      <c r="B204" t="s">
        <v>13</v>
      </c>
      <c r="C204" t="s">
        <v>15</v>
      </c>
      <c r="D204">
        <v>-7.6</v>
      </c>
      <c r="E204">
        <f t="shared" si="3"/>
        <v>7.6</v>
      </c>
      <c r="I204" s="107">
        <v>45929</v>
      </c>
      <c r="J204" t="s">
        <v>13</v>
      </c>
      <c r="K204" t="s">
        <v>15</v>
      </c>
      <c r="L204">
        <v>-5.9</v>
      </c>
    </row>
    <row r="205" spans="1:12" x14ac:dyDescent="0.2">
      <c r="A205" s="107">
        <v>45928</v>
      </c>
      <c r="B205" t="s">
        <v>13</v>
      </c>
      <c r="C205" t="s">
        <v>158</v>
      </c>
      <c r="D205">
        <v>-185</v>
      </c>
      <c r="E205">
        <f t="shared" si="3"/>
        <v>185</v>
      </c>
      <c r="I205" s="107">
        <v>45929</v>
      </c>
      <c r="J205" t="s">
        <v>13</v>
      </c>
      <c r="K205" t="s">
        <v>125</v>
      </c>
      <c r="L205">
        <v>-182.9</v>
      </c>
    </row>
    <row r="206" spans="1:12" x14ac:dyDescent="0.2">
      <c r="A206" s="107">
        <v>45928</v>
      </c>
      <c r="B206" t="s">
        <v>13</v>
      </c>
      <c r="C206" t="s">
        <v>157</v>
      </c>
      <c r="D206">
        <v>-4.7</v>
      </c>
      <c r="E206">
        <f t="shared" si="3"/>
        <v>4.7</v>
      </c>
      <c r="I206" s="107">
        <v>45929</v>
      </c>
      <c r="J206" t="s">
        <v>13</v>
      </c>
      <c r="K206" t="s">
        <v>157</v>
      </c>
      <c r="L206">
        <v>-4.7</v>
      </c>
    </row>
    <row r="207" spans="1:12" x14ac:dyDescent="0.2">
      <c r="A207" s="107">
        <v>45928</v>
      </c>
      <c r="B207" t="s">
        <v>13</v>
      </c>
      <c r="C207" t="s">
        <v>157</v>
      </c>
      <c r="D207">
        <v>-4.7</v>
      </c>
      <c r="E207">
        <f t="shared" si="3"/>
        <v>4.7</v>
      </c>
      <c r="I207" s="107">
        <v>45929</v>
      </c>
      <c r="J207" t="s">
        <v>13</v>
      </c>
      <c r="K207" t="s">
        <v>157</v>
      </c>
      <c r="L207">
        <v>-4.7</v>
      </c>
    </row>
    <row r="208" spans="1:12" x14ac:dyDescent="0.2">
      <c r="A208" s="107">
        <v>45928</v>
      </c>
      <c r="B208" t="s">
        <v>13</v>
      </c>
      <c r="C208" t="s">
        <v>15</v>
      </c>
      <c r="D208">
        <v>-1.95</v>
      </c>
      <c r="E208">
        <f t="shared" si="3"/>
        <v>1.95</v>
      </c>
      <c r="I208" s="107">
        <v>45899</v>
      </c>
      <c r="J208" t="s">
        <v>13</v>
      </c>
      <c r="K208" t="s">
        <v>15</v>
      </c>
      <c r="L208">
        <v>-29.25</v>
      </c>
    </row>
    <row r="209" spans="1:12" x14ac:dyDescent="0.2">
      <c r="A209" s="107">
        <v>45929</v>
      </c>
      <c r="B209" t="s">
        <v>13</v>
      </c>
      <c r="C209" t="s">
        <v>15</v>
      </c>
      <c r="D209">
        <v>-5.9</v>
      </c>
      <c r="E209">
        <f t="shared" si="3"/>
        <v>5.9</v>
      </c>
      <c r="I209" s="107">
        <v>45899</v>
      </c>
      <c r="J209" t="s">
        <v>13</v>
      </c>
      <c r="K209" t="s">
        <v>15</v>
      </c>
      <c r="L209">
        <v>-14.55</v>
      </c>
    </row>
    <row r="210" spans="1:12" x14ac:dyDescent="0.2">
      <c r="A210" s="107">
        <v>45929</v>
      </c>
      <c r="B210" t="s">
        <v>13</v>
      </c>
      <c r="C210" t="s">
        <v>166</v>
      </c>
      <c r="D210">
        <v>-182.9</v>
      </c>
      <c r="E210">
        <f t="shared" si="3"/>
        <v>182.9</v>
      </c>
      <c r="I210" s="107">
        <v>45899</v>
      </c>
      <c r="J210" t="s">
        <v>13</v>
      </c>
      <c r="K210" t="s">
        <v>157</v>
      </c>
      <c r="L210">
        <v>-3.2</v>
      </c>
    </row>
    <row r="211" spans="1:12" x14ac:dyDescent="0.2">
      <c r="A211" s="107">
        <v>45929</v>
      </c>
      <c r="B211" t="s">
        <v>13</v>
      </c>
      <c r="C211" t="s">
        <v>157</v>
      </c>
      <c r="D211">
        <v>-4.7</v>
      </c>
      <c r="E211">
        <f t="shared" si="3"/>
        <v>4.7</v>
      </c>
      <c r="I211" s="107">
        <v>45899</v>
      </c>
      <c r="J211" t="s">
        <v>13</v>
      </c>
      <c r="K211" t="s">
        <v>116</v>
      </c>
      <c r="L211">
        <v>-10</v>
      </c>
    </row>
    <row r="212" spans="1:12" x14ac:dyDescent="0.2">
      <c r="A212" s="107">
        <v>45929</v>
      </c>
      <c r="B212" t="s">
        <v>13</v>
      </c>
      <c r="C212" t="s">
        <v>157</v>
      </c>
      <c r="D212">
        <v>-4.7</v>
      </c>
      <c r="E212">
        <f t="shared" si="3"/>
        <v>4.7</v>
      </c>
      <c r="I212" s="107">
        <v>45899</v>
      </c>
      <c r="J212" t="s">
        <v>13</v>
      </c>
      <c r="K212" t="s">
        <v>123</v>
      </c>
      <c r="L212">
        <v>-250</v>
      </c>
    </row>
    <row r="213" spans="1:12" x14ac:dyDescent="0.2">
      <c r="A213" s="107">
        <v>45930</v>
      </c>
      <c r="B213" t="s">
        <v>13</v>
      </c>
      <c r="C213" t="s">
        <v>167</v>
      </c>
      <c r="D213">
        <v>-15</v>
      </c>
      <c r="E213">
        <f t="shared" si="3"/>
        <v>15</v>
      </c>
      <c r="I213" s="107">
        <v>45930</v>
      </c>
      <c r="J213" t="s">
        <v>13</v>
      </c>
      <c r="K213" t="s">
        <v>131</v>
      </c>
      <c r="L213">
        <v>-15</v>
      </c>
    </row>
    <row r="214" spans="1:12" x14ac:dyDescent="0.2">
      <c r="A214" s="107">
        <v>45930</v>
      </c>
      <c r="B214" t="s">
        <v>13</v>
      </c>
      <c r="C214" t="s">
        <v>157</v>
      </c>
      <c r="D214">
        <v>-4.7</v>
      </c>
      <c r="E214">
        <f t="shared" si="3"/>
        <v>4.7</v>
      </c>
      <c r="I214" s="107">
        <v>45930</v>
      </c>
      <c r="J214" t="s">
        <v>13</v>
      </c>
      <c r="K214" t="s">
        <v>157</v>
      </c>
      <c r="L214">
        <v>-4.7</v>
      </c>
    </row>
    <row r="215" spans="1:12" x14ac:dyDescent="0.2">
      <c r="A215" s="107">
        <v>45930</v>
      </c>
      <c r="B215" t="s">
        <v>13</v>
      </c>
      <c r="C215" t="s">
        <v>157</v>
      </c>
      <c r="D215">
        <v>-4.7</v>
      </c>
      <c r="E215">
        <f t="shared" si="3"/>
        <v>4.7</v>
      </c>
      <c r="I215" s="107">
        <v>45930</v>
      </c>
      <c r="J215" t="s">
        <v>13</v>
      </c>
      <c r="K215" t="s">
        <v>157</v>
      </c>
      <c r="L215">
        <v>-4.7</v>
      </c>
    </row>
    <row r="216" spans="1:12" x14ac:dyDescent="0.2">
      <c r="A216" s="107">
        <v>45930</v>
      </c>
      <c r="B216" t="s">
        <v>13</v>
      </c>
      <c r="C216" t="s">
        <v>15</v>
      </c>
      <c r="D216">
        <v>-1.95</v>
      </c>
      <c r="E216">
        <f t="shared" si="3"/>
        <v>1.95</v>
      </c>
      <c r="I216" s="107">
        <v>45930</v>
      </c>
      <c r="J216" t="s">
        <v>13</v>
      </c>
      <c r="K216" t="s">
        <v>15</v>
      </c>
      <c r="L216">
        <v>-1.95</v>
      </c>
    </row>
    <row r="217" spans="1:12" x14ac:dyDescent="0.2">
      <c r="A217" s="107">
        <v>45930</v>
      </c>
      <c r="B217" t="s">
        <v>13</v>
      </c>
      <c r="C217" t="s">
        <v>161</v>
      </c>
      <c r="D217">
        <v>-20</v>
      </c>
      <c r="E217">
        <f t="shared" si="3"/>
        <v>20</v>
      </c>
      <c r="I217" s="107">
        <v>45930</v>
      </c>
      <c r="J217" t="s">
        <v>13</v>
      </c>
      <c r="K217" t="s">
        <v>130</v>
      </c>
      <c r="L217">
        <v>-20</v>
      </c>
    </row>
    <row r="218" spans="1:12" x14ac:dyDescent="0.2">
      <c r="A218" s="107">
        <v>45931</v>
      </c>
      <c r="B218" t="s">
        <v>13</v>
      </c>
      <c r="C218" t="s">
        <v>15</v>
      </c>
      <c r="D218">
        <v>-5.9</v>
      </c>
      <c r="E218">
        <f t="shared" si="3"/>
        <v>5.9</v>
      </c>
      <c r="I218" s="107">
        <v>45930</v>
      </c>
      <c r="J218" t="s">
        <v>13</v>
      </c>
      <c r="K218" t="s">
        <v>130</v>
      </c>
      <c r="L218">
        <v>-129</v>
      </c>
    </row>
    <row r="219" spans="1:12" x14ac:dyDescent="0.2">
      <c r="A219" s="107">
        <v>45931</v>
      </c>
      <c r="B219" t="s">
        <v>109</v>
      </c>
      <c r="C219" t="s">
        <v>178</v>
      </c>
      <c r="D219">
        <v>-0.01</v>
      </c>
      <c r="E219">
        <f t="shared" si="3"/>
        <v>0.01</v>
      </c>
      <c r="I219" s="107">
        <v>45900</v>
      </c>
      <c r="J219" t="s">
        <v>13</v>
      </c>
      <c r="K219" t="s">
        <v>111</v>
      </c>
      <c r="L219">
        <v>-40</v>
      </c>
    </row>
    <row r="220" spans="1:12" x14ac:dyDescent="0.2">
      <c r="A220" s="107">
        <v>45931</v>
      </c>
      <c r="B220" t="s">
        <v>13</v>
      </c>
      <c r="C220" t="s">
        <v>157</v>
      </c>
      <c r="D220">
        <v>-4.7</v>
      </c>
      <c r="E220">
        <f t="shared" si="3"/>
        <v>4.7</v>
      </c>
    </row>
    <row r="221" spans="1:12" x14ac:dyDescent="0.2">
      <c r="A221" s="107">
        <v>45931</v>
      </c>
      <c r="B221" t="s">
        <v>13</v>
      </c>
      <c r="C221" t="s">
        <v>157</v>
      </c>
      <c r="D221">
        <v>-4.7</v>
      </c>
      <c r="E221">
        <f t="shared" si="3"/>
        <v>4.7</v>
      </c>
    </row>
    <row r="222" spans="1:12" x14ac:dyDescent="0.2">
      <c r="A222" s="107">
        <v>45931</v>
      </c>
      <c r="B222" t="s">
        <v>13</v>
      </c>
      <c r="C222" t="s">
        <v>111</v>
      </c>
      <c r="D222">
        <v>-12.5</v>
      </c>
      <c r="E222">
        <f t="shared" si="3"/>
        <v>12.5</v>
      </c>
    </row>
    <row r="223" spans="1:12" x14ac:dyDescent="0.2">
      <c r="A223" s="107">
        <v>45932</v>
      </c>
      <c r="B223" t="s">
        <v>13</v>
      </c>
      <c r="C223" t="s">
        <v>15</v>
      </c>
      <c r="D223">
        <v>-15.2</v>
      </c>
      <c r="E223">
        <f t="shared" si="3"/>
        <v>15.2</v>
      </c>
    </row>
    <row r="224" spans="1:12" x14ac:dyDescent="0.2">
      <c r="A224" s="107">
        <v>45932</v>
      </c>
      <c r="B224" t="s">
        <v>13</v>
      </c>
      <c r="C224" t="s">
        <v>112</v>
      </c>
      <c r="D224">
        <v>-501.35</v>
      </c>
      <c r="E224">
        <f t="shared" si="3"/>
        <v>501.35</v>
      </c>
    </row>
    <row r="225" spans="1:5" x14ac:dyDescent="0.2">
      <c r="A225" s="107">
        <v>45932</v>
      </c>
      <c r="B225" t="s">
        <v>107</v>
      </c>
      <c r="C225" t="s">
        <v>108</v>
      </c>
      <c r="D225">
        <v>-838.5</v>
      </c>
      <c r="E225">
        <f t="shared" si="3"/>
        <v>838.5</v>
      </c>
    </row>
    <row r="226" spans="1:5" x14ac:dyDescent="0.2">
      <c r="A226" s="107">
        <v>45933</v>
      </c>
      <c r="B226" t="s">
        <v>13</v>
      </c>
      <c r="C226" t="s">
        <v>111</v>
      </c>
      <c r="D226">
        <v>-30</v>
      </c>
      <c r="E226">
        <f t="shared" si="3"/>
        <v>30</v>
      </c>
    </row>
    <row r="227" spans="1:5" x14ac:dyDescent="0.2">
      <c r="A227" s="107">
        <v>45933</v>
      </c>
      <c r="B227" t="s">
        <v>13</v>
      </c>
      <c r="C227" t="s">
        <v>15</v>
      </c>
      <c r="D227">
        <v>-5.9</v>
      </c>
      <c r="E227">
        <f t="shared" si="3"/>
        <v>5.9</v>
      </c>
    </row>
    <row r="228" spans="1:5" x14ac:dyDescent="0.2">
      <c r="A228" s="107">
        <v>45933</v>
      </c>
      <c r="B228" t="s">
        <v>13</v>
      </c>
      <c r="C228" t="s">
        <v>157</v>
      </c>
      <c r="D228">
        <v>-4.7</v>
      </c>
      <c r="E228">
        <f t="shared" si="3"/>
        <v>4.7</v>
      </c>
    </row>
    <row r="229" spans="1:5" x14ac:dyDescent="0.2">
      <c r="A229" s="107">
        <v>45933</v>
      </c>
      <c r="B229" t="s">
        <v>13</v>
      </c>
      <c r="C229" t="s">
        <v>157</v>
      </c>
      <c r="D229">
        <v>-4.7</v>
      </c>
      <c r="E229">
        <f t="shared" si="3"/>
        <v>4.7</v>
      </c>
    </row>
    <row r="230" spans="1:5" x14ac:dyDescent="0.2">
      <c r="A230" s="107">
        <v>45933</v>
      </c>
      <c r="B230" t="s">
        <v>13</v>
      </c>
      <c r="C230" t="s">
        <v>114</v>
      </c>
      <c r="D230">
        <v>-150</v>
      </c>
      <c r="E230">
        <f t="shared" si="3"/>
        <v>150</v>
      </c>
    </row>
    <row r="231" spans="1:5" x14ac:dyDescent="0.2">
      <c r="A231" s="107">
        <v>45934</v>
      </c>
      <c r="B231" t="s">
        <v>13</v>
      </c>
      <c r="C231" t="s">
        <v>15</v>
      </c>
      <c r="D231">
        <v>-21.3</v>
      </c>
      <c r="E231">
        <f t="shared" si="3"/>
        <v>21.3</v>
      </c>
    </row>
    <row r="232" spans="1:5" x14ac:dyDescent="0.2">
      <c r="A232" s="107">
        <v>45934</v>
      </c>
      <c r="B232" t="s">
        <v>13</v>
      </c>
      <c r="C232" t="s">
        <v>111</v>
      </c>
      <c r="D232">
        <v>-70</v>
      </c>
      <c r="E232">
        <f t="shared" si="3"/>
        <v>70</v>
      </c>
    </row>
    <row r="233" spans="1:5" x14ac:dyDescent="0.2">
      <c r="A233" s="107">
        <v>45934</v>
      </c>
      <c r="B233" t="s">
        <v>13</v>
      </c>
      <c r="C233" t="s">
        <v>157</v>
      </c>
      <c r="D233">
        <v>-4.7</v>
      </c>
      <c r="E233">
        <f t="shared" si="3"/>
        <v>4.7</v>
      </c>
    </row>
    <row r="234" spans="1:5" x14ac:dyDescent="0.2">
      <c r="A234" s="107">
        <v>45935</v>
      </c>
      <c r="B234" t="s">
        <v>109</v>
      </c>
      <c r="C234" t="s">
        <v>179</v>
      </c>
      <c r="D234">
        <v>-15.9</v>
      </c>
      <c r="E234">
        <f t="shared" si="3"/>
        <v>15.9</v>
      </c>
    </row>
    <row r="235" spans="1:5" x14ac:dyDescent="0.2">
      <c r="A235" s="107">
        <v>45935</v>
      </c>
      <c r="B235" t="s">
        <v>109</v>
      </c>
      <c r="C235" t="s">
        <v>180</v>
      </c>
      <c r="D235">
        <v>-10</v>
      </c>
      <c r="E235">
        <f t="shared" si="3"/>
        <v>10</v>
      </c>
    </row>
    <row r="236" spans="1:5" x14ac:dyDescent="0.2">
      <c r="A236" s="107">
        <v>45935</v>
      </c>
      <c r="B236" t="s">
        <v>109</v>
      </c>
      <c r="C236" t="s">
        <v>181</v>
      </c>
      <c r="D236">
        <v>-4.2</v>
      </c>
      <c r="E236">
        <f t="shared" si="3"/>
        <v>4.2</v>
      </c>
    </row>
    <row r="237" spans="1:5" x14ac:dyDescent="0.2">
      <c r="A237" s="107">
        <v>45935</v>
      </c>
      <c r="B237" t="s">
        <v>13</v>
      </c>
      <c r="C237" t="s">
        <v>157</v>
      </c>
      <c r="D237">
        <v>-11</v>
      </c>
      <c r="E237">
        <f t="shared" si="3"/>
        <v>11</v>
      </c>
    </row>
    <row r="238" spans="1:5" x14ac:dyDescent="0.2">
      <c r="A238" s="107">
        <v>45936</v>
      </c>
      <c r="B238" t="s">
        <v>13</v>
      </c>
      <c r="C238" t="s">
        <v>157</v>
      </c>
      <c r="D238">
        <v>-4.7</v>
      </c>
      <c r="E238">
        <f t="shared" si="3"/>
        <v>4.7</v>
      </c>
    </row>
    <row r="239" spans="1:5" x14ac:dyDescent="0.2">
      <c r="A239" s="107">
        <v>45936</v>
      </c>
      <c r="B239" t="s">
        <v>13</v>
      </c>
      <c r="C239" t="s">
        <v>15</v>
      </c>
      <c r="D239">
        <v>-3.95</v>
      </c>
      <c r="E239">
        <f t="shared" si="3"/>
        <v>3.95</v>
      </c>
    </row>
    <row r="240" spans="1:5" x14ac:dyDescent="0.2">
      <c r="A240" s="107">
        <v>45936</v>
      </c>
      <c r="B240" t="s">
        <v>13</v>
      </c>
      <c r="C240" t="s">
        <v>157</v>
      </c>
      <c r="D240">
        <v>-4.7</v>
      </c>
      <c r="E240">
        <f t="shared" si="3"/>
        <v>4.7</v>
      </c>
    </row>
    <row r="241" spans="1:5" x14ac:dyDescent="0.2">
      <c r="A241" s="107">
        <v>45937</v>
      </c>
      <c r="B241" t="s">
        <v>13</v>
      </c>
      <c r="C241" t="s">
        <v>15</v>
      </c>
      <c r="D241">
        <v>-60.2</v>
      </c>
      <c r="E241">
        <f t="shared" si="3"/>
        <v>60.2</v>
      </c>
    </row>
    <row r="242" spans="1:5" x14ac:dyDescent="0.2">
      <c r="A242" s="107">
        <v>45937</v>
      </c>
      <c r="B242" t="s">
        <v>13</v>
      </c>
      <c r="C242" t="s">
        <v>111</v>
      </c>
      <c r="D242">
        <v>-34</v>
      </c>
      <c r="E242">
        <f t="shared" si="3"/>
        <v>34</v>
      </c>
    </row>
    <row r="243" spans="1:5" x14ac:dyDescent="0.2">
      <c r="A243" s="107">
        <v>45937</v>
      </c>
      <c r="B243" t="s">
        <v>10</v>
      </c>
      <c r="C243" t="s">
        <v>105</v>
      </c>
      <c r="D243">
        <v>30.1</v>
      </c>
      <c r="E243">
        <f t="shared" si="3"/>
        <v>30.1</v>
      </c>
    </row>
    <row r="244" spans="1:5" x14ac:dyDescent="0.2">
      <c r="A244" s="107">
        <v>45937</v>
      </c>
      <c r="B244" t="s">
        <v>109</v>
      </c>
      <c r="C244" t="s">
        <v>182</v>
      </c>
      <c r="D244">
        <v>-4.99</v>
      </c>
      <c r="E244">
        <f t="shared" si="3"/>
        <v>4.99</v>
      </c>
    </row>
    <row r="245" spans="1:5" x14ac:dyDescent="0.2">
      <c r="A245" s="107">
        <v>45938</v>
      </c>
      <c r="B245" t="s">
        <v>13</v>
      </c>
      <c r="C245" t="s">
        <v>145</v>
      </c>
      <c r="D245">
        <v>-77.400000000000006</v>
      </c>
      <c r="E245">
        <f t="shared" si="3"/>
        <v>77.400000000000006</v>
      </c>
    </row>
    <row r="246" spans="1:5" x14ac:dyDescent="0.2">
      <c r="A246" s="107">
        <v>45938</v>
      </c>
      <c r="B246" t="s">
        <v>13</v>
      </c>
      <c r="C246" t="s">
        <v>183</v>
      </c>
      <c r="D246">
        <v>-54</v>
      </c>
      <c r="E246">
        <f t="shared" si="3"/>
        <v>54</v>
      </c>
    </row>
    <row r="247" spans="1:5" x14ac:dyDescent="0.2">
      <c r="A247" s="107">
        <v>45938</v>
      </c>
      <c r="B247" t="s">
        <v>13</v>
      </c>
      <c r="C247" t="s">
        <v>184</v>
      </c>
      <c r="D247">
        <v>-17</v>
      </c>
      <c r="E247">
        <f t="shared" si="3"/>
        <v>17</v>
      </c>
    </row>
    <row r="248" spans="1:5" x14ac:dyDescent="0.2">
      <c r="A248" s="107">
        <v>45938</v>
      </c>
      <c r="B248" t="s">
        <v>13</v>
      </c>
      <c r="C248" t="s">
        <v>157</v>
      </c>
      <c r="D248">
        <v>-9.6</v>
      </c>
      <c r="E248">
        <f t="shared" si="3"/>
        <v>9.6</v>
      </c>
    </row>
    <row r="249" spans="1:5" x14ac:dyDescent="0.2">
      <c r="A249" s="107">
        <v>45938</v>
      </c>
      <c r="B249" t="s">
        <v>13</v>
      </c>
      <c r="C249" t="s">
        <v>157</v>
      </c>
      <c r="D249">
        <v>-9.6</v>
      </c>
      <c r="E249">
        <f t="shared" si="3"/>
        <v>9.6</v>
      </c>
    </row>
    <row r="250" spans="1:5" x14ac:dyDescent="0.2">
      <c r="A250" s="107">
        <v>45938</v>
      </c>
      <c r="B250" t="s">
        <v>13</v>
      </c>
      <c r="C250" t="s">
        <v>157</v>
      </c>
      <c r="D250">
        <v>-4.7</v>
      </c>
      <c r="E250">
        <f t="shared" si="3"/>
        <v>4.7</v>
      </c>
    </row>
    <row r="251" spans="1:5" x14ac:dyDescent="0.2">
      <c r="A251" s="107">
        <v>45938</v>
      </c>
      <c r="B251" t="s">
        <v>10</v>
      </c>
      <c r="C251" t="s">
        <v>127</v>
      </c>
      <c r="D251">
        <v>9.6</v>
      </c>
      <c r="E251">
        <f t="shared" si="3"/>
        <v>9.6</v>
      </c>
    </row>
    <row r="252" spans="1:5" x14ac:dyDescent="0.2">
      <c r="A252" s="107">
        <v>45938</v>
      </c>
      <c r="B252" t="s">
        <v>13</v>
      </c>
      <c r="C252" t="s">
        <v>145</v>
      </c>
      <c r="D252">
        <v>-143.37</v>
      </c>
      <c r="E252">
        <f t="shared" si="3"/>
        <v>143.37</v>
      </c>
    </row>
    <row r="253" spans="1:5" x14ac:dyDescent="0.2">
      <c r="A253" s="107">
        <v>45938</v>
      </c>
      <c r="B253" t="s">
        <v>109</v>
      </c>
      <c r="C253" t="s">
        <v>146</v>
      </c>
      <c r="D253">
        <v>-18</v>
      </c>
      <c r="E253">
        <f t="shared" si="3"/>
        <v>18</v>
      </c>
    </row>
    <row r="254" spans="1:5" x14ac:dyDescent="0.2">
      <c r="A254" s="107">
        <v>45938</v>
      </c>
      <c r="B254" t="s">
        <v>13</v>
      </c>
      <c r="C254" t="s">
        <v>145</v>
      </c>
      <c r="D254">
        <v>-124.69</v>
      </c>
      <c r="E254">
        <f t="shared" si="3"/>
        <v>124.69</v>
      </c>
    </row>
    <row r="255" spans="1:5" x14ac:dyDescent="0.2">
      <c r="A255" s="107">
        <v>45938</v>
      </c>
      <c r="B255" t="s">
        <v>13</v>
      </c>
      <c r="C255" t="s">
        <v>15</v>
      </c>
      <c r="D255">
        <v>-5.9</v>
      </c>
      <c r="E255">
        <f t="shared" si="3"/>
        <v>5.9</v>
      </c>
    </row>
    <row r="256" spans="1:5" x14ac:dyDescent="0.2">
      <c r="A256" s="107">
        <v>45939</v>
      </c>
      <c r="B256" t="s">
        <v>10</v>
      </c>
      <c r="C256" t="s">
        <v>105</v>
      </c>
      <c r="D256">
        <v>6.5</v>
      </c>
      <c r="E256">
        <f t="shared" si="3"/>
        <v>6.5</v>
      </c>
    </row>
    <row r="257" spans="1:5" x14ac:dyDescent="0.2">
      <c r="A257" s="107">
        <v>45939</v>
      </c>
      <c r="B257" t="s">
        <v>13</v>
      </c>
      <c r="C257" t="s">
        <v>157</v>
      </c>
      <c r="D257">
        <v>-4.7</v>
      </c>
      <c r="E257">
        <f t="shared" si="3"/>
        <v>4.7</v>
      </c>
    </row>
    <row r="258" spans="1:5" x14ac:dyDescent="0.2">
      <c r="A258" s="107">
        <v>45939</v>
      </c>
      <c r="B258" t="s">
        <v>13</v>
      </c>
      <c r="C258" t="s">
        <v>111</v>
      </c>
      <c r="D258">
        <v>-9.5</v>
      </c>
      <c r="E258">
        <f t="shared" si="3"/>
        <v>9.5</v>
      </c>
    </row>
    <row r="259" spans="1:5" x14ac:dyDescent="0.2">
      <c r="A259" s="107">
        <v>45939</v>
      </c>
      <c r="B259" t="s">
        <v>13</v>
      </c>
      <c r="C259" t="s">
        <v>121</v>
      </c>
      <c r="D259">
        <v>-13</v>
      </c>
      <c r="E259">
        <f t="shared" ref="E259:E302" si="4">ABS(D259)</f>
        <v>13</v>
      </c>
    </row>
    <row r="260" spans="1:5" x14ac:dyDescent="0.2">
      <c r="A260" s="107">
        <v>45940</v>
      </c>
      <c r="B260" t="s">
        <v>13</v>
      </c>
      <c r="C260" t="s">
        <v>111</v>
      </c>
      <c r="D260">
        <v>-8</v>
      </c>
      <c r="E260">
        <f t="shared" si="4"/>
        <v>8</v>
      </c>
    </row>
    <row r="261" spans="1:5" x14ac:dyDescent="0.2">
      <c r="A261" s="107">
        <v>45940</v>
      </c>
      <c r="B261" t="s">
        <v>109</v>
      </c>
      <c r="C261" t="s">
        <v>185</v>
      </c>
      <c r="D261">
        <v>-43.9</v>
      </c>
      <c r="E261">
        <f t="shared" si="4"/>
        <v>43.9</v>
      </c>
    </row>
    <row r="262" spans="1:5" x14ac:dyDescent="0.2">
      <c r="A262" s="107">
        <v>45940</v>
      </c>
      <c r="B262" t="s">
        <v>109</v>
      </c>
      <c r="C262" t="s">
        <v>185</v>
      </c>
      <c r="D262">
        <v>-38.9</v>
      </c>
      <c r="E262">
        <f t="shared" si="4"/>
        <v>38.9</v>
      </c>
    </row>
    <row r="263" spans="1:5" x14ac:dyDescent="0.2">
      <c r="A263" s="107">
        <v>45940</v>
      </c>
      <c r="B263" t="s">
        <v>13</v>
      </c>
      <c r="C263" t="s">
        <v>140</v>
      </c>
      <c r="D263">
        <v>-32.35</v>
      </c>
      <c r="E263">
        <f t="shared" si="4"/>
        <v>32.35</v>
      </c>
    </row>
    <row r="264" spans="1:5" x14ac:dyDescent="0.2">
      <c r="A264" s="107">
        <v>45940</v>
      </c>
      <c r="B264" t="s">
        <v>13</v>
      </c>
      <c r="C264" t="s">
        <v>140</v>
      </c>
      <c r="D264">
        <v>-49</v>
      </c>
      <c r="E264">
        <f t="shared" si="4"/>
        <v>49</v>
      </c>
    </row>
    <row r="265" spans="1:5" x14ac:dyDescent="0.2">
      <c r="A265" s="107">
        <v>45940</v>
      </c>
      <c r="B265" t="s">
        <v>13</v>
      </c>
      <c r="C265" t="s">
        <v>140</v>
      </c>
      <c r="D265">
        <v>-49</v>
      </c>
      <c r="E265">
        <f t="shared" si="4"/>
        <v>49</v>
      </c>
    </row>
    <row r="266" spans="1:5" x14ac:dyDescent="0.2">
      <c r="A266" s="107">
        <v>45940</v>
      </c>
      <c r="B266" t="s">
        <v>13</v>
      </c>
      <c r="C266" t="s">
        <v>140</v>
      </c>
      <c r="D266">
        <v>-27.95</v>
      </c>
      <c r="E266">
        <f t="shared" si="4"/>
        <v>27.95</v>
      </c>
    </row>
    <row r="267" spans="1:5" x14ac:dyDescent="0.2">
      <c r="A267" s="107">
        <v>45941</v>
      </c>
      <c r="B267" t="s">
        <v>13</v>
      </c>
      <c r="C267" t="s">
        <v>111</v>
      </c>
      <c r="D267">
        <v>-30</v>
      </c>
      <c r="E267">
        <f t="shared" si="4"/>
        <v>30</v>
      </c>
    </row>
    <row r="268" spans="1:5" x14ac:dyDescent="0.2">
      <c r="A268" s="107">
        <v>45941</v>
      </c>
      <c r="B268" t="s">
        <v>13</v>
      </c>
      <c r="C268" t="s">
        <v>15</v>
      </c>
      <c r="D268">
        <v>-2.2000000000000002</v>
      </c>
      <c r="E268">
        <f t="shared" si="4"/>
        <v>2.2000000000000002</v>
      </c>
    </row>
    <row r="269" spans="1:5" x14ac:dyDescent="0.2">
      <c r="A269" s="107">
        <v>45941</v>
      </c>
      <c r="B269" t="s">
        <v>13</v>
      </c>
      <c r="C269" t="s">
        <v>15</v>
      </c>
      <c r="D269">
        <v>-8.6</v>
      </c>
      <c r="E269">
        <f t="shared" si="4"/>
        <v>8.6</v>
      </c>
    </row>
    <row r="270" spans="1:5" x14ac:dyDescent="0.2">
      <c r="A270" s="107">
        <v>45941</v>
      </c>
      <c r="B270" t="s">
        <v>13</v>
      </c>
      <c r="C270" t="s">
        <v>111</v>
      </c>
      <c r="D270">
        <v>-15</v>
      </c>
      <c r="E270">
        <f t="shared" si="4"/>
        <v>15</v>
      </c>
    </row>
    <row r="271" spans="1:5" x14ac:dyDescent="0.2">
      <c r="A271" s="107">
        <v>45942</v>
      </c>
      <c r="B271" t="s">
        <v>13</v>
      </c>
      <c r="C271" t="s">
        <v>111</v>
      </c>
      <c r="D271">
        <v>-54.5</v>
      </c>
      <c r="E271">
        <f t="shared" si="4"/>
        <v>54.5</v>
      </c>
    </row>
    <row r="272" spans="1:5" x14ac:dyDescent="0.2">
      <c r="A272" s="107">
        <v>45943</v>
      </c>
      <c r="B272" t="s">
        <v>13</v>
      </c>
      <c r="C272" t="s">
        <v>157</v>
      </c>
      <c r="D272">
        <v>-4.7</v>
      </c>
      <c r="E272">
        <f t="shared" si="4"/>
        <v>4.7</v>
      </c>
    </row>
    <row r="273" spans="1:5" x14ac:dyDescent="0.2">
      <c r="A273" s="107">
        <v>45943</v>
      </c>
      <c r="B273" t="s">
        <v>13</v>
      </c>
      <c r="C273" t="s">
        <v>186</v>
      </c>
      <c r="D273">
        <v>-170</v>
      </c>
      <c r="E273">
        <f t="shared" si="4"/>
        <v>170</v>
      </c>
    </row>
    <row r="274" spans="1:5" x14ac:dyDescent="0.2">
      <c r="A274" s="107">
        <v>45943</v>
      </c>
      <c r="B274" t="s">
        <v>13</v>
      </c>
      <c r="C274" t="s">
        <v>152</v>
      </c>
      <c r="D274">
        <v>-1000</v>
      </c>
      <c r="E274">
        <f t="shared" si="4"/>
        <v>1000</v>
      </c>
    </row>
    <row r="275" spans="1:5" x14ac:dyDescent="0.2">
      <c r="A275" s="107">
        <v>45943</v>
      </c>
      <c r="B275" t="s">
        <v>13</v>
      </c>
      <c r="C275" t="s">
        <v>157</v>
      </c>
      <c r="D275">
        <v>-4.7</v>
      </c>
      <c r="E275">
        <f t="shared" si="4"/>
        <v>4.7</v>
      </c>
    </row>
    <row r="276" spans="1:5" x14ac:dyDescent="0.2">
      <c r="A276" s="107">
        <v>45944</v>
      </c>
      <c r="B276" t="s">
        <v>13</v>
      </c>
      <c r="C276" t="s">
        <v>157</v>
      </c>
      <c r="D276">
        <v>-4.7</v>
      </c>
      <c r="E276">
        <f t="shared" si="4"/>
        <v>4.7</v>
      </c>
    </row>
    <row r="277" spans="1:5" x14ac:dyDescent="0.2">
      <c r="A277" s="107">
        <v>45944</v>
      </c>
      <c r="B277" t="s">
        <v>13</v>
      </c>
      <c r="C277" t="s">
        <v>157</v>
      </c>
      <c r="D277">
        <v>-4.7</v>
      </c>
      <c r="E277">
        <f t="shared" si="4"/>
        <v>4.7</v>
      </c>
    </row>
    <row r="278" spans="1:5" x14ac:dyDescent="0.2">
      <c r="A278" s="107">
        <v>45944</v>
      </c>
      <c r="B278" t="s">
        <v>13</v>
      </c>
      <c r="C278" t="s">
        <v>111</v>
      </c>
      <c r="D278">
        <v>-72.5</v>
      </c>
      <c r="E278">
        <f t="shared" si="4"/>
        <v>72.5</v>
      </c>
    </row>
    <row r="279" spans="1:5" x14ac:dyDescent="0.2">
      <c r="A279" s="107">
        <v>45945</v>
      </c>
      <c r="B279" t="s">
        <v>13</v>
      </c>
      <c r="C279" t="s">
        <v>111</v>
      </c>
      <c r="D279">
        <v>-12</v>
      </c>
      <c r="E279">
        <f t="shared" si="4"/>
        <v>12</v>
      </c>
    </row>
    <row r="280" spans="1:5" x14ac:dyDescent="0.2">
      <c r="A280" s="107">
        <v>45945</v>
      </c>
      <c r="B280" t="s">
        <v>13</v>
      </c>
      <c r="C280" t="s">
        <v>157</v>
      </c>
      <c r="D280">
        <v>-4.7</v>
      </c>
      <c r="E280">
        <f t="shared" si="4"/>
        <v>4.7</v>
      </c>
    </row>
    <row r="281" spans="1:5" x14ac:dyDescent="0.2">
      <c r="A281" s="107">
        <v>45945</v>
      </c>
      <c r="B281" t="s">
        <v>13</v>
      </c>
      <c r="C281" t="s">
        <v>157</v>
      </c>
      <c r="D281">
        <v>-4.7</v>
      </c>
      <c r="E281">
        <f t="shared" si="4"/>
        <v>4.7</v>
      </c>
    </row>
    <row r="282" spans="1:5" x14ac:dyDescent="0.2">
      <c r="A282" s="107">
        <v>45946</v>
      </c>
      <c r="B282" t="s">
        <v>13</v>
      </c>
      <c r="C282" t="s">
        <v>111</v>
      </c>
      <c r="D282">
        <v>-21.5</v>
      </c>
      <c r="E282">
        <f t="shared" si="4"/>
        <v>21.5</v>
      </c>
    </row>
    <row r="283" spans="1:5" x14ac:dyDescent="0.2">
      <c r="A283" s="107">
        <v>45946</v>
      </c>
      <c r="B283" t="s">
        <v>13</v>
      </c>
      <c r="C283" t="s">
        <v>157</v>
      </c>
      <c r="D283">
        <v>-4.7</v>
      </c>
      <c r="E283">
        <f t="shared" si="4"/>
        <v>4.7</v>
      </c>
    </row>
    <row r="284" spans="1:5" x14ac:dyDescent="0.2">
      <c r="A284" s="107">
        <v>45947</v>
      </c>
      <c r="B284" t="s">
        <v>13</v>
      </c>
      <c r="C284" t="s">
        <v>111</v>
      </c>
      <c r="D284">
        <v>-70</v>
      </c>
      <c r="E284">
        <f t="shared" si="4"/>
        <v>70</v>
      </c>
    </row>
    <row r="285" spans="1:5" x14ac:dyDescent="0.2">
      <c r="A285" s="107">
        <v>45947</v>
      </c>
      <c r="B285" t="s">
        <v>13</v>
      </c>
      <c r="C285" t="s">
        <v>187</v>
      </c>
      <c r="D285">
        <v>-1.1000000000000001</v>
      </c>
      <c r="E285">
        <f t="shared" si="4"/>
        <v>1.1000000000000001</v>
      </c>
    </row>
    <row r="286" spans="1:5" x14ac:dyDescent="0.2">
      <c r="A286" s="107">
        <v>45948</v>
      </c>
      <c r="B286" t="s">
        <v>13</v>
      </c>
      <c r="C286" t="s">
        <v>111</v>
      </c>
      <c r="D286">
        <v>-8.3000000000000007</v>
      </c>
      <c r="E286">
        <f t="shared" si="4"/>
        <v>8.3000000000000007</v>
      </c>
    </row>
    <row r="287" spans="1:5" x14ac:dyDescent="0.2">
      <c r="A287" s="107">
        <v>45948</v>
      </c>
      <c r="B287" t="s">
        <v>13</v>
      </c>
      <c r="C287" t="s">
        <v>15</v>
      </c>
      <c r="D287">
        <v>-15.2</v>
      </c>
      <c r="E287">
        <f t="shared" si="4"/>
        <v>15.2</v>
      </c>
    </row>
    <row r="288" spans="1:5" x14ac:dyDescent="0.2">
      <c r="A288" s="107">
        <v>45948</v>
      </c>
      <c r="B288" t="s">
        <v>13</v>
      </c>
      <c r="C288" t="s">
        <v>111</v>
      </c>
      <c r="D288">
        <v>-26.5</v>
      </c>
      <c r="E288">
        <f t="shared" si="4"/>
        <v>26.5</v>
      </c>
    </row>
    <row r="289" spans="1:13" x14ac:dyDescent="0.2">
      <c r="A289" s="107">
        <v>45950</v>
      </c>
      <c r="B289" t="s">
        <v>10</v>
      </c>
      <c r="C289" t="s">
        <v>105</v>
      </c>
      <c r="D289">
        <v>25</v>
      </c>
      <c r="E289">
        <f t="shared" si="4"/>
        <v>25</v>
      </c>
    </row>
    <row r="290" spans="1:13" x14ac:dyDescent="0.2">
      <c r="A290" s="107">
        <v>45950</v>
      </c>
      <c r="B290" t="s">
        <v>13</v>
      </c>
      <c r="C290" t="s">
        <v>188</v>
      </c>
      <c r="D290">
        <v>-3.48</v>
      </c>
      <c r="E290">
        <f t="shared" si="4"/>
        <v>3.48</v>
      </c>
    </row>
    <row r="291" spans="1:13" x14ac:dyDescent="0.2">
      <c r="A291" s="107">
        <v>45950</v>
      </c>
      <c r="B291" t="s">
        <v>13</v>
      </c>
      <c r="C291" t="s">
        <v>188</v>
      </c>
      <c r="D291">
        <v>-4.41</v>
      </c>
      <c r="E291">
        <f t="shared" si="4"/>
        <v>4.41</v>
      </c>
    </row>
    <row r="292" spans="1:13" x14ac:dyDescent="0.2">
      <c r="A292" s="107">
        <v>45950</v>
      </c>
      <c r="B292" t="s">
        <v>13</v>
      </c>
      <c r="C292" t="s">
        <v>15</v>
      </c>
      <c r="D292">
        <v>-61.7</v>
      </c>
      <c r="E292">
        <f t="shared" si="4"/>
        <v>61.7</v>
      </c>
    </row>
    <row r="293" spans="1:13" x14ac:dyDescent="0.2">
      <c r="A293" s="107">
        <v>45951</v>
      </c>
      <c r="B293" t="s">
        <v>13</v>
      </c>
      <c r="C293" t="s">
        <v>111</v>
      </c>
      <c r="D293">
        <v>-75</v>
      </c>
      <c r="E293">
        <f t="shared" si="4"/>
        <v>75</v>
      </c>
    </row>
    <row r="294" spans="1:13" x14ac:dyDescent="0.2">
      <c r="A294" s="107">
        <v>45951</v>
      </c>
      <c r="B294" t="s">
        <v>13</v>
      </c>
      <c r="C294" t="s">
        <v>157</v>
      </c>
      <c r="D294">
        <v>-11.9</v>
      </c>
      <c r="E294">
        <f t="shared" si="4"/>
        <v>11.9</v>
      </c>
    </row>
    <row r="295" spans="1:13" x14ac:dyDescent="0.2">
      <c r="A295" s="107">
        <v>45951</v>
      </c>
      <c r="B295" t="s">
        <v>13</v>
      </c>
      <c r="C295" t="s">
        <v>157</v>
      </c>
      <c r="D295">
        <v>-9.6</v>
      </c>
      <c r="E295">
        <f t="shared" si="4"/>
        <v>9.6</v>
      </c>
      <c r="I295" s="107">
        <v>45955</v>
      </c>
      <c r="J295" t="s">
        <v>13</v>
      </c>
      <c r="K295" t="s">
        <v>199</v>
      </c>
      <c r="L295">
        <v>-1296.3499999999999</v>
      </c>
    </row>
    <row r="296" spans="1:13" x14ac:dyDescent="0.2">
      <c r="A296" s="107">
        <v>45951</v>
      </c>
      <c r="B296" t="s">
        <v>13</v>
      </c>
      <c r="C296" t="s">
        <v>157</v>
      </c>
      <c r="D296">
        <v>-4.7</v>
      </c>
      <c r="E296">
        <f t="shared" si="4"/>
        <v>4.7</v>
      </c>
      <c r="I296" s="107">
        <v>45982</v>
      </c>
      <c r="J296" t="s">
        <v>109</v>
      </c>
      <c r="K296" t="s">
        <v>198</v>
      </c>
      <c r="L296">
        <v>-200</v>
      </c>
    </row>
    <row r="297" spans="1:13" x14ac:dyDescent="0.2">
      <c r="A297" s="107">
        <v>45952</v>
      </c>
      <c r="B297" t="s">
        <v>13</v>
      </c>
      <c r="C297" t="s">
        <v>189</v>
      </c>
      <c r="D297">
        <v>-17</v>
      </c>
      <c r="E297">
        <f t="shared" si="4"/>
        <v>17</v>
      </c>
      <c r="I297" s="107">
        <v>45986</v>
      </c>
      <c r="J297" t="s">
        <v>13</v>
      </c>
      <c r="K297" t="s">
        <v>199</v>
      </c>
      <c r="L297">
        <v>-1044.5999999999999</v>
      </c>
    </row>
    <row r="298" spans="1:13" x14ac:dyDescent="0.2">
      <c r="A298" s="107">
        <v>45953</v>
      </c>
      <c r="B298" t="s">
        <v>109</v>
      </c>
      <c r="C298" t="s">
        <v>190</v>
      </c>
      <c r="D298">
        <v>-54</v>
      </c>
      <c r="E298">
        <f t="shared" si="4"/>
        <v>54</v>
      </c>
    </row>
    <row r="299" spans="1:13" x14ac:dyDescent="0.2">
      <c r="A299" s="107">
        <v>45953</v>
      </c>
      <c r="B299" t="s">
        <v>13</v>
      </c>
      <c r="C299" t="s">
        <v>15</v>
      </c>
      <c r="D299">
        <v>-2.2999999999999998</v>
      </c>
      <c r="E299">
        <f t="shared" si="4"/>
        <v>2.2999999999999998</v>
      </c>
    </row>
    <row r="300" spans="1:13" x14ac:dyDescent="0.2">
      <c r="A300" s="107">
        <v>45953</v>
      </c>
      <c r="B300" t="s">
        <v>13</v>
      </c>
      <c r="C300" t="s">
        <v>15</v>
      </c>
      <c r="D300">
        <v>-9.5</v>
      </c>
      <c r="E300">
        <f t="shared" si="4"/>
        <v>9.5</v>
      </c>
    </row>
    <row r="301" spans="1:13" x14ac:dyDescent="0.2">
      <c r="A301" s="107">
        <v>45954</v>
      </c>
      <c r="B301" t="s">
        <v>10</v>
      </c>
      <c r="C301" t="s">
        <v>128</v>
      </c>
      <c r="D301">
        <v>8204.85</v>
      </c>
      <c r="E301">
        <f t="shared" si="4"/>
        <v>8204.85</v>
      </c>
    </row>
    <row r="302" spans="1:13" x14ac:dyDescent="0.2">
      <c r="A302" s="107">
        <v>45954</v>
      </c>
      <c r="B302" t="s">
        <v>13</v>
      </c>
      <c r="C302" t="s">
        <v>14</v>
      </c>
      <c r="D302">
        <v>-1912</v>
      </c>
      <c r="E302">
        <f t="shared" si="4"/>
        <v>1912</v>
      </c>
    </row>
    <row r="303" spans="1:13" x14ac:dyDescent="0.2">
      <c r="A303" s="107">
        <v>45955</v>
      </c>
      <c r="B303" t="s">
        <v>13</v>
      </c>
      <c r="C303" t="s">
        <v>157</v>
      </c>
      <c r="D303">
        <v>-4.7</v>
      </c>
      <c r="E303">
        <f>ABS(D303)</f>
        <v>4.7</v>
      </c>
      <c r="M303" s="119" t="s">
        <v>128</v>
      </c>
    </row>
    <row r="304" spans="1:13" x14ac:dyDescent="0.2">
      <c r="A304" s="107">
        <v>45955</v>
      </c>
      <c r="B304" t="s">
        <v>13</v>
      </c>
      <c r="C304" t="s">
        <v>157</v>
      </c>
      <c r="D304">
        <v>-4.7</v>
      </c>
      <c r="E304">
        <f t="shared" ref="E304:E367" si="5">ABS(D304)</f>
        <v>4.7</v>
      </c>
      <c r="M304" s="119" t="s">
        <v>127</v>
      </c>
    </row>
    <row r="305" spans="1:13" x14ac:dyDescent="0.2">
      <c r="A305" s="107">
        <v>45956</v>
      </c>
      <c r="B305" t="s">
        <v>13</v>
      </c>
      <c r="C305" t="s">
        <v>15</v>
      </c>
      <c r="D305">
        <v>-18</v>
      </c>
      <c r="E305">
        <f t="shared" si="5"/>
        <v>18</v>
      </c>
      <c r="M305" s="119" t="s">
        <v>105</v>
      </c>
    </row>
    <row r="306" spans="1:13" x14ac:dyDescent="0.2">
      <c r="A306" s="107">
        <v>45957</v>
      </c>
      <c r="B306" t="s">
        <v>13</v>
      </c>
      <c r="C306" t="s">
        <v>111</v>
      </c>
      <c r="D306">
        <v>-11</v>
      </c>
      <c r="E306">
        <f t="shared" si="5"/>
        <v>11</v>
      </c>
    </row>
    <row r="307" spans="1:13" x14ac:dyDescent="0.2">
      <c r="A307" s="107">
        <v>45957</v>
      </c>
      <c r="B307" t="s">
        <v>13</v>
      </c>
      <c r="C307" t="s">
        <v>104</v>
      </c>
      <c r="D307">
        <v>-18</v>
      </c>
      <c r="E307">
        <f t="shared" si="5"/>
        <v>18</v>
      </c>
    </row>
    <row r="308" spans="1:13" x14ac:dyDescent="0.2">
      <c r="A308" s="107">
        <v>45957</v>
      </c>
      <c r="B308" t="s">
        <v>13</v>
      </c>
      <c r="C308" t="s">
        <v>15</v>
      </c>
      <c r="D308">
        <v>-6.05</v>
      </c>
      <c r="E308">
        <f t="shared" si="5"/>
        <v>6.05</v>
      </c>
    </row>
    <row r="309" spans="1:13" x14ac:dyDescent="0.2">
      <c r="A309" s="107">
        <v>45958</v>
      </c>
      <c r="B309" t="s">
        <v>13</v>
      </c>
      <c r="C309" t="s">
        <v>15</v>
      </c>
      <c r="D309">
        <v>-5.9</v>
      </c>
      <c r="E309">
        <f t="shared" si="5"/>
        <v>5.9</v>
      </c>
    </row>
    <row r="310" spans="1:13" x14ac:dyDescent="0.2">
      <c r="A310" s="107">
        <v>45958</v>
      </c>
      <c r="B310" t="s">
        <v>13</v>
      </c>
      <c r="C310" t="s">
        <v>15</v>
      </c>
      <c r="D310">
        <v>-19.899999999999999</v>
      </c>
      <c r="E310">
        <f t="shared" si="5"/>
        <v>19.899999999999999</v>
      </c>
    </row>
    <row r="311" spans="1:13" x14ac:dyDescent="0.2">
      <c r="A311" s="107">
        <v>45958</v>
      </c>
      <c r="B311" t="s">
        <v>13</v>
      </c>
      <c r="C311" t="s">
        <v>111</v>
      </c>
      <c r="D311">
        <v>-35</v>
      </c>
      <c r="E311">
        <f t="shared" si="5"/>
        <v>35</v>
      </c>
    </row>
    <row r="312" spans="1:13" x14ac:dyDescent="0.2">
      <c r="A312" s="107">
        <v>45958</v>
      </c>
      <c r="B312" t="s">
        <v>13</v>
      </c>
      <c r="C312" t="s">
        <v>111</v>
      </c>
      <c r="D312">
        <v>-16</v>
      </c>
      <c r="E312">
        <f t="shared" si="5"/>
        <v>16</v>
      </c>
    </row>
    <row r="313" spans="1:13" x14ac:dyDescent="0.2">
      <c r="A313" s="107">
        <v>45958</v>
      </c>
      <c r="B313" t="s">
        <v>13</v>
      </c>
      <c r="C313" t="s">
        <v>157</v>
      </c>
      <c r="D313">
        <v>-4.7</v>
      </c>
      <c r="E313">
        <f t="shared" si="5"/>
        <v>4.7</v>
      </c>
    </row>
    <row r="314" spans="1:13" x14ac:dyDescent="0.2">
      <c r="A314" s="107">
        <v>45958</v>
      </c>
      <c r="B314" t="s">
        <v>13</v>
      </c>
      <c r="C314" t="s">
        <v>157</v>
      </c>
      <c r="D314">
        <v>-4.7</v>
      </c>
      <c r="E314">
        <f t="shared" si="5"/>
        <v>4.7</v>
      </c>
      <c r="M314" s="112"/>
    </row>
    <row r="315" spans="1:13" x14ac:dyDescent="0.2">
      <c r="A315" s="107">
        <v>45959</v>
      </c>
      <c r="B315" t="s">
        <v>13</v>
      </c>
      <c r="C315" t="s">
        <v>15</v>
      </c>
      <c r="D315">
        <v>-2.2999999999999998</v>
      </c>
      <c r="E315">
        <f t="shared" si="5"/>
        <v>2.2999999999999998</v>
      </c>
      <c r="M315" s="120" t="s">
        <v>13</v>
      </c>
    </row>
    <row r="316" spans="1:13" x14ac:dyDescent="0.2">
      <c r="A316" s="107">
        <v>45959</v>
      </c>
      <c r="B316" t="s">
        <v>13</v>
      </c>
      <c r="C316" t="s">
        <v>111</v>
      </c>
      <c r="D316">
        <v>-15.5</v>
      </c>
      <c r="E316">
        <f t="shared" si="5"/>
        <v>15.5</v>
      </c>
      <c r="M316" s="121" t="s">
        <v>14</v>
      </c>
    </row>
    <row r="317" spans="1:13" x14ac:dyDescent="0.2">
      <c r="A317" s="107">
        <v>45959</v>
      </c>
      <c r="B317" t="s">
        <v>13</v>
      </c>
      <c r="C317" t="s">
        <v>158</v>
      </c>
      <c r="D317">
        <v>-50</v>
      </c>
      <c r="E317">
        <f t="shared" si="5"/>
        <v>50</v>
      </c>
      <c r="M317" s="121" t="s">
        <v>162</v>
      </c>
    </row>
    <row r="318" spans="1:13" x14ac:dyDescent="0.2">
      <c r="A318" s="107">
        <v>45960</v>
      </c>
      <c r="B318" t="s">
        <v>13</v>
      </c>
      <c r="C318" t="s">
        <v>157</v>
      </c>
      <c r="D318">
        <v>-4.7</v>
      </c>
      <c r="E318">
        <f t="shared" si="5"/>
        <v>4.7</v>
      </c>
      <c r="M318" s="121" t="s">
        <v>15</v>
      </c>
    </row>
    <row r="319" spans="1:13" x14ac:dyDescent="0.2">
      <c r="A319" s="107">
        <v>45960</v>
      </c>
      <c r="B319" t="s">
        <v>13</v>
      </c>
      <c r="C319" t="s">
        <v>157</v>
      </c>
      <c r="D319">
        <v>-4.7</v>
      </c>
      <c r="E319">
        <f t="shared" si="5"/>
        <v>4.7</v>
      </c>
      <c r="M319" s="121" t="s">
        <v>111</v>
      </c>
    </row>
    <row r="320" spans="1:13" x14ac:dyDescent="0.2">
      <c r="A320" s="107">
        <v>45960</v>
      </c>
      <c r="B320" t="s">
        <v>13</v>
      </c>
      <c r="C320" t="s">
        <v>121</v>
      </c>
      <c r="D320">
        <v>-9.9</v>
      </c>
      <c r="E320">
        <f t="shared" si="5"/>
        <v>9.9</v>
      </c>
      <c r="M320" s="121" t="s">
        <v>157</v>
      </c>
    </row>
    <row r="321" spans="1:13" x14ac:dyDescent="0.2">
      <c r="A321" s="107">
        <v>45960</v>
      </c>
      <c r="B321" t="s">
        <v>13</v>
      </c>
      <c r="C321" t="s">
        <v>15</v>
      </c>
      <c r="D321">
        <v>-1.95</v>
      </c>
      <c r="E321">
        <f t="shared" si="5"/>
        <v>1.95</v>
      </c>
      <c r="M321" s="121" t="s">
        <v>163</v>
      </c>
    </row>
    <row r="322" spans="1:13" x14ac:dyDescent="0.2">
      <c r="A322" s="107">
        <v>45961</v>
      </c>
      <c r="B322" t="s">
        <v>13</v>
      </c>
      <c r="C322" t="s">
        <v>167</v>
      </c>
      <c r="D322">
        <v>-10</v>
      </c>
      <c r="E322">
        <f t="shared" si="5"/>
        <v>10</v>
      </c>
      <c r="M322" s="121" t="s">
        <v>121</v>
      </c>
    </row>
    <row r="323" spans="1:13" x14ac:dyDescent="0.2">
      <c r="A323" s="107">
        <v>45961</v>
      </c>
      <c r="B323" t="s">
        <v>13</v>
      </c>
      <c r="C323" t="s">
        <v>121</v>
      </c>
      <c r="D323">
        <v>-13.7</v>
      </c>
      <c r="E323">
        <f t="shared" si="5"/>
        <v>13.7</v>
      </c>
      <c r="M323" s="121" t="s">
        <v>159</v>
      </c>
    </row>
    <row r="324" spans="1:13" x14ac:dyDescent="0.2">
      <c r="A324" s="107">
        <v>45961</v>
      </c>
      <c r="B324" t="s">
        <v>13</v>
      </c>
      <c r="C324" t="s">
        <v>15</v>
      </c>
      <c r="D324">
        <v>-6.65</v>
      </c>
      <c r="E324">
        <f t="shared" si="5"/>
        <v>6.65</v>
      </c>
      <c r="M324" s="121" t="s">
        <v>113</v>
      </c>
    </row>
    <row r="325" spans="1:13" x14ac:dyDescent="0.2">
      <c r="A325" s="107">
        <v>45961</v>
      </c>
      <c r="B325" t="s">
        <v>13</v>
      </c>
      <c r="C325" t="s">
        <v>157</v>
      </c>
      <c r="D325">
        <v>-11.9</v>
      </c>
      <c r="E325">
        <f t="shared" si="5"/>
        <v>11.9</v>
      </c>
      <c r="M325" s="121" t="s">
        <v>24</v>
      </c>
    </row>
    <row r="326" spans="1:13" x14ac:dyDescent="0.2">
      <c r="A326" s="107">
        <v>45962</v>
      </c>
      <c r="B326" t="s">
        <v>10</v>
      </c>
      <c r="C326" t="s">
        <v>105</v>
      </c>
      <c r="D326">
        <v>16.5</v>
      </c>
      <c r="E326">
        <f t="shared" si="5"/>
        <v>16.5</v>
      </c>
      <c r="M326" s="121" t="s">
        <v>25</v>
      </c>
    </row>
    <row r="327" spans="1:13" x14ac:dyDescent="0.2">
      <c r="A327" s="107">
        <v>45962</v>
      </c>
      <c r="B327" t="s">
        <v>13</v>
      </c>
      <c r="C327" t="s">
        <v>15</v>
      </c>
      <c r="D327">
        <v>-33.799999999999997</v>
      </c>
      <c r="E327">
        <f t="shared" si="5"/>
        <v>33.799999999999997</v>
      </c>
      <c r="M327" s="121" t="s">
        <v>104</v>
      </c>
    </row>
    <row r="328" spans="1:13" x14ac:dyDescent="0.2">
      <c r="A328" s="107">
        <v>45962</v>
      </c>
      <c r="B328" t="s">
        <v>13</v>
      </c>
      <c r="C328" t="s">
        <v>15</v>
      </c>
      <c r="D328">
        <v>-13.55</v>
      </c>
      <c r="E328">
        <f t="shared" si="5"/>
        <v>13.55</v>
      </c>
      <c r="M328" s="121" t="s">
        <v>158</v>
      </c>
    </row>
    <row r="329" spans="1:13" x14ac:dyDescent="0.2">
      <c r="A329" s="107">
        <v>45962</v>
      </c>
      <c r="B329" t="s">
        <v>13</v>
      </c>
      <c r="C329" t="s">
        <v>111</v>
      </c>
      <c r="D329">
        <v>-25.5</v>
      </c>
      <c r="E329">
        <f t="shared" si="5"/>
        <v>25.5</v>
      </c>
      <c r="M329" s="121" t="s">
        <v>161</v>
      </c>
    </row>
    <row r="330" spans="1:13" x14ac:dyDescent="0.2">
      <c r="A330" s="107">
        <v>45962</v>
      </c>
      <c r="B330" t="s">
        <v>13</v>
      </c>
      <c r="C330" t="s">
        <v>157</v>
      </c>
      <c r="D330">
        <v>-11.9</v>
      </c>
      <c r="E330">
        <f t="shared" si="5"/>
        <v>11.9</v>
      </c>
      <c r="M330" s="121" t="s">
        <v>165</v>
      </c>
    </row>
    <row r="331" spans="1:13" x14ac:dyDescent="0.2">
      <c r="A331" s="107">
        <v>45962</v>
      </c>
      <c r="B331" t="s">
        <v>13</v>
      </c>
      <c r="C331" t="s">
        <v>158</v>
      </c>
      <c r="D331">
        <v>-0.01</v>
      </c>
      <c r="E331">
        <f t="shared" si="5"/>
        <v>0.01</v>
      </c>
      <c r="M331" s="121" t="s">
        <v>160</v>
      </c>
    </row>
    <row r="332" spans="1:13" x14ac:dyDescent="0.2">
      <c r="A332" s="107">
        <v>45963</v>
      </c>
      <c r="B332" t="s">
        <v>13</v>
      </c>
      <c r="C332" t="s">
        <v>157</v>
      </c>
      <c r="D332">
        <v>-4.7</v>
      </c>
      <c r="E332">
        <f t="shared" si="5"/>
        <v>4.7</v>
      </c>
      <c r="M332" s="121" t="s">
        <v>164</v>
      </c>
    </row>
    <row r="333" spans="1:13" x14ac:dyDescent="0.2">
      <c r="A333" s="107">
        <v>45963</v>
      </c>
      <c r="B333" t="s">
        <v>13</v>
      </c>
      <c r="C333" t="s">
        <v>157</v>
      </c>
      <c r="D333">
        <v>-4.7</v>
      </c>
      <c r="E333">
        <f t="shared" si="5"/>
        <v>4.7</v>
      </c>
      <c r="M333" s="121" t="s">
        <v>167</v>
      </c>
    </row>
    <row r="334" spans="1:13" x14ac:dyDescent="0.2">
      <c r="A334" s="107">
        <v>45964</v>
      </c>
      <c r="B334" t="s">
        <v>13</v>
      </c>
      <c r="C334" t="s">
        <v>164</v>
      </c>
      <c r="D334">
        <v>-50</v>
      </c>
      <c r="E334">
        <f t="shared" si="5"/>
        <v>50</v>
      </c>
      <c r="M334" s="121" t="s">
        <v>177</v>
      </c>
    </row>
    <row r="335" spans="1:13" x14ac:dyDescent="0.2">
      <c r="A335" s="107">
        <v>45965</v>
      </c>
      <c r="B335" t="s">
        <v>13</v>
      </c>
      <c r="C335" t="s">
        <v>111</v>
      </c>
      <c r="D335">
        <v>-40</v>
      </c>
      <c r="E335">
        <f t="shared" si="5"/>
        <v>40</v>
      </c>
      <c r="M335" s="121" t="s">
        <v>166</v>
      </c>
    </row>
    <row r="336" spans="1:13" x14ac:dyDescent="0.2">
      <c r="A336" s="107">
        <v>45965</v>
      </c>
      <c r="B336" t="s">
        <v>13</v>
      </c>
      <c r="C336" t="s">
        <v>157</v>
      </c>
      <c r="D336">
        <v>-11.9</v>
      </c>
      <c r="E336">
        <f t="shared" si="5"/>
        <v>11.9</v>
      </c>
    </row>
    <row r="337" spans="1:5" x14ac:dyDescent="0.2">
      <c r="A337" s="107">
        <v>45965</v>
      </c>
      <c r="B337" t="s">
        <v>13</v>
      </c>
      <c r="C337" t="s">
        <v>157</v>
      </c>
      <c r="D337">
        <v>-9.6</v>
      </c>
      <c r="E337">
        <f t="shared" si="5"/>
        <v>9.6</v>
      </c>
    </row>
    <row r="338" spans="1:5" x14ac:dyDescent="0.2">
      <c r="A338" s="107">
        <v>45965</v>
      </c>
      <c r="B338" t="s">
        <v>13</v>
      </c>
      <c r="C338" t="s">
        <v>157</v>
      </c>
      <c r="D338">
        <v>-4.7</v>
      </c>
      <c r="E338">
        <f t="shared" si="5"/>
        <v>4.7</v>
      </c>
    </row>
    <row r="339" spans="1:5" x14ac:dyDescent="0.2">
      <c r="A339" s="107">
        <v>45965</v>
      </c>
      <c r="B339" t="s">
        <v>13</v>
      </c>
      <c r="C339" t="s">
        <v>15</v>
      </c>
      <c r="D339">
        <v>-5.9</v>
      </c>
      <c r="E339">
        <f t="shared" si="5"/>
        <v>5.9</v>
      </c>
    </row>
    <row r="340" spans="1:5" x14ac:dyDescent="0.2">
      <c r="A340" s="107">
        <v>45965</v>
      </c>
      <c r="B340" t="s">
        <v>13</v>
      </c>
      <c r="C340" t="s">
        <v>165</v>
      </c>
      <c r="D340">
        <v>-18</v>
      </c>
      <c r="E340">
        <f t="shared" si="5"/>
        <v>18</v>
      </c>
    </row>
    <row r="341" spans="1:5" x14ac:dyDescent="0.2">
      <c r="A341" s="107">
        <v>45965</v>
      </c>
      <c r="B341" t="s">
        <v>13</v>
      </c>
      <c r="C341" t="s">
        <v>157</v>
      </c>
      <c r="D341">
        <v>-20</v>
      </c>
      <c r="E341">
        <f t="shared" si="5"/>
        <v>20</v>
      </c>
    </row>
    <row r="342" spans="1:5" x14ac:dyDescent="0.2">
      <c r="A342" s="107">
        <v>45965</v>
      </c>
      <c r="B342" t="s">
        <v>13</v>
      </c>
      <c r="C342" t="s">
        <v>15</v>
      </c>
      <c r="D342">
        <v>-6.9</v>
      </c>
      <c r="E342">
        <f t="shared" si="5"/>
        <v>6.9</v>
      </c>
    </row>
    <row r="343" spans="1:5" x14ac:dyDescent="0.2">
      <c r="A343" s="107">
        <v>45966</v>
      </c>
      <c r="B343" t="s">
        <v>13</v>
      </c>
      <c r="C343" t="s">
        <v>15</v>
      </c>
      <c r="D343">
        <v>-3.3</v>
      </c>
      <c r="E343">
        <f t="shared" si="5"/>
        <v>3.3</v>
      </c>
    </row>
    <row r="344" spans="1:5" x14ac:dyDescent="0.2">
      <c r="A344" s="107">
        <v>45966</v>
      </c>
      <c r="B344" t="s">
        <v>13</v>
      </c>
      <c r="C344" t="s">
        <v>163</v>
      </c>
      <c r="D344">
        <v>-27.95</v>
      </c>
      <c r="E344">
        <f t="shared" si="5"/>
        <v>27.95</v>
      </c>
    </row>
    <row r="345" spans="1:5" x14ac:dyDescent="0.2">
      <c r="A345" s="107">
        <v>45966</v>
      </c>
      <c r="B345" t="s">
        <v>13</v>
      </c>
      <c r="C345" t="s">
        <v>163</v>
      </c>
      <c r="D345">
        <v>-49</v>
      </c>
      <c r="E345">
        <f t="shared" si="5"/>
        <v>49</v>
      </c>
    </row>
    <row r="346" spans="1:5" x14ac:dyDescent="0.2">
      <c r="A346" s="107">
        <v>45967</v>
      </c>
      <c r="B346" t="s">
        <v>13</v>
      </c>
      <c r="C346" t="s">
        <v>111</v>
      </c>
      <c r="D346">
        <v>-12.5</v>
      </c>
      <c r="E346">
        <f t="shared" si="5"/>
        <v>12.5</v>
      </c>
    </row>
    <row r="347" spans="1:5" x14ac:dyDescent="0.2">
      <c r="A347" s="107">
        <v>45967</v>
      </c>
      <c r="B347" t="s">
        <v>13</v>
      </c>
      <c r="C347" t="s">
        <v>104</v>
      </c>
      <c r="D347">
        <v>-34</v>
      </c>
      <c r="E347">
        <f t="shared" si="5"/>
        <v>34</v>
      </c>
    </row>
    <row r="348" spans="1:5" x14ac:dyDescent="0.2">
      <c r="A348" s="107">
        <v>45967</v>
      </c>
      <c r="B348" t="s">
        <v>13</v>
      </c>
      <c r="C348" t="s">
        <v>111</v>
      </c>
      <c r="D348">
        <v>-83</v>
      </c>
      <c r="E348">
        <f t="shared" si="5"/>
        <v>83</v>
      </c>
    </row>
    <row r="349" spans="1:5" x14ac:dyDescent="0.2">
      <c r="A349" s="107">
        <v>45967</v>
      </c>
      <c r="B349" t="s">
        <v>13</v>
      </c>
      <c r="C349" t="s">
        <v>157</v>
      </c>
      <c r="D349">
        <v>-4.7</v>
      </c>
      <c r="E349">
        <f t="shared" si="5"/>
        <v>4.7</v>
      </c>
    </row>
    <row r="350" spans="1:5" x14ac:dyDescent="0.2">
      <c r="A350" s="107">
        <v>45967</v>
      </c>
      <c r="B350" t="s">
        <v>13</v>
      </c>
      <c r="C350" t="s">
        <v>157</v>
      </c>
      <c r="D350">
        <v>-4.7</v>
      </c>
      <c r="E350">
        <f t="shared" si="5"/>
        <v>4.7</v>
      </c>
    </row>
    <row r="351" spans="1:5" x14ac:dyDescent="0.2">
      <c r="A351" s="107">
        <v>45968</v>
      </c>
      <c r="B351" t="s">
        <v>13</v>
      </c>
      <c r="C351" t="s">
        <v>157</v>
      </c>
      <c r="D351">
        <v>-4.7</v>
      </c>
      <c r="E351">
        <f t="shared" si="5"/>
        <v>4.7</v>
      </c>
    </row>
    <row r="352" spans="1:5" x14ac:dyDescent="0.2">
      <c r="A352" s="107">
        <v>45968</v>
      </c>
      <c r="B352" t="s">
        <v>13</v>
      </c>
      <c r="C352" t="s">
        <v>157</v>
      </c>
      <c r="D352">
        <v>-4.7</v>
      </c>
      <c r="E352">
        <f t="shared" si="5"/>
        <v>4.7</v>
      </c>
    </row>
    <row r="353" spans="1:5" x14ac:dyDescent="0.2">
      <c r="A353" s="107">
        <v>45968</v>
      </c>
      <c r="B353" t="s">
        <v>13</v>
      </c>
      <c r="C353" t="s">
        <v>113</v>
      </c>
      <c r="D353">
        <v>-18.75</v>
      </c>
      <c r="E353">
        <f t="shared" si="5"/>
        <v>18.75</v>
      </c>
    </row>
    <row r="354" spans="1:5" x14ac:dyDescent="0.2">
      <c r="A354" s="107">
        <v>45968</v>
      </c>
      <c r="B354" t="s">
        <v>13</v>
      </c>
      <c r="C354" t="s">
        <v>15</v>
      </c>
      <c r="D354">
        <v>-5.9</v>
      </c>
      <c r="E354">
        <f t="shared" si="5"/>
        <v>5.9</v>
      </c>
    </row>
    <row r="355" spans="1:5" x14ac:dyDescent="0.2">
      <c r="A355" s="107">
        <v>45968</v>
      </c>
      <c r="B355" t="s">
        <v>13</v>
      </c>
      <c r="C355" t="s">
        <v>113</v>
      </c>
      <c r="D355">
        <v>-80.099999999999994</v>
      </c>
      <c r="E355">
        <f t="shared" si="5"/>
        <v>80.099999999999994</v>
      </c>
    </row>
    <row r="356" spans="1:5" x14ac:dyDescent="0.2">
      <c r="A356" s="107">
        <v>45968</v>
      </c>
      <c r="B356" t="s">
        <v>13</v>
      </c>
      <c r="C356" t="s">
        <v>111</v>
      </c>
      <c r="D356">
        <v>-22.4</v>
      </c>
      <c r="E356">
        <f t="shared" si="5"/>
        <v>22.4</v>
      </c>
    </row>
    <row r="357" spans="1:5" x14ac:dyDescent="0.2">
      <c r="A357" s="107">
        <v>45968</v>
      </c>
      <c r="B357" t="s">
        <v>13</v>
      </c>
      <c r="C357" t="s">
        <v>159</v>
      </c>
      <c r="D357">
        <v>-501.35</v>
      </c>
      <c r="E357">
        <f t="shared" si="5"/>
        <v>501.35</v>
      </c>
    </row>
    <row r="358" spans="1:5" x14ac:dyDescent="0.2">
      <c r="A358" s="107">
        <v>45968</v>
      </c>
      <c r="B358" t="s">
        <v>13</v>
      </c>
      <c r="C358" t="s">
        <v>111</v>
      </c>
      <c r="D358">
        <v>-7.5</v>
      </c>
      <c r="E358">
        <f t="shared" si="5"/>
        <v>7.5</v>
      </c>
    </row>
    <row r="359" spans="1:5" x14ac:dyDescent="0.2">
      <c r="A359" s="107">
        <v>45969</v>
      </c>
      <c r="B359" t="s">
        <v>10</v>
      </c>
      <c r="C359" t="s">
        <v>105</v>
      </c>
      <c r="D359">
        <v>17</v>
      </c>
      <c r="E359">
        <f t="shared" si="5"/>
        <v>17</v>
      </c>
    </row>
    <row r="360" spans="1:5" x14ac:dyDescent="0.2">
      <c r="A360" s="107">
        <v>45969</v>
      </c>
      <c r="B360" t="s">
        <v>13</v>
      </c>
      <c r="C360" t="s">
        <v>111</v>
      </c>
      <c r="D360">
        <v>-51</v>
      </c>
      <c r="E360">
        <f t="shared" si="5"/>
        <v>51</v>
      </c>
    </row>
    <row r="361" spans="1:5" x14ac:dyDescent="0.2">
      <c r="A361" s="107">
        <v>45969</v>
      </c>
      <c r="B361" t="s">
        <v>10</v>
      </c>
      <c r="C361" t="s">
        <v>105</v>
      </c>
      <c r="D361">
        <v>18</v>
      </c>
      <c r="E361">
        <f t="shared" si="5"/>
        <v>18</v>
      </c>
    </row>
    <row r="362" spans="1:5" x14ac:dyDescent="0.2">
      <c r="A362" s="107">
        <v>45969</v>
      </c>
      <c r="B362" t="s">
        <v>13</v>
      </c>
      <c r="C362" t="s">
        <v>15</v>
      </c>
      <c r="D362">
        <v>-36.35</v>
      </c>
      <c r="E362">
        <f t="shared" si="5"/>
        <v>36.35</v>
      </c>
    </row>
    <row r="363" spans="1:5" x14ac:dyDescent="0.2">
      <c r="A363" s="107">
        <v>45969</v>
      </c>
      <c r="B363" t="s">
        <v>13</v>
      </c>
      <c r="C363" t="s">
        <v>15</v>
      </c>
      <c r="D363">
        <v>-2.2000000000000002</v>
      </c>
      <c r="E363">
        <f t="shared" si="5"/>
        <v>2.2000000000000002</v>
      </c>
    </row>
    <row r="364" spans="1:5" x14ac:dyDescent="0.2">
      <c r="A364" s="107">
        <v>45969</v>
      </c>
      <c r="B364" t="s">
        <v>13</v>
      </c>
      <c r="C364" t="s">
        <v>161</v>
      </c>
      <c r="D364">
        <v>-25</v>
      </c>
      <c r="E364">
        <f t="shared" si="5"/>
        <v>25</v>
      </c>
    </row>
    <row r="365" spans="1:5" x14ac:dyDescent="0.2">
      <c r="A365" s="107">
        <v>45970</v>
      </c>
      <c r="B365" t="s">
        <v>13</v>
      </c>
      <c r="C365" t="s">
        <v>111</v>
      </c>
      <c r="D365">
        <v>-8</v>
      </c>
      <c r="E365">
        <f t="shared" si="5"/>
        <v>8</v>
      </c>
    </row>
    <row r="366" spans="1:5" x14ac:dyDescent="0.2">
      <c r="A366" s="107">
        <v>45970</v>
      </c>
      <c r="B366" t="s">
        <v>10</v>
      </c>
      <c r="C366" t="s">
        <v>105</v>
      </c>
      <c r="D366">
        <v>17</v>
      </c>
      <c r="E366">
        <f t="shared" si="5"/>
        <v>17</v>
      </c>
    </row>
    <row r="367" spans="1:5" x14ac:dyDescent="0.2">
      <c r="A367" s="107">
        <v>45971</v>
      </c>
      <c r="B367" t="s">
        <v>13</v>
      </c>
      <c r="C367" t="s">
        <v>157</v>
      </c>
      <c r="D367">
        <v>-4.7</v>
      </c>
      <c r="E367">
        <f t="shared" si="5"/>
        <v>4.7</v>
      </c>
    </row>
    <row r="368" spans="1:5" x14ac:dyDescent="0.2">
      <c r="A368" s="107">
        <v>45971</v>
      </c>
      <c r="B368" t="s">
        <v>13</v>
      </c>
      <c r="C368" t="s">
        <v>158</v>
      </c>
      <c r="D368">
        <v>-0.5</v>
      </c>
      <c r="E368">
        <f t="shared" ref="E368:E431" si="6">ABS(D368)</f>
        <v>0.5</v>
      </c>
    </row>
    <row r="369" spans="1:5" x14ac:dyDescent="0.2">
      <c r="A369" s="107">
        <v>45972</v>
      </c>
      <c r="B369" t="s">
        <v>13</v>
      </c>
      <c r="C369" t="s">
        <v>157</v>
      </c>
      <c r="D369">
        <v>-4.7</v>
      </c>
      <c r="E369">
        <f t="shared" si="6"/>
        <v>4.7</v>
      </c>
    </row>
    <row r="370" spans="1:5" x14ac:dyDescent="0.2">
      <c r="A370" s="107">
        <v>45972</v>
      </c>
      <c r="B370" t="s">
        <v>13</v>
      </c>
      <c r="C370" t="s">
        <v>157</v>
      </c>
      <c r="D370">
        <v>-4.7</v>
      </c>
      <c r="E370">
        <f t="shared" si="6"/>
        <v>4.7</v>
      </c>
    </row>
    <row r="371" spans="1:5" x14ac:dyDescent="0.2">
      <c r="A371" s="107">
        <v>45973</v>
      </c>
      <c r="B371" t="s">
        <v>13</v>
      </c>
      <c r="C371" t="s">
        <v>111</v>
      </c>
      <c r="D371">
        <v>-15</v>
      </c>
      <c r="E371">
        <f t="shared" si="6"/>
        <v>15</v>
      </c>
    </row>
    <row r="372" spans="1:5" x14ac:dyDescent="0.2">
      <c r="A372" s="107">
        <v>45973</v>
      </c>
      <c r="B372" t="s">
        <v>13</v>
      </c>
      <c r="C372" t="s">
        <v>111</v>
      </c>
      <c r="D372">
        <v>-5</v>
      </c>
      <c r="E372">
        <f t="shared" si="6"/>
        <v>5</v>
      </c>
    </row>
    <row r="373" spans="1:5" x14ac:dyDescent="0.2">
      <c r="A373" s="107">
        <v>45973</v>
      </c>
      <c r="B373" t="s">
        <v>13</v>
      </c>
      <c r="C373" t="s">
        <v>111</v>
      </c>
      <c r="D373">
        <v>-15.5</v>
      </c>
      <c r="E373">
        <f t="shared" si="6"/>
        <v>15.5</v>
      </c>
    </row>
    <row r="374" spans="1:5" x14ac:dyDescent="0.2">
      <c r="A374" s="107">
        <v>45974</v>
      </c>
      <c r="B374" t="s">
        <v>13</v>
      </c>
      <c r="C374" t="s">
        <v>15</v>
      </c>
      <c r="D374">
        <v>-2.2000000000000002</v>
      </c>
      <c r="E374">
        <f t="shared" si="6"/>
        <v>2.2000000000000002</v>
      </c>
    </row>
    <row r="375" spans="1:5" x14ac:dyDescent="0.2">
      <c r="A375" s="107">
        <v>45974</v>
      </c>
      <c r="B375" t="s">
        <v>13</v>
      </c>
      <c r="C375" t="s">
        <v>15</v>
      </c>
      <c r="D375">
        <v>-8.6</v>
      </c>
      <c r="E375">
        <f t="shared" si="6"/>
        <v>8.6</v>
      </c>
    </row>
    <row r="376" spans="1:5" x14ac:dyDescent="0.2">
      <c r="A376" s="107">
        <v>45974</v>
      </c>
      <c r="B376" t="s">
        <v>13</v>
      </c>
      <c r="C376" t="s">
        <v>165</v>
      </c>
      <c r="D376">
        <v>-20</v>
      </c>
      <c r="E376">
        <f t="shared" si="6"/>
        <v>20</v>
      </c>
    </row>
    <row r="377" spans="1:5" x14ac:dyDescent="0.2">
      <c r="A377" s="107">
        <v>45974</v>
      </c>
      <c r="B377" t="s">
        <v>13</v>
      </c>
      <c r="C377" t="s">
        <v>111</v>
      </c>
      <c r="D377">
        <v>-15</v>
      </c>
      <c r="E377">
        <f t="shared" si="6"/>
        <v>15</v>
      </c>
    </row>
    <row r="378" spans="1:5" x14ac:dyDescent="0.2">
      <c r="A378" s="107">
        <v>45975</v>
      </c>
      <c r="B378" t="s">
        <v>13</v>
      </c>
      <c r="C378" t="s">
        <v>157</v>
      </c>
      <c r="D378">
        <v>-4.7</v>
      </c>
      <c r="E378">
        <f t="shared" si="6"/>
        <v>4.7</v>
      </c>
    </row>
    <row r="379" spans="1:5" x14ac:dyDescent="0.2">
      <c r="A379" s="107">
        <v>45975</v>
      </c>
      <c r="B379" t="s">
        <v>13</v>
      </c>
      <c r="C379" t="s">
        <v>15</v>
      </c>
      <c r="D379">
        <v>-24</v>
      </c>
      <c r="E379">
        <f t="shared" si="6"/>
        <v>24</v>
      </c>
    </row>
    <row r="380" spans="1:5" x14ac:dyDescent="0.2">
      <c r="A380" s="107">
        <v>45975</v>
      </c>
      <c r="B380" t="s">
        <v>13</v>
      </c>
      <c r="C380" t="s">
        <v>200</v>
      </c>
      <c r="D380">
        <v>-472</v>
      </c>
      <c r="E380">
        <f t="shared" si="6"/>
        <v>472</v>
      </c>
    </row>
    <row r="381" spans="1:5" x14ac:dyDescent="0.2">
      <c r="A381" s="107">
        <v>45975</v>
      </c>
      <c r="B381" t="s">
        <v>10</v>
      </c>
      <c r="C381" t="s">
        <v>105</v>
      </c>
      <c r="D381">
        <v>236</v>
      </c>
      <c r="E381">
        <f t="shared" si="6"/>
        <v>236</v>
      </c>
    </row>
    <row r="382" spans="1:5" x14ac:dyDescent="0.2">
      <c r="A382" s="107">
        <v>45975</v>
      </c>
      <c r="B382" t="s">
        <v>13</v>
      </c>
      <c r="C382" t="s">
        <v>157</v>
      </c>
      <c r="D382">
        <v>-4.7</v>
      </c>
      <c r="E382">
        <f t="shared" si="6"/>
        <v>4.7</v>
      </c>
    </row>
    <row r="383" spans="1:5" x14ac:dyDescent="0.2">
      <c r="A383" s="107">
        <v>45976</v>
      </c>
      <c r="B383" t="s">
        <v>13</v>
      </c>
      <c r="C383" t="s">
        <v>157</v>
      </c>
      <c r="D383">
        <v>-4.7</v>
      </c>
      <c r="E383">
        <f t="shared" si="6"/>
        <v>4.7</v>
      </c>
    </row>
    <row r="384" spans="1:5" x14ac:dyDescent="0.2">
      <c r="A384" s="107">
        <v>45976</v>
      </c>
      <c r="B384" t="s">
        <v>10</v>
      </c>
      <c r="C384" t="s">
        <v>105</v>
      </c>
      <c r="D384">
        <v>20</v>
      </c>
      <c r="E384">
        <f t="shared" si="6"/>
        <v>20</v>
      </c>
    </row>
    <row r="385" spans="1:5" x14ac:dyDescent="0.2">
      <c r="A385" s="107">
        <v>45976</v>
      </c>
      <c r="B385" t="s">
        <v>13</v>
      </c>
      <c r="C385" t="s">
        <v>111</v>
      </c>
      <c r="D385">
        <v>-38</v>
      </c>
      <c r="E385">
        <f t="shared" si="6"/>
        <v>38</v>
      </c>
    </row>
    <row r="386" spans="1:5" x14ac:dyDescent="0.2">
      <c r="A386" s="107">
        <v>45976</v>
      </c>
      <c r="B386" t="s">
        <v>13</v>
      </c>
      <c r="C386" t="s">
        <v>111</v>
      </c>
      <c r="D386">
        <v>-14</v>
      </c>
      <c r="E386">
        <f t="shared" si="6"/>
        <v>14</v>
      </c>
    </row>
    <row r="387" spans="1:5" x14ac:dyDescent="0.2">
      <c r="A387" s="107">
        <v>45976</v>
      </c>
      <c r="B387" t="s">
        <v>13</v>
      </c>
      <c r="C387" t="s">
        <v>111</v>
      </c>
      <c r="D387">
        <v>-10</v>
      </c>
      <c r="E387">
        <f t="shared" si="6"/>
        <v>10</v>
      </c>
    </row>
    <row r="388" spans="1:5" x14ac:dyDescent="0.2">
      <c r="A388" s="107">
        <v>45976</v>
      </c>
      <c r="B388" t="s">
        <v>13</v>
      </c>
      <c r="C388" t="s">
        <v>111</v>
      </c>
      <c r="D388">
        <v>-8.5</v>
      </c>
      <c r="E388">
        <f t="shared" si="6"/>
        <v>8.5</v>
      </c>
    </row>
    <row r="389" spans="1:5" x14ac:dyDescent="0.2">
      <c r="A389" s="107">
        <v>45977</v>
      </c>
      <c r="B389" t="s">
        <v>13</v>
      </c>
      <c r="C389" t="s">
        <v>157</v>
      </c>
      <c r="D389">
        <v>-4.7</v>
      </c>
      <c r="E389">
        <f t="shared" si="6"/>
        <v>4.7</v>
      </c>
    </row>
    <row r="390" spans="1:5" x14ac:dyDescent="0.2">
      <c r="A390" s="107">
        <v>45978</v>
      </c>
      <c r="B390" t="s">
        <v>13</v>
      </c>
      <c r="C390" t="s">
        <v>15</v>
      </c>
      <c r="D390">
        <v>-8.9</v>
      </c>
      <c r="E390">
        <f t="shared" si="6"/>
        <v>8.9</v>
      </c>
    </row>
    <row r="391" spans="1:5" x14ac:dyDescent="0.2">
      <c r="A391" s="107">
        <v>45979</v>
      </c>
      <c r="B391" t="s">
        <v>13</v>
      </c>
      <c r="C391" t="s">
        <v>157</v>
      </c>
      <c r="D391">
        <v>-11</v>
      </c>
      <c r="E391">
        <f t="shared" si="6"/>
        <v>11</v>
      </c>
    </row>
    <row r="392" spans="1:5" x14ac:dyDescent="0.2">
      <c r="A392" s="107">
        <v>45979</v>
      </c>
      <c r="B392" t="s">
        <v>13</v>
      </c>
      <c r="C392" t="s">
        <v>157</v>
      </c>
      <c r="D392">
        <v>-8.6999999999999993</v>
      </c>
      <c r="E392">
        <f t="shared" si="6"/>
        <v>8.6999999999999993</v>
      </c>
    </row>
    <row r="393" spans="1:5" x14ac:dyDescent="0.2">
      <c r="A393" s="107">
        <v>45979</v>
      </c>
      <c r="B393" t="s">
        <v>13</v>
      </c>
      <c r="C393" t="s">
        <v>157</v>
      </c>
      <c r="D393">
        <v>-4.7</v>
      </c>
      <c r="E393">
        <f t="shared" si="6"/>
        <v>4.7</v>
      </c>
    </row>
    <row r="394" spans="1:5" x14ac:dyDescent="0.2">
      <c r="A394" s="107">
        <v>45979</v>
      </c>
      <c r="B394" t="s">
        <v>13</v>
      </c>
      <c r="C394" t="s">
        <v>161</v>
      </c>
      <c r="D394">
        <v>-40</v>
      </c>
      <c r="E394">
        <f t="shared" si="6"/>
        <v>40</v>
      </c>
    </row>
    <row r="395" spans="1:5" x14ac:dyDescent="0.2">
      <c r="A395" s="107">
        <v>45979</v>
      </c>
      <c r="B395" t="s">
        <v>13</v>
      </c>
      <c r="C395" t="s">
        <v>111</v>
      </c>
      <c r="D395">
        <v>-6.3</v>
      </c>
      <c r="E395">
        <f t="shared" si="6"/>
        <v>6.3</v>
      </c>
    </row>
    <row r="396" spans="1:5" x14ac:dyDescent="0.2">
      <c r="A396" s="107">
        <v>45979</v>
      </c>
      <c r="B396" t="s">
        <v>13</v>
      </c>
      <c r="C396" t="s">
        <v>111</v>
      </c>
      <c r="D396">
        <v>-16</v>
      </c>
      <c r="E396">
        <f t="shared" si="6"/>
        <v>16</v>
      </c>
    </row>
    <row r="397" spans="1:5" x14ac:dyDescent="0.2">
      <c r="A397" s="107">
        <v>45979</v>
      </c>
      <c r="B397" t="s">
        <v>13</v>
      </c>
      <c r="C397" t="s">
        <v>121</v>
      </c>
      <c r="D397">
        <v>-1.5</v>
      </c>
      <c r="E397">
        <f t="shared" si="6"/>
        <v>1.5</v>
      </c>
    </row>
    <row r="398" spans="1:5" x14ac:dyDescent="0.2">
      <c r="A398" s="107">
        <v>45980</v>
      </c>
      <c r="B398" t="s">
        <v>13</v>
      </c>
      <c r="C398" t="s">
        <v>160</v>
      </c>
      <c r="D398">
        <v>-500</v>
      </c>
      <c r="E398">
        <f t="shared" si="6"/>
        <v>500</v>
      </c>
    </row>
    <row r="399" spans="1:5" x14ac:dyDescent="0.2">
      <c r="A399" s="107">
        <v>45980</v>
      </c>
      <c r="B399" t="s">
        <v>13</v>
      </c>
      <c r="C399" t="s">
        <v>15</v>
      </c>
      <c r="D399">
        <v>-12.05</v>
      </c>
      <c r="E399">
        <f t="shared" si="6"/>
        <v>12.05</v>
      </c>
    </row>
    <row r="400" spans="1:5" x14ac:dyDescent="0.2">
      <c r="A400" s="107">
        <v>45980</v>
      </c>
      <c r="B400" t="s">
        <v>13</v>
      </c>
      <c r="C400" t="s">
        <v>157</v>
      </c>
      <c r="D400">
        <v>-2</v>
      </c>
      <c r="E400">
        <f t="shared" si="6"/>
        <v>2</v>
      </c>
    </row>
    <row r="401" spans="1:5" x14ac:dyDescent="0.2">
      <c r="A401" s="107">
        <v>45980</v>
      </c>
      <c r="B401" t="s">
        <v>13</v>
      </c>
      <c r="C401" t="s">
        <v>15</v>
      </c>
      <c r="D401">
        <v>-4.3</v>
      </c>
      <c r="E401">
        <f t="shared" si="6"/>
        <v>4.3</v>
      </c>
    </row>
    <row r="402" spans="1:5" x14ac:dyDescent="0.2">
      <c r="A402" s="107">
        <v>45980</v>
      </c>
      <c r="B402" t="s">
        <v>13</v>
      </c>
      <c r="C402" t="s">
        <v>111</v>
      </c>
      <c r="D402">
        <v>-5.9</v>
      </c>
      <c r="E402">
        <f t="shared" si="6"/>
        <v>5.9</v>
      </c>
    </row>
    <row r="403" spans="1:5" x14ac:dyDescent="0.2">
      <c r="A403" s="107">
        <v>45982</v>
      </c>
      <c r="B403" t="s">
        <v>13</v>
      </c>
      <c r="C403" t="s">
        <v>160</v>
      </c>
      <c r="D403">
        <v>-78</v>
      </c>
      <c r="E403">
        <f t="shared" si="6"/>
        <v>78</v>
      </c>
    </row>
    <row r="404" spans="1:5" x14ac:dyDescent="0.2">
      <c r="A404" s="107">
        <v>45983</v>
      </c>
      <c r="B404" t="s">
        <v>13</v>
      </c>
      <c r="C404" t="s">
        <v>24</v>
      </c>
      <c r="D404">
        <v>-280</v>
      </c>
      <c r="E404">
        <f t="shared" si="6"/>
        <v>280</v>
      </c>
    </row>
    <row r="405" spans="1:5" x14ac:dyDescent="0.2">
      <c r="A405" s="107">
        <v>45984</v>
      </c>
      <c r="B405" t="s">
        <v>13</v>
      </c>
      <c r="C405" t="s">
        <v>160</v>
      </c>
      <c r="D405">
        <v>-15.93</v>
      </c>
      <c r="E405">
        <f t="shared" si="6"/>
        <v>15.93</v>
      </c>
    </row>
    <row r="406" spans="1:5" x14ac:dyDescent="0.2">
      <c r="A406" s="107">
        <v>45984</v>
      </c>
      <c r="B406" t="s">
        <v>13</v>
      </c>
      <c r="C406" t="s">
        <v>160</v>
      </c>
      <c r="D406">
        <v>-22.24</v>
      </c>
      <c r="E406">
        <f t="shared" si="6"/>
        <v>22.24</v>
      </c>
    </row>
    <row r="407" spans="1:5" x14ac:dyDescent="0.2">
      <c r="A407" s="107">
        <v>45985</v>
      </c>
      <c r="B407" t="s">
        <v>13</v>
      </c>
      <c r="C407" t="s">
        <v>104</v>
      </c>
      <c r="D407">
        <v>-122</v>
      </c>
      <c r="E407">
        <f t="shared" si="6"/>
        <v>122</v>
      </c>
    </row>
    <row r="408" spans="1:5" x14ac:dyDescent="0.2">
      <c r="A408" s="107">
        <v>45985</v>
      </c>
      <c r="B408" t="s">
        <v>13</v>
      </c>
      <c r="C408" t="s">
        <v>157</v>
      </c>
      <c r="D408">
        <v>-4.7</v>
      </c>
      <c r="E408">
        <f t="shared" si="6"/>
        <v>4.7</v>
      </c>
    </row>
    <row r="409" spans="1:5" x14ac:dyDescent="0.2">
      <c r="A409" s="107">
        <v>45985</v>
      </c>
      <c r="B409" t="s">
        <v>13</v>
      </c>
      <c r="C409" t="s">
        <v>157</v>
      </c>
      <c r="D409">
        <v>-4.7</v>
      </c>
      <c r="E409">
        <f t="shared" si="6"/>
        <v>4.7</v>
      </c>
    </row>
    <row r="410" spans="1:5" x14ac:dyDescent="0.2">
      <c r="A410" s="107">
        <v>45986</v>
      </c>
      <c r="B410" t="s">
        <v>10</v>
      </c>
      <c r="C410" t="s">
        <v>201</v>
      </c>
      <c r="D410">
        <v>4000</v>
      </c>
      <c r="E410">
        <f t="shared" si="6"/>
        <v>4000</v>
      </c>
    </row>
    <row r="411" spans="1:5" x14ac:dyDescent="0.2">
      <c r="A411" s="107">
        <v>45986</v>
      </c>
      <c r="B411" t="s">
        <v>13</v>
      </c>
      <c r="C411" t="s">
        <v>157</v>
      </c>
      <c r="D411">
        <v>-4.7</v>
      </c>
      <c r="E411">
        <f t="shared" si="6"/>
        <v>4.7</v>
      </c>
    </row>
    <row r="412" spans="1:5" x14ac:dyDescent="0.2">
      <c r="A412" s="107">
        <v>45986</v>
      </c>
      <c r="B412" t="s">
        <v>10</v>
      </c>
      <c r="C412" t="s">
        <v>128</v>
      </c>
      <c r="D412">
        <v>8204.85</v>
      </c>
      <c r="E412">
        <f t="shared" si="6"/>
        <v>8204.85</v>
      </c>
    </row>
    <row r="413" spans="1:5" x14ac:dyDescent="0.2">
      <c r="A413" s="107">
        <v>45986</v>
      </c>
      <c r="B413" t="s">
        <v>13</v>
      </c>
      <c r="C413" t="s">
        <v>157</v>
      </c>
      <c r="D413">
        <v>-4.7</v>
      </c>
      <c r="E413">
        <f t="shared" si="6"/>
        <v>4.7</v>
      </c>
    </row>
    <row r="414" spans="1:5" x14ac:dyDescent="0.2">
      <c r="A414" s="107">
        <v>45986</v>
      </c>
      <c r="B414" t="s">
        <v>13</v>
      </c>
      <c r="C414" t="s">
        <v>14</v>
      </c>
      <c r="D414">
        <v>-1912</v>
      </c>
      <c r="E414">
        <f t="shared" si="6"/>
        <v>1912</v>
      </c>
    </row>
    <row r="415" spans="1:5" x14ac:dyDescent="0.2">
      <c r="A415" s="107">
        <v>45986</v>
      </c>
      <c r="B415" t="s">
        <v>13</v>
      </c>
      <c r="C415" t="s">
        <v>111</v>
      </c>
      <c r="D415">
        <v>-55</v>
      </c>
      <c r="E415">
        <f t="shared" si="6"/>
        <v>55</v>
      </c>
    </row>
    <row r="416" spans="1:5" x14ac:dyDescent="0.2">
      <c r="A416" s="107">
        <v>45986</v>
      </c>
      <c r="B416" t="s">
        <v>13</v>
      </c>
      <c r="C416" t="s">
        <v>111</v>
      </c>
      <c r="D416">
        <v>-24.8</v>
      </c>
      <c r="E416">
        <f t="shared" si="6"/>
        <v>24.8</v>
      </c>
    </row>
    <row r="417" spans="1:5" x14ac:dyDescent="0.2">
      <c r="A417" s="107">
        <v>45986</v>
      </c>
      <c r="B417" t="s">
        <v>13</v>
      </c>
      <c r="C417" t="s">
        <v>157</v>
      </c>
      <c r="D417">
        <v>-4.7</v>
      </c>
      <c r="E417">
        <f t="shared" si="6"/>
        <v>4.7</v>
      </c>
    </row>
    <row r="418" spans="1:5" x14ac:dyDescent="0.2">
      <c r="A418" s="107">
        <v>45987</v>
      </c>
      <c r="B418" t="s">
        <v>13</v>
      </c>
      <c r="C418" t="s">
        <v>111</v>
      </c>
      <c r="D418">
        <v>-7</v>
      </c>
      <c r="E418">
        <f t="shared" si="6"/>
        <v>7</v>
      </c>
    </row>
    <row r="419" spans="1:5" x14ac:dyDescent="0.2">
      <c r="A419" s="107">
        <v>45987</v>
      </c>
      <c r="B419" t="s">
        <v>13</v>
      </c>
      <c r="C419" t="s">
        <v>15</v>
      </c>
      <c r="D419">
        <v>-9.9</v>
      </c>
      <c r="E419">
        <f t="shared" si="6"/>
        <v>9.9</v>
      </c>
    </row>
    <row r="420" spans="1:5" x14ac:dyDescent="0.2">
      <c r="A420" s="107">
        <v>45987</v>
      </c>
      <c r="B420" t="s">
        <v>13</v>
      </c>
      <c r="C420" t="s">
        <v>200</v>
      </c>
      <c r="D420">
        <v>-67.25</v>
      </c>
      <c r="E420">
        <f t="shared" si="6"/>
        <v>67.25</v>
      </c>
    </row>
    <row r="421" spans="1:5" x14ac:dyDescent="0.2">
      <c r="A421" s="107">
        <v>45988</v>
      </c>
      <c r="B421" t="s">
        <v>13</v>
      </c>
      <c r="C421" t="s">
        <v>111</v>
      </c>
      <c r="D421">
        <v>-8.5</v>
      </c>
      <c r="E421">
        <f t="shared" si="6"/>
        <v>8.5</v>
      </c>
    </row>
    <row r="422" spans="1:5" x14ac:dyDescent="0.2">
      <c r="A422" s="107">
        <v>45988</v>
      </c>
      <c r="B422" t="s">
        <v>13</v>
      </c>
      <c r="C422" t="s">
        <v>111</v>
      </c>
      <c r="D422">
        <v>-8.6</v>
      </c>
      <c r="E422">
        <f t="shared" si="6"/>
        <v>8.6</v>
      </c>
    </row>
    <row r="423" spans="1:5" x14ac:dyDescent="0.2">
      <c r="A423" s="107">
        <v>45988</v>
      </c>
      <c r="B423" t="s">
        <v>13</v>
      </c>
      <c r="C423" t="s">
        <v>111</v>
      </c>
      <c r="D423">
        <v>-17</v>
      </c>
      <c r="E423">
        <f t="shared" si="6"/>
        <v>17</v>
      </c>
    </row>
    <row r="424" spans="1:5" x14ac:dyDescent="0.2">
      <c r="A424" s="107">
        <v>45988</v>
      </c>
      <c r="B424" t="s">
        <v>13</v>
      </c>
      <c r="C424" t="s">
        <v>157</v>
      </c>
      <c r="D424">
        <v>-4.7</v>
      </c>
      <c r="E424">
        <f t="shared" si="6"/>
        <v>4.7</v>
      </c>
    </row>
    <row r="425" spans="1:5" x14ac:dyDescent="0.2">
      <c r="A425" s="107">
        <v>45988</v>
      </c>
      <c r="B425" t="s">
        <v>13</v>
      </c>
      <c r="C425" t="s">
        <v>157</v>
      </c>
      <c r="D425">
        <v>-4.7</v>
      </c>
      <c r="E425">
        <f t="shared" si="6"/>
        <v>4.7</v>
      </c>
    </row>
    <row r="426" spans="1:5" x14ac:dyDescent="0.2">
      <c r="A426" s="107">
        <v>45989</v>
      </c>
      <c r="B426" t="s">
        <v>13</v>
      </c>
      <c r="C426" t="s">
        <v>167</v>
      </c>
      <c r="D426">
        <v>-10</v>
      </c>
      <c r="E426">
        <f t="shared" si="6"/>
        <v>10</v>
      </c>
    </row>
    <row r="427" spans="1:5" x14ac:dyDescent="0.2">
      <c r="A427" s="107">
        <v>45989</v>
      </c>
      <c r="B427" t="s">
        <v>13</v>
      </c>
      <c r="C427" t="s">
        <v>111</v>
      </c>
      <c r="D427">
        <v>-15.5</v>
      </c>
      <c r="E427">
        <f t="shared" si="6"/>
        <v>15.5</v>
      </c>
    </row>
    <row r="428" spans="1:5" x14ac:dyDescent="0.2">
      <c r="A428" s="107">
        <v>45990</v>
      </c>
      <c r="B428" t="s">
        <v>13</v>
      </c>
      <c r="C428" t="s">
        <v>158</v>
      </c>
      <c r="D428">
        <v>-25</v>
      </c>
      <c r="E428">
        <f t="shared" si="6"/>
        <v>25</v>
      </c>
    </row>
    <row r="429" spans="1:5" x14ac:dyDescent="0.2">
      <c r="A429" s="107">
        <v>45990</v>
      </c>
      <c r="B429" t="s">
        <v>13</v>
      </c>
      <c r="C429" t="s">
        <v>111</v>
      </c>
      <c r="D429">
        <v>-18.7</v>
      </c>
      <c r="E429">
        <f t="shared" si="6"/>
        <v>18.7</v>
      </c>
    </row>
    <row r="430" spans="1:5" x14ac:dyDescent="0.2">
      <c r="A430" s="107">
        <v>45990</v>
      </c>
      <c r="B430" t="s">
        <v>13</v>
      </c>
      <c r="C430" t="s">
        <v>111</v>
      </c>
      <c r="D430">
        <v>-63.5</v>
      </c>
      <c r="E430">
        <f t="shared" si="6"/>
        <v>63.5</v>
      </c>
    </row>
    <row r="431" spans="1:5" x14ac:dyDescent="0.2">
      <c r="A431" s="107">
        <v>45990</v>
      </c>
      <c r="B431" t="s">
        <v>13</v>
      </c>
      <c r="C431" t="s">
        <v>164</v>
      </c>
      <c r="D431">
        <v>-40</v>
      </c>
      <c r="E431">
        <f t="shared" si="6"/>
        <v>40</v>
      </c>
    </row>
    <row r="432" spans="1:5" x14ac:dyDescent="0.2">
      <c r="A432" s="107">
        <v>45992</v>
      </c>
      <c r="B432" t="s">
        <v>13</v>
      </c>
      <c r="C432" t="s">
        <v>111</v>
      </c>
      <c r="D432">
        <v>-15.8</v>
      </c>
      <c r="E432">
        <f>ABS(D432)</f>
        <v>15.8</v>
      </c>
    </row>
    <row r="433" spans="1:6" x14ac:dyDescent="0.2">
      <c r="A433" s="107">
        <v>45992</v>
      </c>
      <c r="B433" t="s">
        <v>13</v>
      </c>
      <c r="C433" t="s">
        <v>158</v>
      </c>
      <c r="D433">
        <v>-0.01</v>
      </c>
      <c r="E433">
        <f t="shared" ref="E433:E496" si="7">ABS(D433)</f>
        <v>0.01</v>
      </c>
    </row>
    <row r="434" spans="1:6" x14ac:dyDescent="0.2">
      <c r="A434" s="107">
        <v>45992</v>
      </c>
      <c r="B434" t="s">
        <v>13</v>
      </c>
      <c r="C434" t="s">
        <v>157</v>
      </c>
      <c r="D434">
        <v>-4.7</v>
      </c>
      <c r="E434">
        <f t="shared" si="7"/>
        <v>4.7</v>
      </c>
    </row>
    <row r="435" spans="1:6" x14ac:dyDescent="0.2">
      <c r="A435" s="107">
        <v>45992</v>
      </c>
      <c r="B435" t="s">
        <v>13</v>
      </c>
      <c r="C435" t="s">
        <v>157</v>
      </c>
      <c r="D435">
        <v>-4.7</v>
      </c>
      <c r="E435">
        <f t="shared" si="7"/>
        <v>4.7</v>
      </c>
    </row>
    <row r="436" spans="1:6" x14ac:dyDescent="0.2">
      <c r="A436" s="107">
        <v>45992</v>
      </c>
      <c r="B436" t="s">
        <v>13</v>
      </c>
      <c r="C436" t="s">
        <v>15</v>
      </c>
      <c r="D436">
        <v>-19</v>
      </c>
      <c r="E436">
        <f t="shared" si="7"/>
        <v>19</v>
      </c>
    </row>
    <row r="437" spans="1:6" x14ac:dyDescent="0.2">
      <c r="A437" s="107">
        <v>45993</v>
      </c>
      <c r="B437" t="s">
        <v>13</v>
      </c>
      <c r="C437" t="s">
        <v>15</v>
      </c>
      <c r="D437">
        <v>-11.4</v>
      </c>
      <c r="E437">
        <f t="shared" si="7"/>
        <v>11.4</v>
      </c>
    </row>
    <row r="438" spans="1:6" x14ac:dyDescent="0.2">
      <c r="A438" s="107">
        <v>45994</v>
      </c>
      <c r="B438" t="s">
        <v>13</v>
      </c>
      <c r="C438" t="s">
        <v>111</v>
      </c>
      <c r="D438">
        <v>-70</v>
      </c>
      <c r="E438">
        <f t="shared" si="7"/>
        <v>70</v>
      </c>
    </row>
    <row r="439" spans="1:6" x14ac:dyDescent="0.2">
      <c r="A439" s="107">
        <v>45994</v>
      </c>
      <c r="B439" t="s">
        <v>13</v>
      </c>
      <c r="C439" t="s">
        <v>165</v>
      </c>
      <c r="D439">
        <v>-40</v>
      </c>
      <c r="E439">
        <f t="shared" si="7"/>
        <v>40</v>
      </c>
    </row>
    <row r="440" spans="1:6" x14ac:dyDescent="0.2">
      <c r="A440" s="107">
        <v>45994</v>
      </c>
      <c r="B440" t="s">
        <v>17</v>
      </c>
      <c r="C440" t="s">
        <v>216</v>
      </c>
      <c r="D440">
        <v>-6240</v>
      </c>
      <c r="E440">
        <f t="shared" si="7"/>
        <v>6240</v>
      </c>
      <c r="F440" s="137" t="s">
        <v>217</v>
      </c>
    </row>
    <row r="441" spans="1:6" x14ac:dyDescent="0.2">
      <c r="A441" s="107">
        <v>45995</v>
      </c>
      <c r="B441" t="s">
        <v>13</v>
      </c>
      <c r="C441" t="s">
        <v>157</v>
      </c>
      <c r="D441">
        <v>-4.7</v>
      </c>
      <c r="E441">
        <f t="shared" si="7"/>
        <v>4.7</v>
      </c>
    </row>
    <row r="442" spans="1:6" x14ac:dyDescent="0.2">
      <c r="A442" s="107">
        <v>45995</v>
      </c>
      <c r="B442" t="s">
        <v>10</v>
      </c>
      <c r="C442" t="s">
        <v>105</v>
      </c>
      <c r="D442">
        <v>500</v>
      </c>
      <c r="E442">
        <f t="shared" si="7"/>
        <v>500</v>
      </c>
    </row>
    <row r="443" spans="1:6" x14ac:dyDescent="0.2">
      <c r="A443" s="107">
        <v>45995</v>
      </c>
      <c r="B443" t="s">
        <v>13</v>
      </c>
      <c r="C443" t="s">
        <v>157</v>
      </c>
      <c r="D443">
        <v>-4.7</v>
      </c>
      <c r="E443">
        <f t="shared" si="7"/>
        <v>4.7</v>
      </c>
    </row>
    <row r="444" spans="1:6" x14ac:dyDescent="0.2">
      <c r="A444" s="107">
        <v>45996</v>
      </c>
      <c r="B444" t="s">
        <v>13</v>
      </c>
      <c r="C444" t="s">
        <v>111</v>
      </c>
      <c r="D444">
        <v>-150</v>
      </c>
      <c r="E444">
        <f t="shared" si="7"/>
        <v>150</v>
      </c>
    </row>
    <row r="445" spans="1:6" x14ac:dyDescent="0.2">
      <c r="A445" s="107">
        <v>45996</v>
      </c>
      <c r="B445" t="s">
        <v>13</v>
      </c>
      <c r="C445" t="s">
        <v>15</v>
      </c>
      <c r="D445">
        <v>-20.95</v>
      </c>
      <c r="E445">
        <f t="shared" si="7"/>
        <v>20.95</v>
      </c>
    </row>
    <row r="446" spans="1:6" x14ac:dyDescent="0.2">
      <c r="A446" s="107">
        <v>45996</v>
      </c>
      <c r="B446" t="s">
        <v>13</v>
      </c>
      <c r="C446" t="s">
        <v>15</v>
      </c>
      <c r="D446">
        <v>-6.25</v>
      </c>
      <c r="E446">
        <f t="shared" si="7"/>
        <v>6.25</v>
      </c>
    </row>
    <row r="447" spans="1:6" x14ac:dyDescent="0.2">
      <c r="A447" s="107">
        <v>45997</v>
      </c>
      <c r="B447" t="s">
        <v>13</v>
      </c>
      <c r="C447" t="s">
        <v>157</v>
      </c>
      <c r="D447">
        <v>-4.7</v>
      </c>
      <c r="E447">
        <f t="shared" si="7"/>
        <v>4.7</v>
      </c>
    </row>
    <row r="448" spans="1:6" x14ac:dyDescent="0.2">
      <c r="A448" s="107">
        <v>45997</v>
      </c>
      <c r="B448" t="s">
        <v>13</v>
      </c>
      <c r="C448" t="s">
        <v>157</v>
      </c>
      <c r="D448">
        <v>-4.7</v>
      </c>
      <c r="E448">
        <f t="shared" si="7"/>
        <v>4.7</v>
      </c>
    </row>
    <row r="449" spans="1:6" x14ac:dyDescent="0.2">
      <c r="A449" s="107">
        <v>45998</v>
      </c>
      <c r="B449" t="s">
        <v>13</v>
      </c>
      <c r="C449" t="s">
        <v>163</v>
      </c>
      <c r="D449">
        <v>-49</v>
      </c>
      <c r="E449">
        <f t="shared" si="7"/>
        <v>49</v>
      </c>
    </row>
    <row r="450" spans="1:6" x14ac:dyDescent="0.2">
      <c r="A450" s="107">
        <v>45998</v>
      </c>
      <c r="B450" t="s">
        <v>13</v>
      </c>
      <c r="C450" t="s">
        <v>163</v>
      </c>
      <c r="D450">
        <v>-27.95</v>
      </c>
      <c r="E450">
        <f t="shared" si="7"/>
        <v>27.95</v>
      </c>
    </row>
    <row r="451" spans="1:6" x14ac:dyDescent="0.2">
      <c r="A451" s="107">
        <v>45999</v>
      </c>
      <c r="B451" t="s">
        <v>13</v>
      </c>
      <c r="C451" t="s">
        <v>111</v>
      </c>
      <c r="D451">
        <v>-15.5</v>
      </c>
      <c r="E451">
        <f t="shared" si="7"/>
        <v>15.5</v>
      </c>
    </row>
    <row r="452" spans="1:6" x14ac:dyDescent="0.2">
      <c r="A452" s="107">
        <v>45999</v>
      </c>
      <c r="B452" t="s">
        <v>13</v>
      </c>
      <c r="C452" t="s">
        <v>218</v>
      </c>
      <c r="D452">
        <v>-45.95</v>
      </c>
      <c r="E452">
        <f t="shared" si="7"/>
        <v>45.95</v>
      </c>
      <c r="F452" s="137" t="s">
        <v>214</v>
      </c>
    </row>
    <row r="453" spans="1:6" x14ac:dyDescent="0.2">
      <c r="A453" s="107">
        <v>45999</v>
      </c>
      <c r="B453" t="s">
        <v>13</v>
      </c>
      <c r="C453" t="s">
        <v>104</v>
      </c>
      <c r="D453">
        <v>-17</v>
      </c>
      <c r="E453">
        <f t="shared" si="7"/>
        <v>17</v>
      </c>
    </row>
    <row r="454" spans="1:6" x14ac:dyDescent="0.2">
      <c r="A454" s="107">
        <v>45999</v>
      </c>
      <c r="B454" t="s">
        <v>13</v>
      </c>
      <c r="C454" t="s">
        <v>15</v>
      </c>
      <c r="D454">
        <v>-21.45</v>
      </c>
      <c r="E454">
        <f t="shared" si="7"/>
        <v>21.45</v>
      </c>
    </row>
    <row r="455" spans="1:6" x14ac:dyDescent="0.2">
      <c r="A455" s="107">
        <v>46000</v>
      </c>
      <c r="B455" t="s">
        <v>13</v>
      </c>
      <c r="C455" t="s">
        <v>111</v>
      </c>
      <c r="D455">
        <v>-36</v>
      </c>
      <c r="E455">
        <f t="shared" si="7"/>
        <v>36</v>
      </c>
    </row>
    <row r="456" spans="1:6" x14ac:dyDescent="0.2">
      <c r="A456" s="107">
        <v>46000</v>
      </c>
      <c r="B456" t="s">
        <v>13</v>
      </c>
      <c r="C456" t="s">
        <v>15</v>
      </c>
      <c r="D456">
        <v>-7.5</v>
      </c>
      <c r="E456">
        <f t="shared" si="7"/>
        <v>7.5</v>
      </c>
    </row>
    <row r="457" spans="1:6" x14ac:dyDescent="0.2">
      <c r="A457" s="107">
        <v>46001</v>
      </c>
      <c r="B457" t="s">
        <v>13</v>
      </c>
      <c r="C457" t="s">
        <v>111</v>
      </c>
      <c r="D457">
        <v>-7.8</v>
      </c>
      <c r="E457">
        <f t="shared" si="7"/>
        <v>7.8</v>
      </c>
    </row>
    <row r="458" spans="1:6" x14ac:dyDescent="0.2">
      <c r="A458" s="107">
        <v>46001</v>
      </c>
      <c r="B458" t="s">
        <v>13</v>
      </c>
      <c r="C458" t="s">
        <v>111</v>
      </c>
      <c r="D458">
        <v>-46</v>
      </c>
      <c r="E458">
        <f t="shared" si="7"/>
        <v>46</v>
      </c>
    </row>
    <row r="459" spans="1:6" x14ac:dyDescent="0.2">
      <c r="A459" s="107">
        <v>46001</v>
      </c>
      <c r="B459" t="s">
        <v>13</v>
      </c>
      <c r="C459" t="s">
        <v>158</v>
      </c>
      <c r="D459">
        <v>-0.5</v>
      </c>
      <c r="E459">
        <f t="shared" si="7"/>
        <v>0.5</v>
      </c>
    </row>
    <row r="460" spans="1:6" x14ac:dyDescent="0.2">
      <c r="A460" s="107">
        <v>46002</v>
      </c>
      <c r="B460" t="s">
        <v>13</v>
      </c>
      <c r="C460" t="s">
        <v>121</v>
      </c>
      <c r="D460">
        <v>-4.12</v>
      </c>
      <c r="E460">
        <f t="shared" si="7"/>
        <v>4.12</v>
      </c>
    </row>
    <row r="461" spans="1:6" x14ac:dyDescent="0.2">
      <c r="A461" s="107">
        <v>46002</v>
      </c>
      <c r="B461" t="s">
        <v>13</v>
      </c>
      <c r="C461" t="s">
        <v>157</v>
      </c>
      <c r="D461">
        <v>-4.7</v>
      </c>
      <c r="E461">
        <f t="shared" si="7"/>
        <v>4.7</v>
      </c>
    </row>
    <row r="462" spans="1:6" x14ac:dyDescent="0.2">
      <c r="A462" s="107">
        <v>46002</v>
      </c>
      <c r="B462" t="s">
        <v>13</v>
      </c>
      <c r="C462" t="s">
        <v>15</v>
      </c>
      <c r="D462">
        <v>-21</v>
      </c>
      <c r="E462">
        <f t="shared" si="7"/>
        <v>21</v>
      </c>
    </row>
    <row r="463" spans="1:6" x14ac:dyDescent="0.2">
      <c r="A463" s="107">
        <v>46003</v>
      </c>
      <c r="B463" t="s">
        <v>13</v>
      </c>
      <c r="C463" t="s">
        <v>111</v>
      </c>
      <c r="D463">
        <v>-51.7</v>
      </c>
      <c r="E463">
        <f t="shared" si="7"/>
        <v>51.7</v>
      </c>
    </row>
    <row r="464" spans="1:6" x14ac:dyDescent="0.2">
      <c r="A464" s="107">
        <v>46003</v>
      </c>
      <c r="B464" t="s">
        <v>13</v>
      </c>
      <c r="C464" t="s">
        <v>15</v>
      </c>
      <c r="D464">
        <v>-8.5</v>
      </c>
      <c r="E464">
        <f t="shared" si="7"/>
        <v>8.5</v>
      </c>
    </row>
    <row r="465" spans="1:6" x14ac:dyDescent="0.2">
      <c r="A465" s="107">
        <v>46003</v>
      </c>
      <c r="B465" t="s">
        <v>13</v>
      </c>
      <c r="C465" t="s">
        <v>111</v>
      </c>
      <c r="D465">
        <v>-25</v>
      </c>
      <c r="E465">
        <f t="shared" si="7"/>
        <v>25</v>
      </c>
    </row>
    <row r="466" spans="1:6" x14ac:dyDescent="0.2">
      <c r="A466" s="107">
        <v>46003</v>
      </c>
      <c r="B466" t="s">
        <v>13</v>
      </c>
      <c r="C466" t="s">
        <v>121</v>
      </c>
      <c r="D466">
        <v>-53.68</v>
      </c>
      <c r="E466">
        <f t="shared" si="7"/>
        <v>53.68</v>
      </c>
    </row>
    <row r="467" spans="1:6" x14ac:dyDescent="0.2">
      <c r="A467" s="107">
        <v>46004</v>
      </c>
      <c r="B467" t="s">
        <v>13</v>
      </c>
      <c r="C467" t="s">
        <v>111</v>
      </c>
      <c r="D467">
        <v>-17</v>
      </c>
      <c r="E467">
        <f t="shared" si="7"/>
        <v>17</v>
      </c>
    </row>
    <row r="468" spans="1:6" x14ac:dyDescent="0.2">
      <c r="A468" s="107">
        <v>46004</v>
      </c>
      <c r="B468" t="s">
        <v>13</v>
      </c>
      <c r="C468" t="s">
        <v>218</v>
      </c>
      <c r="D468">
        <v>-650</v>
      </c>
      <c r="E468">
        <f t="shared" si="7"/>
        <v>650</v>
      </c>
      <c r="F468" t="s">
        <v>219</v>
      </c>
    </row>
    <row r="469" spans="1:6" x14ac:dyDescent="0.2">
      <c r="A469" s="107">
        <v>46004</v>
      </c>
      <c r="B469" t="s">
        <v>13</v>
      </c>
      <c r="C469" t="s">
        <v>15</v>
      </c>
      <c r="D469">
        <v>-3</v>
      </c>
      <c r="E469">
        <f t="shared" si="7"/>
        <v>3</v>
      </c>
    </row>
    <row r="470" spans="1:6" x14ac:dyDescent="0.2">
      <c r="A470" s="107">
        <v>46004</v>
      </c>
      <c r="B470" t="s">
        <v>13</v>
      </c>
      <c r="C470" t="s">
        <v>121</v>
      </c>
      <c r="D470">
        <v>-4</v>
      </c>
      <c r="E470">
        <f t="shared" si="7"/>
        <v>4</v>
      </c>
    </row>
    <row r="471" spans="1:6" x14ac:dyDescent="0.2">
      <c r="A471" s="107">
        <v>46005</v>
      </c>
      <c r="B471" t="s">
        <v>13</v>
      </c>
      <c r="C471" t="s">
        <v>15</v>
      </c>
      <c r="D471">
        <v>-2.8</v>
      </c>
      <c r="E471">
        <f t="shared" si="7"/>
        <v>2.8</v>
      </c>
    </row>
    <row r="472" spans="1:6" x14ac:dyDescent="0.2">
      <c r="A472" s="107">
        <v>46005</v>
      </c>
      <c r="B472" t="s">
        <v>13</v>
      </c>
      <c r="C472" t="s">
        <v>111</v>
      </c>
      <c r="D472">
        <v>-14</v>
      </c>
      <c r="E472">
        <f t="shared" si="7"/>
        <v>14</v>
      </c>
    </row>
    <row r="473" spans="1:6" x14ac:dyDescent="0.2">
      <c r="A473" s="107">
        <v>46005</v>
      </c>
      <c r="B473" t="s">
        <v>13</v>
      </c>
      <c r="C473" t="s">
        <v>121</v>
      </c>
      <c r="D473">
        <v>-4.55</v>
      </c>
      <c r="E473">
        <f t="shared" si="7"/>
        <v>4.55</v>
      </c>
    </row>
    <row r="474" spans="1:6" x14ac:dyDescent="0.2">
      <c r="A474" s="107">
        <v>46006</v>
      </c>
      <c r="B474" t="s">
        <v>13</v>
      </c>
      <c r="C474" t="s">
        <v>15</v>
      </c>
      <c r="D474">
        <v>-14.95</v>
      </c>
      <c r="E474">
        <f t="shared" si="7"/>
        <v>14.95</v>
      </c>
    </row>
    <row r="475" spans="1:6" x14ac:dyDescent="0.2">
      <c r="A475" s="107">
        <v>46006</v>
      </c>
      <c r="B475" t="s">
        <v>13</v>
      </c>
      <c r="C475" t="s">
        <v>15</v>
      </c>
      <c r="D475">
        <v>-30.25</v>
      </c>
      <c r="E475">
        <f t="shared" si="7"/>
        <v>30.25</v>
      </c>
    </row>
    <row r="476" spans="1:6" x14ac:dyDescent="0.2">
      <c r="A476" s="107">
        <v>46006</v>
      </c>
      <c r="B476" t="s">
        <v>13</v>
      </c>
      <c r="C476" t="s">
        <v>157</v>
      </c>
      <c r="D476">
        <v>-4.7</v>
      </c>
      <c r="E476">
        <f t="shared" si="7"/>
        <v>4.7</v>
      </c>
    </row>
    <row r="477" spans="1:6" x14ac:dyDescent="0.2">
      <c r="A477" s="107">
        <v>46006</v>
      </c>
      <c r="B477" t="s">
        <v>13</v>
      </c>
      <c r="C477" t="s">
        <v>157</v>
      </c>
      <c r="D477">
        <v>-9.6</v>
      </c>
      <c r="E477">
        <f t="shared" si="7"/>
        <v>9.6</v>
      </c>
    </row>
    <row r="478" spans="1:6" x14ac:dyDescent="0.2">
      <c r="A478" s="107">
        <v>46007</v>
      </c>
      <c r="B478" t="s">
        <v>13</v>
      </c>
      <c r="C478" t="s">
        <v>165</v>
      </c>
      <c r="D478">
        <v>-18</v>
      </c>
      <c r="E478">
        <f t="shared" si="7"/>
        <v>18</v>
      </c>
    </row>
    <row r="479" spans="1:6" x14ac:dyDescent="0.2">
      <c r="A479" s="107">
        <v>46007</v>
      </c>
      <c r="B479" t="s">
        <v>10</v>
      </c>
      <c r="C479" t="s">
        <v>105</v>
      </c>
      <c r="D479">
        <v>31</v>
      </c>
      <c r="E479">
        <f t="shared" si="7"/>
        <v>31</v>
      </c>
    </row>
    <row r="480" spans="1:6" x14ac:dyDescent="0.2">
      <c r="A480" s="107">
        <v>46007</v>
      </c>
      <c r="B480" t="s">
        <v>13</v>
      </c>
      <c r="C480" t="s">
        <v>111</v>
      </c>
      <c r="D480">
        <v>-93</v>
      </c>
      <c r="E480">
        <f t="shared" si="7"/>
        <v>93</v>
      </c>
    </row>
    <row r="481" spans="1:5" x14ac:dyDescent="0.2">
      <c r="A481" s="107">
        <v>46007</v>
      </c>
      <c r="B481" t="s">
        <v>13</v>
      </c>
      <c r="C481" t="s">
        <v>157</v>
      </c>
      <c r="D481">
        <v>-9.6</v>
      </c>
      <c r="E481">
        <f t="shared" si="7"/>
        <v>9.6</v>
      </c>
    </row>
    <row r="482" spans="1:5" x14ac:dyDescent="0.2">
      <c r="A482" s="107">
        <v>46007</v>
      </c>
      <c r="B482" t="s">
        <v>13</v>
      </c>
      <c r="C482" t="s">
        <v>111</v>
      </c>
      <c r="D482">
        <v>-11.5</v>
      </c>
      <c r="E482">
        <f t="shared" si="7"/>
        <v>11.5</v>
      </c>
    </row>
    <row r="483" spans="1:5" x14ac:dyDescent="0.2">
      <c r="A483" s="107">
        <v>46007</v>
      </c>
      <c r="B483" t="s">
        <v>13</v>
      </c>
      <c r="C483" t="s">
        <v>157</v>
      </c>
      <c r="D483">
        <v>-4.7</v>
      </c>
      <c r="E483">
        <f t="shared" si="7"/>
        <v>4.7</v>
      </c>
    </row>
    <row r="484" spans="1:5" x14ac:dyDescent="0.2">
      <c r="A484" s="107">
        <v>46008</v>
      </c>
      <c r="B484" t="s">
        <v>13</v>
      </c>
      <c r="C484" t="s">
        <v>157</v>
      </c>
      <c r="D484">
        <v>-9</v>
      </c>
      <c r="E484">
        <f t="shared" si="7"/>
        <v>9</v>
      </c>
    </row>
    <row r="485" spans="1:5" x14ac:dyDescent="0.2">
      <c r="A485" s="107">
        <v>46008</v>
      </c>
      <c r="B485" t="s">
        <v>13</v>
      </c>
      <c r="C485" t="s">
        <v>15</v>
      </c>
      <c r="D485">
        <v>-29.45</v>
      </c>
      <c r="E485">
        <f t="shared" si="7"/>
        <v>29.45</v>
      </c>
    </row>
    <row r="486" spans="1:5" x14ac:dyDescent="0.2">
      <c r="A486" s="107">
        <v>46008</v>
      </c>
      <c r="B486" t="s">
        <v>13</v>
      </c>
      <c r="C486" t="s">
        <v>158</v>
      </c>
      <c r="D486">
        <v>-29.95</v>
      </c>
      <c r="E486">
        <f t="shared" si="7"/>
        <v>29.95</v>
      </c>
    </row>
    <row r="487" spans="1:5" x14ac:dyDescent="0.2">
      <c r="A487" s="107">
        <v>46008</v>
      </c>
      <c r="B487" t="s">
        <v>13</v>
      </c>
      <c r="C487" t="s">
        <v>111</v>
      </c>
      <c r="D487">
        <v>-23.9</v>
      </c>
      <c r="E487">
        <f t="shared" si="7"/>
        <v>23.9</v>
      </c>
    </row>
    <row r="488" spans="1:5" x14ac:dyDescent="0.2">
      <c r="A488" s="107">
        <v>46008</v>
      </c>
      <c r="B488" t="s">
        <v>13</v>
      </c>
      <c r="C488" t="s">
        <v>157</v>
      </c>
      <c r="D488">
        <v>-11.9</v>
      </c>
      <c r="E488">
        <f t="shared" si="7"/>
        <v>11.9</v>
      </c>
    </row>
    <row r="489" spans="1:5" x14ac:dyDescent="0.2">
      <c r="A489" s="107">
        <v>46009</v>
      </c>
      <c r="B489" t="s">
        <v>13</v>
      </c>
      <c r="C489" t="s">
        <v>158</v>
      </c>
      <c r="D489">
        <v>-65</v>
      </c>
      <c r="E489">
        <f t="shared" si="7"/>
        <v>65</v>
      </c>
    </row>
    <row r="490" spans="1:5" x14ac:dyDescent="0.2">
      <c r="A490" s="107">
        <v>46009</v>
      </c>
      <c r="B490" t="s">
        <v>13</v>
      </c>
      <c r="C490" t="s">
        <v>111</v>
      </c>
      <c r="D490">
        <v>-2.9</v>
      </c>
      <c r="E490">
        <f t="shared" si="7"/>
        <v>2.9</v>
      </c>
    </row>
    <row r="491" spans="1:5" x14ac:dyDescent="0.2">
      <c r="A491" s="107">
        <v>46009</v>
      </c>
      <c r="B491" t="s">
        <v>13</v>
      </c>
      <c r="C491" t="s">
        <v>158</v>
      </c>
      <c r="D491">
        <v>-5.0999999999999996</v>
      </c>
      <c r="E491">
        <f t="shared" si="7"/>
        <v>5.0999999999999996</v>
      </c>
    </row>
    <row r="492" spans="1:5" x14ac:dyDescent="0.2">
      <c r="A492" s="107">
        <v>46009</v>
      </c>
      <c r="B492" t="s">
        <v>13</v>
      </c>
      <c r="C492" t="s">
        <v>158</v>
      </c>
      <c r="D492">
        <v>-7.35</v>
      </c>
      <c r="E492">
        <f t="shared" si="7"/>
        <v>7.35</v>
      </c>
    </row>
    <row r="493" spans="1:5" x14ac:dyDescent="0.2">
      <c r="A493" s="107">
        <v>46009</v>
      </c>
      <c r="B493" t="s">
        <v>13</v>
      </c>
      <c r="C493" t="s">
        <v>15</v>
      </c>
      <c r="D493">
        <v>-7.5</v>
      </c>
      <c r="E493">
        <f t="shared" si="7"/>
        <v>7.5</v>
      </c>
    </row>
    <row r="494" spans="1:5" x14ac:dyDescent="0.2">
      <c r="A494" s="107">
        <v>46009</v>
      </c>
      <c r="B494" t="s">
        <v>13</v>
      </c>
      <c r="C494" t="s">
        <v>158</v>
      </c>
      <c r="D494">
        <v>-7.35</v>
      </c>
      <c r="E494">
        <f t="shared" si="7"/>
        <v>7.35</v>
      </c>
    </row>
    <row r="495" spans="1:5" x14ac:dyDescent="0.2">
      <c r="A495" s="107">
        <v>46010</v>
      </c>
      <c r="B495" t="s">
        <v>10</v>
      </c>
      <c r="C495" t="s">
        <v>128</v>
      </c>
      <c r="D495">
        <v>8544.25</v>
      </c>
      <c r="E495">
        <f t="shared" si="7"/>
        <v>8544.25</v>
      </c>
    </row>
    <row r="496" spans="1:5" x14ac:dyDescent="0.2">
      <c r="A496" s="107">
        <v>46010</v>
      </c>
      <c r="B496" t="s">
        <v>13</v>
      </c>
      <c r="C496" t="s">
        <v>111</v>
      </c>
      <c r="D496">
        <v>-36.5</v>
      </c>
      <c r="E496">
        <f t="shared" si="7"/>
        <v>36.5</v>
      </c>
    </row>
    <row r="497" spans="1:6" x14ac:dyDescent="0.2">
      <c r="A497" s="107">
        <v>46011</v>
      </c>
      <c r="B497" t="s">
        <v>13</v>
      </c>
      <c r="C497" t="s">
        <v>160</v>
      </c>
      <c r="D497">
        <v>-4.99</v>
      </c>
      <c r="E497">
        <f t="shared" ref="E497:E531" si="8">ABS(D497)</f>
        <v>4.99</v>
      </c>
    </row>
    <row r="498" spans="1:6" x14ac:dyDescent="0.2">
      <c r="A498" s="107">
        <v>46011</v>
      </c>
      <c r="B498" t="s">
        <v>13</v>
      </c>
      <c r="C498" t="s">
        <v>218</v>
      </c>
      <c r="D498">
        <v>-12.95</v>
      </c>
      <c r="E498">
        <f t="shared" si="8"/>
        <v>12.95</v>
      </c>
      <c r="F498" s="137" t="s">
        <v>214</v>
      </c>
    </row>
    <row r="499" spans="1:6" x14ac:dyDescent="0.2">
      <c r="A499" s="107">
        <v>46011</v>
      </c>
      <c r="B499" t="s">
        <v>13</v>
      </c>
      <c r="C499" t="s">
        <v>218</v>
      </c>
      <c r="D499">
        <v>-151.4</v>
      </c>
      <c r="E499">
        <f t="shared" si="8"/>
        <v>151.4</v>
      </c>
      <c r="F499" s="137" t="s">
        <v>214</v>
      </c>
    </row>
    <row r="500" spans="1:6" x14ac:dyDescent="0.2">
      <c r="A500" s="107">
        <v>46011</v>
      </c>
      <c r="B500" t="s">
        <v>13</v>
      </c>
      <c r="C500" t="s">
        <v>15</v>
      </c>
      <c r="D500">
        <v>-6.5</v>
      </c>
      <c r="E500">
        <f t="shared" si="8"/>
        <v>6.5</v>
      </c>
    </row>
    <row r="501" spans="1:6" x14ac:dyDescent="0.2">
      <c r="A501" s="107">
        <v>46011</v>
      </c>
      <c r="B501" t="s">
        <v>13</v>
      </c>
      <c r="C501" t="s">
        <v>218</v>
      </c>
      <c r="D501">
        <v>-209.85</v>
      </c>
      <c r="E501">
        <f t="shared" si="8"/>
        <v>209.85</v>
      </c>
      <c r="F501" s="137" t="s">
        <v>214</v>
      </c>
    </row>
    <row r="502" spans="1:6" x14ac:dyDescent="0.2">
      <c r="A502" s="107">
        <v>46011</v>
      </c>
      <c r="B502" t="s">
        <v>13</v>
      </c>
      <c r="C502" t="s">
        <v>111</v>
      </c>
      <c r="D502">
        <v>-28</v>
      </c>
      <c r="E502">
        <f t="shared" si="8"/>
        <v>28</v>
      </c>
    </row>
    <row r="503" spans="1:6" x14ac:dyDescent="0.2">
      <c r="A503" s="107">
        <v>46011</v>
      </c>
      <c r="B503" t="s">
        <v>13</v>
      </c>
      <c r="C503" t="s">
        <v>111</v>
      </c>
      <c r="D503">
        <v>-8</v>
      </c>
      <c r="E503">
        <f t="shared" si="8"/>
        <v>8</v>
      </c>
    </row>
    <row r="504" spans="1:6" x14ac:dyDescent="0.2">
      <c r="A504" s="107">
        <v>46011</v>
      </c>
      <c r="B504" t="s">
        <v>13</v>
      </c>
      <c r="C504" t="s">
        <v>15</v>
      </c>
      <c r="D504">
        <v>-10.1</v>
      </c>
      <c r="E504">
        <f t="shared" si="8"/>
        <v>10.1</v>
      </c>
    </row>
    <row r="505" spans="1:6" x14ac:dyDescent="0.2">
      <c r="A505" s="107">
        <v>46012</v>
      </c>
      <c r="B505" t="s">
        <v>13</v>
      </c>
      <c r="C505" t="s">
        <v>15</v>
      </c>
      <c r="D505">
        <v>-11.4</v>
      </c>
      <c r="E505">
        <f t="shared" si="8"/>
        <v>11.4</v>
      </c>
    </row>
    <row r="506" spans="1:6" x14ac:dyDescent="0.2">
      <c r="A506" s="107">
        <v>46012</v>
      </c>
      <c r="B506" t="s">
        <v>13</v>
      </c>
      <c r="C506" t="s">
        <v>111</v>
      </c>
      <c r="D506">
        <v>-15.8</v>
      </c>
      <c r="E506">
        <f t="shared" si="8"/>
        <v>15.8</v>
      </c>
    </row>
    <row r="507" spans="1:6" x14ac:dyDescent="0.2">
      <c r="A507" s="107">
        <v>46012</v>
      </c>
      <c r="B507" t="s">
        <v>13</v>
      </c>
      <c r="C507" t="s">
        <v>157</v>
      </c>
      <c r="D507">
        <v>-23.8</v>
      </c>
      <c r="E507">
        <f t="shared" si="8"/>
        <v>23.8</v>
      </c>
    </row>
    <row r="508" spans="1:6" x14ac:dyDescent="0.2">
      <c r="A508" s="107">
        <v>46012</v>
      </c>
      <c r="B508" t="s">
        <v>13</v>
      </c>
      <c r="C508" t="s">
        <v>111</v>
      </c>
      <c r="D508">
        <v>-7.9</v>
      </c>
      <c r="E508">
        <f t="shared" si="8"/>
        <v>7.9</v>
      </c>
    </row>
    <row r="509" spans="1:6" x14ac:dyDescent="0.2">
      <c r="A509" s="107">
        <v>46012</v>
      </c>
      <c r="B509" t="s">
        <v>13</v>
      </c>
      <c r="C509" t="s">
        <v>157</v>
      </c>
      <c r="D509">
        <v>-11.9</v>
      </c>
      <c r="E509">
        <f t="shared" si="8"/>
        <v>11.9</v>
      </c>
    </row>
    <row r="510" spans="1:6" x14ac:dyDescent="0.2">
      <c r="A510" s="107">
        <v>46012</v>
      </c>
      <c r="B510" t="s">
        <v>13</v>
      </c>
      <c r="C510" t="s">
        <v>15</v>
      </c>
      <c r="D510">
        <v>-6.15</v>
      </c>
      <c r="E510">
        <f t="shared" si="8"/>
        <v>6.15</v>
      </c>
    </row>
    <row r="511" spans="1:6" x14ac:dyDescent="0.2">
      <c r="A511" s="107">
        <v>46013</v>
      </c>
      <c r="B511" t="s">
        <v>13</v>
      </c>
      <c r="C511" t="s">
        <v>121</v>
      </c>
      <c r="D511">
        <v>-66.12</v>
      </c>
      <c r="E511">
        <f t="shared" si="8"/>
        <v>66.12</v>
      </c>
    </row>
    <row r="512" spans="1:6" x14ac:dyDescent="0.2">
      <c r="A512" s="107">
        <v>46013</v>
      </c>
      <c r="B512" t="s">
        <v>13</v>
      </c>
      <c r="C512" t="s">
        <v>160</v>
      </c>
      <c r="D512">
        <v>-190.9</v>
      </c>
      <c r="E512">
        <f t="shared" si="8"/>
        <v>190.9</v>
      </c>
    </row>
    <row r="513" spans="1:6" x14ac:dyDescent="0.2">
      <c r="A513" s="107">
        <v>46013</v>
      </c>
      <c r="B513" t="s">
        <v>13</v>
      </c>
      <c r="C513" t="s">
        <v>15</v>
      </c>
      <c r="D513">
        <v>-8.3000000000000007</v>
      </c>
      <c r="E513">
        <f t="shared" si="8"/>
        <v>8.3000000000000007</v>
      </c>
    </row>
    <row r="514" spans="1:6" x14ac:dyDescent="0.2">
      <c r="A514" s="107">
        <v>46013</v>
      </c>
      <c r="B514" t="s">
        <v>13</v>
      </c>
      <c r="C514" t="s">
        <v>160</v>
      </c>
      <c r="D514">
        <v>-393.15</v>
      </c>
      <c r="E514">
        <f t="shared" si="8"/>
        <v>393.15</v>
      </c>
    </row>
    <row r="515" spans="1:6" x14ac:dyDescent="0.2">
      <c r="A515" s="107">
        <v>46014</v>
      </c>
      <c r="B515" t="s">
        <v>13</v>
      </c>
      <c r="C515" t="s">
        <v>160</v>
      </c>
      <c r="D515">
        <v>-299</v>
      </c>
      <c r="E515">
        <f t="shared" si="8"/>
        <v>299</v>
      </c>
    </row>
    <row r="516" spans="1:6" x14ac:dyDescent="0.2">
      <c r="A516" s="107">
        <v>46014</v>
      </c>
      <c r="B516" t="s">
        <v>13</v>
      </c>
      <c r="C516" t="s">
        <v>104</v>
      </c>
      <c r="D516">
        <v>-27.2</v>
      </c>
      <c r="E516">
        <f t="shared" si="8"/>
        <v>27.2</v>
      </c>
    </row>
    <row r="517" spans="1:6" x14ac:dyDescent="0.2">
      <c r="A517" s="107">
        <v>46014</v>
      </c>
      <c r="B517" t="s">
        <v>13</v>
      </c>
      <c r="C517" t="s">
        <v>160</v>
      </c>
      <c r="D517">
        <v>-453.34</v>
      </c>
      <c r="E517">
        <f t="shared" si="8"/>
        <v>453.34</v>
      </c>
    </row>
    <row r="518" spans="1:6" x14ac:dyDescent="0.2">
      <c r="A518" s="107">
        <v>46015</v>
      </c>
      <c r="B518" t="s">
        <v>13</v>
      </c>
      <c r="C518" t="s">
        <v>218</v>
      </c>
      <c r="D518">
        <v>-25.9</v>
      </c>
      <c r="E518">
        <f t="shared" si="8"/>
        <v>25.9</v>
      </c>
      <c r="F518" s="137" t="s">
        <v>214</v>
      </c>
    </row>
    <row r="519" spans="1:6" x14ac:dyDescent="0.2">
      <c r="A519" s="107">
        <v>46015</v>
      </c>
      <c r="B519" t="s">
        <v>13</v>
      </c>
      <c r="C519" t="s">
        <v>218</v>
      </c>
      <c r="D519">
        <v>-99.6</v>
      </c>
      <c r="E519">
        <f t="shared" si="8"/>
        <v>99.6</v>
      </c>
      <c r="F519" s="137" t="s">
        <v>214</v>
      </c>
    </row>
    <row r="520" spans="1:6" x14ac:dyDescent="0.2">
      <c r="A520" s="107">
        <v>46015</v>
      </c>
      <c r="B520" t="s">
        <v>13</v>
      </c>
      <c r="C520" t="s">
        <v>104</v>
      </c>
      <c r="D520">
        <v>-314.8</v>
      </c>
      <c r="E520">
        <f t="shared" si="8"/>
        <v>314.8</v>
      </c>
      <c r="F520" t="s">
        <v>215</v>
      </c>
    </row>
    <row r="521" spans="1:6" x14ac:dyDescent="0.2">
      <c r="A521" s="107">
        <v>46016</v>
      </c>
      <c r="B521" t="s">
        <v>13</v>
      </c>
      <c r="C521" t="s">
        <v>157</v>
      </c>
      <c r="D521">
        <v>-8</v>
      </c>
      <c r="E521">
        <f t="shared" si="8"/>
        <v>8</v>
      </c>
    </row>
    <row r="522" spans="1:6" x14ac:dyDescent="0.2">
      <c r="A522" s="107">
        <v>46018</v>
      </c>
      <c r="B522" t="s">
        <v>13</v>
      </c>
      <c r="C522" t="s">
        <v>160</v>
      </c>
      <c r="D522">
        <v>-70</v>
      </c>
      <c r="E522">
        <f t="shared" si="8"/>
        <v>70</v>
      </c>
    </row>
    <row r="523" spans="1:6" x14ac:dyDescent="0.2">
      <c r="A523" s="107">
        <v>46018</v>
      </c>
      <c r="B523" t="s">
        <v>13</v>
      </c>
      <c r="C523" t="s">
        <v>160</v>
      </c>
      <c r="D523">
        <v>-54</v>
      </c>
      <c r="E523">
        <f t="shared" si="8"/>
        <v>54</v>
      </c>
    </row>
    <row r="524" spans="1:6" x14ac:dyDescent="0.2">
      <c r="A524" s="107">
        <v>46019</v>
      </c>
      <c r="B524" t="s">
        <v>13</v>
      </c>
      <c r="C524" t="s">
        <v>24</v>
      </c>
      <c r="D524">
        <v>-39.99</v>
      </c>
      <c r="E524">
        <f t="shared" si="8"/>
        <v>39.99</v>
      </c>
    </row>
    <row r="525" spans="1:6" x14ac:dyDescent="0.2">
      <c r="A525" s="107">
        <v>46019</v>
      </c>
      <c r="B525" t="s">
        <v>13</v>
      </c>
      <c r="C525" t="s">
        <v>160</v>
      </c>
      <c r="D525">
        <v>-50</v>
      </c>
      <c r="E525">
        <f t="shared" si="8"/>
        <v>50</v>
      </c>
    </row>
    <row r="526" spans="1:6" x14ac:dyDescent="0.2">
      <c r="A526" s="107">
        <v>46019</v>
      </c>
      <c r="B526" t="s">
        <v>13</v>
      </c>
      <c r="C526" t="s">
        <v>160</v>
      </c>
      <c r="D526">
        <v>-70</v>
      </c>
      <c r="E526">
        <f t="shared" si="8"/>
        <v>70</v>
      </c>
    </row>
    <row r="527" spans="1:6" x14ac:dyDescent="0.2">
      <c r="A527" s="107">
        <v>46020</v>
      </c>
      <c r="B527" t="s">
        <v>13</v>
      </c>
      <c r="C527" t="s">
        <v>160</v>
      </c>
      <c r="D527">
        <v>-250</v>
      </c>
      <c r="E527">
        <f t="shared" si="8"/>
        <v>250</v>
      </c>
    </row>
    <row r="528" spans="1:6" x14ac:dyDescent="0.2">
      <c r="A528" s="107">
        <v>46020</v>
      </c>
      <c r="B528" t="s">
        <v>13</v>
      </c>
      <c r="C528" t="s">
        <v>159</v>
      </c>
      <c r="D528">
        <v>-501.35</v>
      </c>
      <c r="E528">
        <f t="shared" si="8"/>
        <v>501.35</v>
      </c>
    </row>
    <row r="529" spans="1:6" x14ac:dyDescent="0.2">
      <c r="A529" s="107">
        <v>46020</v>
      </c>
      <c r="B529" t="s">
        <v>13</v>
      </c>
      <c r="C529" t="s">
        <v>218</v>
      </c>
      <c r="D529">
        <v>-313.95</v>
      </c>
      <c r="E529">
        <f t="shared" si="8"/>
        <v>313.95</v>
      </c>
      <c r="F529" s="137" t="s">
        <v>214</v>
      </c>
    </row>
    <row r="530" spans="1:6" x14ac:dyDescent="0.2">
      <c r="A530" s="107">
        <v>46022</v>
      </c>
      <c r="B530" t="s">
        <v>13</v>
      </c>
      <c r="C530" t="s">
        <v>167</v>
      </c>
      <c r="D530">
        <v>-10</v>
      </c>
      <c r="E530">
        <f t="shared" si="8"/>
        <v>10</v>
      </c>
    </row>
    <row r="531" spans="1:6" x14ac:dyDescent="0.2">
      <c r="A531" s="107">
        <v>46022</v>
      </c>
      <c r="B531" t="s">
        <v>13</v>
      </c>
      <c r="C531" t="s">
        <v>14</v>
      </c>
      <c r="D531">
        <v>-1500</v>
      </c>
      <c r="E531">
        <f t="shared" si="8"/>
        <v>1500</v>
      </c>
    </row>
  </sheetData>
  <autoFilter ref="A1:E1" xr:uid="{8FCCB295-5E94-5540-906A-FD221D2B7FD8}"/>
  <sortState xmlns:xlrd2="http://schemas.microsoft.com/office/spreadsheetml/2017/richdata2" ref="A304:D432">
    <sortCondition ref="A303:A432"/>
  </sortState>
  <conditionalFormatting sqref="O2:O11">
    <cfRule type="expression" dxfId="39" priority="5">
      <formula>ROW(O2)&lt;=income_max_row</formula>
    </cfRule>
  </conditionalFormatting>
  <conditionalFormatting sqref="O15:O38">
    <cfRule type="expression" dxfId="38" priority="4" stopIfTrue="1">
      <formula>ROW(O15)&lt;=expenses_max_row</formula>
    </cfRule>
  </conditionalFormatting>
  <conditionalFormatting sqref="O42:O51">
    <cfRule type="expression" dxfId="37" priority="3">
      <formula>ROW(O42)&lt;=savings_max_row</formula>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90756-04B0-7F4F-83F9-BE5C5100231A}">
  <sheetPr>
    <tabColor theme="3"/>
  </sheetPr>
  <dimension ref="C1:H29"/>
  <sheetViews>
    <sheetView showGridLines="0" zoomScaleNormal="100" workbookViewId="0">
      <selection activeCell="G31" sqref="G31"/>
    </sheetView>
  </sheetViews>
  <sheetFormatPr baseColWidth="10" defaultRowHeight="16" x14ac:dyDescent="0.2"/>
  <cols>
    <col min="2" max="2" width="5" customWidth="1"/>
    <col min="3" max="3" width="3" customWidth="1"/>
    <col min="4" max="5" width="29.1640625" customWidth="1"/>
    <col min="6" max="6" width="4.33203125" customWidth="1"/>
    <col min="7" max="7" width="67" customWidth="1"/>
    <col min="8" max="8" width="3" customWidth="1"/>
  </cols>
  <sheetData>
    <row r="1" spans="3:8" s="1" customFormat="1" x14ac:dyDescent="0.2"/>
    <row r="2" spans="3:8" s="1" customFormat="1" ht="38" customHeight="1" x14ac:dyDescent="0.2">
      <c r="C2" s="123" t="s">
        <v>5</v>
      </c>
      <c r="D2" s="123"/>
      <c r="E2" s="123"/>
      <c r="F2" s="123"/>
    </row>
    <row r="3" spans="3:8" s="1" customFormat="1" x14ac:dyDescent="0.2"/>
    <row r="6" spans="3:8" x14ac:dyDescent="0.2">
      <c r="C6" s="124" t="s">
        <v>6</v>
      </c>
      <c r="D6" s="124"/>
      <c r="E6" s="124"/>
      <c r="F6" s="124"/>
      <c r="G6" s="124"/>
      <c r="H6" s="124"/>
    </row>
    <row r="7" spans="3:8" x14ac:dyDescent="0.2">
      <c r="C7" s="3"/>
      <c r="H7" s="4"/>
    </row>
    <row r="8" spans="3:8" x14ac:dyDescent="0.2">
      <c r="C8" s="3"/>
      <c r="D8" s="39" t="s">
        <v>7</v>
      </c>
      <c r="E8" s="8">
        <v>2025</v>
      </c>
      <c r="G8" s="9" t="s">
        <v>8</v>
      </c>
      <c r="H8" s="4"/>
    </row>
    <row r="9" spans="3:8" x14ac:dyDescent="0.2">
      <c r="C9" s="5"/>
      <c r="D9" s="6"/>
      <c r="E9" s="6"/>
      <c r="F9" s="6"/>
      <c r="G9" s="6"/>
      <c r="H9" s="7"/>
    </row>
    <row r="12" spans="3:8" x14ac:dyDescent="0.2">
      <c r="C12" s="124" t="s">
        <v>34</v>
      </c>
      <c r="D12" s="124"/>
      <c r="E12" s="124"/>
      <c r="F12" s="124"/>
      <c r="G12" s="124"/>
      <c r="H12" s="124"/>
    </row>
    <row r="13" spans="3:8" x14ac:dyDescent="0.2">
      <c r="C13" s="3"/>
      <c r="H13" s="4"/>
    </row>
    <row r="14" spans="3:8" x14ac:dyDescent="0.2">
      <c r="C14" s="3"/>
      <c r="D14" s="40" t="s">
        <v>35</v>
      </c>
      <c r="H14" s="4"/>
    </row>
    <row r="15" spans="3:8" x14ac:dyDescent="0.2">
      <c r="C15" s="3"/>
      <c r="H15" s="4"/>
    </row>
    <row r="16" spans="3:8" x14ac:dyDescent="0.2">
      <c r="C16" s="3"/>
      <c r="D16" s="41" t="s">
        <v>36</v>
      </c>
      <c r="E16" s="8" t="s">
        <v>168</v>
      </c>
      <c r="G16" s="125" t="s">
        <v>38</v>
      </c>
      <c r="H16" s="4"/>
    </row>
    <row r="17" spans="3:8" ht="6" customHeight="1" x14ac:dyDescent="0.2">
      <c r="C17" s="28"/>
      <c r="G17" s="125"/>
      <c r="H17" s="29"/>
    </row>
    <row r="18" spans="3:8" x14ac:dyDescent="0.2">
      <c r="C18" s="28"/>
      <c r="D18" s="41" t="s">
        <v>37</v>
      </c>
      <c r="E18" s="8">
        <v>25</v>
      </c>
      <c r="G18" s="125"/>
      <c r="H18" s="29"/>
    </row>
    <row r="19" spans="3:8" x14ac:dyDescent="0.2">
      <c r="C19" s="28"/>
      <c r="E19" t="s">
        <v>9</v>
      </c>
      <c r="H19" s="29"/>
    </row>
    <row r="20" spans="3:8" x14ac:dyDescent="0.2">
      <c r="C20" s="28"/>
      <c r="H20" s="29"/>
    </row>
    <row r="21" spans="3:8" x14ac:dyDescent="0.2">
      <c r="C21" s="28"/>
      <c r="H21" s="29"/>
    </row>
    <row r="22" spans="3:8" x14ac:dyDescent="0.2">
      <c r="C22" s="28"/>
      <c r="H22" s="29"/>
    </row>
    <row r="23" spans="3:8" x14ac:dyDescent="0.2">
      <c r="C23" s="28"/>
      <c r="H23" s="29"/>
    </row>
    <row r="24" spans="3:8" x14ac:dyDescent="0.2">
      <c r="C24" s="30"/>
      <c r="D24" s="31"/>
      <c r="E24" s="31"/>
      <c r="F24" s="31"/>
      <c r="G24" s="31"/>
      <c r="H24" s="32"/>
    </row>
    <row r="29" spans="3:8" x14ac:dyDescent="0.2">
      <c r="D29" t="s">
        <v>70</v>
      </c>
      <c r="E29" s="106" t="s">
        <v>71</v>
      </c>
    </row>
  </sheetData>
  <mergeCells count="4">
    <mergeCell ref="C2:F2"/>
    <mergeCell ref="C6:H6"/>
    <mergeCell ref="C12:H12"/>
    <mergeCell ref="G16:G18"/>
  </mergeCells>
  <conditionalFormatting sqref="E18">
    <cfRule type="expression" dxfId="36" priority="1">
      <formula>shift_late_income_status="Inactive"</formula>
    </cfRule>
  </conditionalFormatting>
  <dataValidations count="1">
    <dataValidation type="list" allowBlank="1" showInputMessage="1" showErrorMessage="1" sqref="E16" xr:uid="{F7432C6C-E575-3741-AB1D-FE0D49DCA014}">
      <formula1>"Active, Inactive"</formula1>
    </dataValidation>
  </dataValidations>
  <hyperlinks>
    <hyperlink ref="E29" r:id="rId1" xr:uid="{25F8EECC-F146-9647-85BF-1F93ACC367B5}"/>
  </hyperlink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274A4-C7AD-824E-85C0-B90272AA87DB}">
  <sheetPr>
    <tabColor theme="3"/>
  </sheetPr>
  <dimension ref="C1:IG66"/>
  <sheetViews>
    <sheetView showGridLines="0" tabSelected="1" topLeftCell="A11" zoomScaleNormal="100" workbookViewId="0">
      <pane xSplit="4" topLeftCell="Q1" activePane="topRight" state="frozen"/>
      <selection pane="topRight" activeCell="AE32" sqref="AE32"/>
    </sheetView>
  </sheetViews>
  <sheetFormatPr baseColWidth="10" defaultRowHeight="16" outlineLevelCol="1" x14ac:dyDescent="0.2"/>
  <cols>
    <col min="2" max="2" width="5" customWidth="1"/>
    <col min="3" max="3" width="28.33203125" bestFit="1" customWidth="1"/>
    <col min="4" max="4" width="2.33203125" customWidth="1"/>
    <col min="5" max="16" width="10.83203125" hidden="1" customWidth="1" outlineLevel="1"/>
    <col min="17" max="17" width="10.83203125" collapsed="1"/>
    <col min="18" max="18" width="14.83203125" customWidth="1"/>
    <col min="19" max="30" width="10.83203125" customWidth="1" outlineLevel="1"/>
    <col min="32" max="32" width="3.6640625" customWidth="1"/>
    <col min="33" max="44" width="0" hidden="1" customWidth="1" outlineLevel="1"/>
    <col min="45" max="45" width="10.83203125" collapsed="1"/>
    <col min="46" max="46" width="3.6640625" customWidth="1"/>
    <col min="47" max="58" width="0" hidden="1" customWidth="1" outlineLevel="1"/>
    <col min="59" max="59" width="10.83203125" collapsed="1"/>
    <col min="60" max="60" width="3.6640625" customWidth="1"/>
    <col min="61" max="72" width="0" hidden="1" customWidth="1" outlineLevel="1"/>
    <col min="73" max="73" width="10.83203125" collapsed="1"/>
    <col min="74" max="74" width="3.6640625" customWidth="1"/>
    <col min="75" max="86" width="0" hidden="1" customWidth="1" outlineLevel="1"/>
    <col min="87" max="87" width="10.83203125" collapsed="1"/>
    <col min="88" max="88" width="3.6640625" customWidth="1"/>
    <col min="89" max="100" width="0" hidden="1" customWidth="1" outlineLevel="1"/>
    <col min="101" max="101" width="10.83203125" collapsed="1"/>
    <col min="102" max="102" width="3.6640625" customWidth="1"/>
    <col min="103" max="114" width="0" hidden="1" customWidth="1" outlineLevel="1"/>
    <col min="115" max="115" width="10.83203125" collapsed="1"/>
    <col min="116" max="116" width="3.6640625" customWidth="1"/>
    <col min="117" max="128" width="0" hidden="1" customWidth="1" outlineLevel="1"/>
    <col min="129" max="129" width="10.83203125" collapsed="1"/>
    <col min="130" max="130" width="3.6640625" customWidth="1"/>
    <col min="131" max="142" width="0" hidden="1" customWidth="1" outlineLevel="1"/>
    <col min="143" max="143" width="10.83203125" collapsed="1"/>
    <col min="144" max="144" width="3.6640625" customWidth="1"/>
    <col min="145" max="156" width="0" hidden="1" customWidth="1" outlineLevel="1"/>
    <col min="157" max="157" width="10.83203125" collapsed="1"/>
    <col min="158" max="158" width="3.6640625" customWidth="1"/>
    <col min="159" max="170" width="0" hidden="1" customWidth="1" outlineLevel="1"/>
    <col min="171" max="171" width="10.83203125" collapsed="1"/>
    <col min="172" max="172" width="3.6640625" customWidth="1"/>
    <col min="173" max="184" width="0" hidden="1" customWidth="1" outlineLevel="1"/>
    <col min="185" max="185" width="10.83203125" collapsed="1"/>
    <col min="186" max="186" width="3.6640625" customWidth="1"/>
    <col min="187" max="198" width="0" hidden="1" customWidth="1" outlineLevel="1"/>
    <col min="199" max="199" width="10.83203125" collapsed="1"/>
    <col min="200" max="200" width="3.6640625" customWidth="1"/>
    <col min="201" max="212" width="0" hidden="1" customWidth="1" outlineLevel="1"/>
    <col min="213" max="213" width="10.83203125" collapsed="1"/>
    <col min="214" max="214" width="3.6640625" customWidth="1"/>
    <col min="215" max="226" width="0" hidden="1" customWidth="1" outlineLevel="1"/>
    <col min="227" max="227" width="10.83203125" collapsed="1"/>
    <col min="228" max="228" width="3.6640625" customWidth="1"/>
    <col min="229" max="240" width="0" hidden="1" customWidth="1" outlineLevel="1"/>
    <col min="241" max="241" width="10.83203125" collapsed="1"/>
    <col min="242" max="242" width="3.6640625" customWidth="1"/>
  </cols>
  <sheetData>
    <row r="1" spans="3:241" s="1" customFormat="1" x14ac:dyDescent="0.2"/>
    <row r="2" spans="3:241" s="1" customFormat="1" ht="38" customHeight="1" x14ac:dyDescent="0.2">
      <c r="C2" s="123" t="s">
        <v>2</v>
      </c>
      <c r="D2" s="123"/>
      <c r="E2" s="123"/>
      <c r="F2" s="123"/>
    </row>
    <row r="3" spans="3:241" s="1" customFormat="1" x14ac:dyDescent="0.2"/>
    <row r="4" spans="3:241" x14ac:dyDescent="0.2">
      <c r="C4" t="s">
        <v>17</v>
      </c>
      <c r="Q4" s="138">
        <f ca="1">Q24-Q52</f>
        <v>15415.599999999999</v>
      </c>
      <c r="AE4" s="138">
        <f ca="1">AE24-AE52</f>
        <v>46633.08</v>
      </c>
    </row>
    <row r="5" spans="3:241" x14ac:dyDescent="0.2">
      <c r="C5" t="s">
        <v>220</v>
      </c>
      <c r="Q5" s="139">
        <f ca="1">Q52/Q24</f>
        <v>0.67600638504243915</v>
      </c>
      <c r="AE5" s="139">
        <f ca="1">AE52/AE24</f>
        <v>0.52637538086532598</v>
      </c>
    </row>
    <row r="6" spans="3:241" x14ac:dyDescent="0.2">
      <c r="C6" s="10" t="s">
        <v>23</v>
      </c>
      <c r="E6" s="124">
        <f xml:space="preserve"> starting_year</f>
        <v>2025</v>
      </c>
      <c r="F6" s="124"/>
      <c r="G6" s="124"/>
      <c r="H6" s="124"/>
      <c r="I6" s="124"/>
      <c r="J6" s="124"/>
      <c r="K6" s="124"/>
      <c r="L6" s="124"/>
      <c r="M6" s="124"/>
      <c r="N6" s="124"/>
      <c r="O6" s="124"/>
      <c r="P6" s="124"/>
      <c r="Q6" s="124"/>
      <c r="S6" s="124">
        <f xml:space="preserve"> E6 + 1</f>
        <v>2026</v>
      </c>
      <c r="T6" s="124"/>
      <c r="U6" s="124"/>
      <c r="V6" s="124"/>
      <c r="W6" s="124"/>
      <c r="X6" s="124"/>
      <c r="Y6" s="124"/>
      <c r="Z6" s="124"/>
      <c r="AA6" s="124"/>
      <c r="AB6" s="124"/>
      <c r="AC6" s="124"/>
      <c r="AD6" s="124"/>
      <c r="AE6" s="124"/>
      <c r="AG6" s="124">
        <f xml:space="preserve"> S6 + 1</f>
        <v>2027</v>
      </c>
      <c r="AH6" s="124"/>
      <c r="AI6" s="124"/>
      <c r="AJ6" s="124"/>
      <c r="AK6" s="124"/>
      <c r="AL6" s="124"/>
      <c r="AM6" s="124"/>
      <c r="AN6" s="124"/>
      <c r="AO6" s="124"/>
      <c r="AP6" s="124"/>
      <c r="AQ6" s="124"/>
      <c r="AR6" s="124"/>
      <c r="AS6" s="124"/>
      <c r="AU6" s="124">
        <f xml:space="preserve"> AG6 + 1</f>
        <v>2028</v>
      </c>
      <c r="AV6" s="124"/>
      <c r="AW6" s="124"/>
      <c r="AX6" s="124"/>
      <c r="AY6" s="124"/>
      <c r="AZ6" s="124"/>
      <c r="BA6" s="124"/>
      <c r="BB6" s="124"/>
      <c r="BC6" s="124"/>
      <c r="BD6" s="124"/>
      <c r="BE6" s="124"/>
      <c r="BF6" s="124"/>
      <c r="BG6" s="124"/>
      <c r="BI6" s="124">
        <f xml:space="preserve"> AU6 + 1</f>
        <v>2029</v>
      </c>
      <c r="BJ6" s="124"/>
      <c r="BK6" s="124"/>
      <c r="BL6" s="124"/>
      <c r="BM6" s="124"/>
      <c r="BN6" s="124"/>
      <c r="BO6" s="124"/>
      <c r="BP6" s="124"/>
      <c r="BQ6" s="124"/>
      <c r="BR6" s="124"/>
      <c r="BS6" s="124"/>
      <c r="BT6" s="124"/>
      <c r="BU6" s="124"/>
      <c r="BW6" s="124">
        <f xml:space="preserve"> BI6 + 1</f>
        <v>2030</v>
      </c>
      <c r="BX6" s="124"/>
      <c r="BY6" s="124"/>
      <c r="BZ6" s="124"/>
      <c r="CA6" s="124"/>
      <c r="CB6" s="124"/>
      <c r="CC6" s="124"/>
      <c r="CD6" s="124"/>
      <c r="CE6" s="124"/>
      <c r="CF6" s="124"/>
      <c r="CG6" s="124"/>
      <c r="CH6" s="124"/>
      <c r="CI6" s="124"/>
      <c r="CK6" s="124">
        <f xml:space="preserve"> BW6 + 1</f>
        <v>2031</v>
      </c>
      <c r="CL6" s="124"/>
      <c r="CM6" s="124"/>
      <c r="CN6" s="124"/>
      <c r="CO6" s="124"/>
      <c r="CP6" s="124"/>
      <c r="CQ6" s="124"/>
      <c r="CR6" s="124"/>
      <c r="CS6" s="124"/>
      <c r="CT6" s="124"/>
      <c r="CU6" s="124"/>
      <c r="CV6" s="124"/>
      <c r="CW6" s="124"/>
      <c r="CY6" s="124">
        <f xml:space="preserve"> CK6 + 1</f>
        <v>2032</v>
      </c>
      <c r="CZ6" s="124"/>
      <c r="DA6" s="124"/>
      <c r="DB6" s="124"/>
      <c r="DC6" s="124"/>
      <c r="DD6" s="124"/>
      <c r="DE6" s="124"/>
      <c r="DF6" s="124"/>
      <c r="DG6" s="124"/>
      <c r="DH6" s="124"/>
      <c r="DI6" s="124"/>
      <c r="DJ6" s="124"/>
      <c r="DK6" s="124"/>
      <c r="DM6" s="124">
        <f xml:space="preserve"> CY6 + 1</f>
        <v>2033</v>
      </c>
      <c r="DN6" s="124"/>
      <c r="DO6" s="124"/>
      <c r="DP6" s="124"/>
      <c r="DQ6" s="124"/>
      <c r="DR6" s="124"/>
      <c r="DS6" s="124"/>
      <c r="DT6" s="124"/>
      <c r="DU6" s="124"/>
      <c r="DV6" s="124"/>
      <c r="DW6" s="124"/>
      <c r="DX6" s="124"/>
      <c r="DY6" s="124"/>
      <c r="EA6" s="124">
        <f xml:space="preserve"> DM6 + 1</f>
        <v>2034</v>
      </c>
      <c r="EB6" s="124"/>
      <c r="EC6" s="124"/>
      <c r="ED6" s="124"/>
      <c r="EE6" s="124"/>
      <c r="EF6" s="124"/>
      <c r="EG6" s="124"/>
      <c r="EH6" s="124"/>
      <c r="EI6" s="124"/>
      <c r="EJ6" s="124"/>
      <c r="EK6" s="124"/>
      <c r="EL6" s="124"/>
      <c r="EM6" s="124"/>
      <c r="EO6" s="124">
        <f xml:space="preserve"> EA6 + 1</f>
        <v>2035</v>
      </c>
      <c r="EP6" s="124"/>
      <c r="EQ6" s="124"/>
      <c r="ER6" s="124"/>
      <c r="ES6" s="124"/>
      <c r="ET6" s="124"/>
      <c r="EU6" s="124"/>
      <c r="EV6" s="124"/>
      <c r="EW6" s="124"/>
      <c r="EX6" s="124"/>
      <c r="EY6" s="124"/>
      <c r="EZ6" s="124"/>
      <c r="FA6" s="124"/>
      <c r="FC6" s="124">
        <f xml:space="preserve"> EO6 + 1</f>
        <v>2036</v>
      </c>
      <c r="FD6" s="124"/>
      <c r="FE6" s="124"/>
      <c r="FF6" s="124"/>
      <c r="FG6" s="124"/>
      <c r="FH6" s="124"/>
      <c r="FI6" s="124"/>
      <c r="FJ6" s="124"/>
      <c r="FK6" s="124"/>
      <c r="FL6" s="124"/>
      <c r="FM6" s="124"/>
      <c r="FN6" s="124"/>
      <c r="FO6" s="124"/>
      <c r="FQ6" s="124">
        <f xml:space="preserve"> FC6 + 1</f>
        <v>2037</v>
      </c>
      <c r="FR6" s="124"/>
      <c r="FS6" s="124"/>
      <c r="FT6" s="124"/>
      <c r="FU6" s="124"/>
      <c r="FV6" s="124"/>
      <c r="FW6" s="124"/>
      <c r="FX6" s="124"/>
      <c r="FY6" s="124"/>
      <c r="FZ6" s="124"/>
      <c r="GA6" s="124"/>
      <c r="GB6" s="124"/>
      <c r="GC6" s="124"/>
      <c r="GE6" s="124">
        <f xml:space="preserve"> FQ6 + 1</f>
        <v>2038</v>
      </c>
      <c r="GF6" s="124"/>
      <c r="GG6" s="124"/>
      <c r="GH6" s="124"/>
      <c r="GI6" s="124"/>
      <c r="GJ6" s="124"/>
      <c r="GK6" s="124"/>
      <c r="GL6" s="124"/>
      <c r="GM6" s="124"/>
      <c r="GN6" s="124"/>
      <c r="GO6" s="124"/>
      <c r="GP6" s="124"/>
      <c r="GQ6" s="124"/>
      <c r="GS6" s="124">
        <f xml:space="preserve"> GE6 + 1</f>
        <v>2039</v>
      </c>
      <c r="GT6" s="124"/>
      <c r="GU6" s="124"/>
      <c r="GV6" s="124"/>
      <c r="GW6" s="124"/>
      <c r="GX6" s="124"/>
      <c r="GY6" s="124"/>
      <c r="GZ6" s="124"/>
      <c r="HA6" s="124"/>
      <c r="HB6" s="124"/>
      <c r="HC6" s="124"/>
      <c r="HD6" s="124"/>
      <c r="HE6" s="124"/>
      <c r="HG6" s="124">
        <f xml:space="preserve"> GS6 + 1</f>
        <v>2040</v>
      </c>
      <c r="HH6" s="124"/>
      <c r="HI6" s="124"/>
      <c r="HJ6" s="124"/>
      <c r="HK6" s="124"/>
      <c r="HL6" s="124"/>
      <c r="HM6" s="124"/>
      <c r="HN6" s="124"/>
      <c r="HO6" s="124"/>
      <c r="HP6" s="124"/>
      <c r="HQ6" s="124"/>
      <c r="HR6" s="124"/>
      <c r="HS6" s="124"/>
      <c r="HU6" s="124">
        <f xml:space="preserve"> HG6 + 1</f>
        <v>2041</v>
      </c>
      <c r="HV6" s="124"/>
      <c r="HW6" s="124"/>
      <c r="HX6" s="124"/>
      <c r="HY6" s="124"/>
      <c r="HZ6" s="124"/>
      <c r="IA6" s="124"/>
      <c r="IB6" s="124"/>
      <c r="IC6" s="124"/>
      <c r="ID6" s="124"/>
      <c r="IE6" s="124"/>
      <c r="IF6" s="124"/>
      <c r="IG6" s="124"/>
    </row>
    <row r="7" spans="3:241" x14ac:dyDescent="0.2">
      <c r="E7" s="27" t="str">
        <f ca="1">IF(E8=0,"Jan ✓", "Jan")</f>
        <v>Jan ✓</v>
      </c>
      <c r="F7" s="27" t="str">
        <f ca="1">IF(F8=0,"Feb ✓", "Feb")</f>
        <v>Feb ✓</v>
      </c>
      <c r="G7" s="27" t="str">
        <f ca="1">IF(G8=0,"Mar ✓", "Mar")</f>
        <v>Mar ✓</v>
      </c>
      <c r="H7" s="27" t="str">
        <f ca="1">IF(H8=0,"Apr ✓", "Apr")</f>
        <v>Apr ✓</v>
      </c>
      <c r="I7" s="27" t="str">
        <f ca="1">IF(I8=0,"May ✓", "May")</f>
        <v>May ✓</v>
      </c>
      <c r="J7" s="27" t="str">
        <f ca="1">IF(J8=0,"Jun ✓", "Jun")</f>
        <v>Jun ✓</v>
      </c>
      <c r="K7" s="27" t="str">
        <f ca="1">IF(K8=0,"Jul ✓", "Jul")</f>
        <v>Jul ✓</v>
      </c>
      <c r="L7" s="27" t="str">
        <f ca="1">IF(L8=0,"Aug ✓", "Aug")</f>
        <v>Aug</v>
      </c>
      <c r="M7" s="27" t="str">
        <f ca="1">IF(M8=0,"Sep ✓", "Sep")</f>
        <v>Sep</v>
      </c>
      <c r="N7" s="27" t="str">
        <f ca="1">IF(N8=0,"Oct ✓", "Oct")</f>
        <v>Oct</v>
      </c>
      <c r="O7" s="27" t="str">
        <f ca="1">IF(O8=0,"Nov ✓", "Nov")</f>
        <v>Nov</v>
      </c>
      <c r="P7" s="27" t="str">
        <f ca="1">IF(P8=0,"Dec ✓", "Dec")</f>
        <v>Dec</v>
      </c>
      <c r="Q7" s="27" t="str">
        <f ca="1">IF(Q8=0,"Total ✓", "Total")</f>
        <v>Total</v>
      </c>
      <c r="S7" s="27" t="str">
        <f ca="1">IF(S8=0,"Jan ✓", "Jan")</f>
        <v>Jan</v>
      </c>
      <c r="T7" s="27" t="str">
        <f ca="1">IF(T8=0,"Feb ✓", "Feb")</f>
        <v>Feb</v>
      </c>
      <c r="U7" s="27" t="str">
        <f ca="1">IF(U8=0,"Mar ✓", "Mar")</f>
        <v>Mar</v>
      </c>
      <c r="V7" s="27" t="str">
        <f ca="1">IF(V8=0,"Apr ✓", "Apr")</f>
        <v>Apr</v>
      </c>
      <c r="W7" s="27" t="str">
        <f ca="1">IF(W8=0,"May ✓", "May")</f>
        <v>May</v>
      </c>
      <c r="X7" s="27" t="str">
        <f ca="1">IF(X8=0,"Jun ✓", "Jun")</f>
        <v>Jun</v>
      </c>
      <c r="Y7" s="27" t="str">
        <f ca="1">IF(Y8=0,"Jul ✓", "Jul")</f>
        <v>Jul</v>
      </c>
      <c r="Z7" s="27" t="str">
        <f ca="1">IF(Z8=0,"Aug ✓", "Aug")</f>
        <v>Aug</v>
      </c>
      <c r="AA7" s="27" t="str">
        <f ca="1">IF(AA8=0,"Sep ✓", "Sep")</f>
        <v>Sep</v>
      </c>
      <c r="AB7" s="27" t="str">
        <f ca="1">IF(AB8=0,"Oct ✓", "Oct")</f>
        <v>Oct</v>
      </c>
      <c r="AC7" s="27" t="str">
        <f ca="1">IF(AC8=0,"Nov ✓", "Nov")</f>
        <v>Nov</v>
      </c>
      <c r="AD7" s="27" t="str">
        <f ca="1">IF(AD8=0,"Dec ✓", "Dec")</f>
        <v>Dec</v>
      </c>
      <c r="AE7" s="27" t="str">
        <f ca="1">IF(AE8=0,"Total ✓", "Total")</f>
        <v>Total</v>
      </c>
      <c r="AG7" s="27" t="str">
        <f ca="1">IF(AG8=0,"Jan ✓", "Jan")</f>
        <v>Jan ✓</v>
      </c>
      <c r="AH7" s="27" t="str">
        <f ca="1">IF(AH8=0,"Feb ✓", "Feb")</f>
        <v>Feb ✓</v>
      </c>
      <c r="AI7" s="27" t="str">
        <f ca="1">IF(AI8=0,"Mar ✓", "Mar")</f>
        <v>Mar ✓</v>
      </c>
      <c r="AJ7" s="27" t="str">
        <f ca="1">IF(AJ8=0,"Apr ✓", "Apr")</f>
        <v>Apr ✓</v>
      </c>
      <c r="AK7" s="27" t="str">
        <f ca="1">IF(AK8=0,"May ✓", "May")</f>
        <v>May ✓</v>
      </c>
      <c r="AL7" s="27" t="str">
        <f ca="1">IF(AL8=0,"Jun ✓", "Jun")</f>
        <v>Jun ✓</v>
      </c>
      <c r="AM7" s="27" t="str">
        <f ca="1">IF(AM8=0,"Jul ✓", "Jul")</f>
        <v>Jul ✓</v>
      </c>
      <c r="AN7" s="27" t="str">
        <f ca="1">IF(AN8=0,"Aug ✓", "Aug")</f>
        <v>Aug ✓</v>
      </c>
      <c r="AO7" s="27" t="str">
        <f ca="1">IF(AO8=0,"Sep ✓", "Sep")</f>
        <v>Sep ✓</v>
      </c>
      <c r="AP7" s="27" t="str">
        <f ca="1">IF(AP8=0,"Oct ✓", "Oct")</f>
        <v>Oct ✓</v>
      </c>
      <c r="AQ7" s="27" t="str">
        <f ca="1">IF(AQ8=0,"Nov ✓", "Nov")</f>
        <v>Nov ✓</v>
      </c>
      <c r="AR7" s="27" t="str">
        <f ca="1">IF(AR8=0,"Dec ✓", "Dec")</f>
        <v>Dec ✓</v>
      </c>
      <c r="AS7" s="27" t="str">
        <f ca="1">IF(AS8=0,"Total ✓", "Total")</f>
        <v>Total ✓</v>
      </c>
      <c r="AU7" s="27" t="str">
        <f ca="1">IF(AU8=0,"Jan ✓", "Jan")</f>
        <v>Jan ✓</v>
      </c>
      <c r="AV7" s="27" t="str">
        <f ca="1">IF(AV8=0,"Feb ✓", "Feb")</f>
        <v>Feb ✓</v>
      </c>
      <c r="AW7" s="27" t="str">
        <f ca="1">IF(AW8=0,"Mar ✓", "Mar")</f>
        <v>Mar ✓</v>
      </c>
      <c r="AX7" s="27" t="str">
        <f ca="1">IF(AX8=0,"Apr ✓", "Apr")</f>
        <v>Apr ✓</v>
      </c>
      <c r="AY7" s="27" t="str">
        <f ca="1">IF(AY8=0,"May ✓", "May")</f>
        <v>May ✓</v>
      </c>
      <c r="AZ7" s="27" t="str">
        <f ca="1">IF(AZ8=0,"Jun ✓", "Jun")</f>
        <v>Jun ✓</v>
      </c>
      <c r="BA7" s="27" t="str">
        <f ca="1">IF(BA8=0,"Jul ✓", "Jul")</f>
        <v>Jul ✓</v>
      </c>
      <c r="BB7" s="27" t="str">
        <f ca="1">IF(BB8=0,"Aug ✓", "Aug")</f>
        <v>Aug ✓</v>
      </c>
      <c r="BC7" s="27" t="str">
        <f ca="1">IF(BC8=0,"Sep ✓", "Sep")</f>
        <v>Sep ✓</v>
      </c>
      <c r="BD7" s="27" t="str">
        <f ca="1">IF(BD8=0,"Oct ✓", "Oct")</f>
        <v>Oct ✓</v>
      </c>
      <c r="BE7" s="27" t="str">
        <f ca="1">IF(BE8=0,"Nov ✓", "Nov")</f>
        <v>Nov ✓</v>
      </c>
      <c r="BF7" s="27" t="str">
        <f ca="1">IF(BF8=0,"Dec ✓", "Dec")</f>
        <v>Dec ✓</v>
      </c>
      <c r="BG7" s="27" t="str">
        <f ca="1">IF(BG8=0,"Total ✓", "Total")</f>
        <v>Total ✓</v>
      </c>
      <c r="BI7" s="27" t="str">
        <f ca="1">IF(BI8=0,"Jan ✓", "Jan")</f>
        <v>Jan ✓</v>
      </c>
      <c r="BJ7" s="27" t="str">
        <f ca="1">IF(BJ8=0,"Feb ✓", "Feb")</f>
        <v>Feb ✓</v>
      </c>
      <c r="BK7" s="27" t="str">
        <f ca="1">IF(BK8=0,"Mar ✓", "Mar")</f>
        <v>Mar ✓</v>
      </c>
      <c r="BL7" s="27" t="str">
        <f ca="1">IF(BL8=0,"Apr ✓", "Apr")</f>
        <v>Apr ✓</v>
      </c>
      <c r="BM7" s="27" t="str">
        <f ca="1">IF(BM8=0,"May ✓", "May")</f>
        <v>May ✓</v>
      </c>
      <c r="BN7" s="27" t="str">
        <f ca="1">IF(BN8=0,"Jun ✓", "Jun")</f>
        <v>Jun ✓</v>
      </c>
      <c r="BO7" s="27" t="str">
        <f ca="1">IF(BO8=0,"Jul ✓", "Jul")</f>
        <v>Jul ✓</v>
      </c>
      <c r="BP7" s="27" t="str">
        <f ca="1">IF(BP8=0,"Aug ✓", "Aug")</f>
        <v>Aug ✓</v>
      </c>
      <c r="BQ7" s="27" t="str">
        <f ca="1">IF(BQ8=0,"Sep ✓", "Sep")</f>
        <v>Sep ✓</v>
      </c>
      <c r="BR7" s="27" t="str">
        <f ca="1">IF(BR8=0,"Oct ✓", "Oct")</f>
        <v>Oct ✓</v>
      </c>
      <c r="BS7" s="27" t="str">
        <f ca="1">IF(BS8=0,"Nov ✓", "Nov")</f>
        <v>Nov ✓</v>
      </c>
      <c r="BT7" s="27" t="str">
        <f ca="1">IF(BT8=0,"Dec ✓", "Dec")</f>
        <v>Dec ✓</v>
      </c>
      <c r="BU7" s="27" t="str">
        <f ca="1">IF(BU8=0,"Total ✓", "Total")</f>
        <v>Total ✓</v>
      </c>
      <c r="BW7" s="27" t="str">
        <f ca="1">IF(BW8=0,"Jan ✓", "Jan")</f>
        <v>Jan ✓</v>
      </c>
      <c r="BX7" s="27" t="str">
        <f ca="1">IF(BX8=0,"Feb ✓", "Feb")</f>
        <v>Feb ✓</v>
      </c>
      <c r="BY7" s="27" t="str">
        <f ca="1">IF(BY8=0,"Mar ✓", "Mar")</f>
        <v>Mar ✓</v>
      </c>
      <c r="BZ7" s="27" t="str">
        <f ca="1">IF(BZ8=0,"Apr ✓", "Apr")</f>
        <v>Apr ✓</v>
      </c>
      <c r="CA7" s="27" t="str">
        <f ca="1">IF(CA8=0,"May ✓", "May")</f>
        <v>May ✓</v>
      </c>
      <c r="CB7" s="27" t="str">
        <f ca="1">IF(CB8=0,"Jun ✓", "Jun")</f>
        <v>Jun ✓</v>
      </c>
      <c r="CC7" s="27" t="str">
        <f ca="1">IF(CC8=0,"Jul ✓", "Jul")</f>
        <v>Jul ✓</v>
      </c>
      <c r="CD7" s="27" t="str">
        <f ca="1">IF(CD8=0,"Aug ✓", "Aug")</f>
        <v>Aug ✓</v>
      </c>
      <c r="CE7" s="27" t="str">
        <f ca="1">IF(CE8=0,"Sep ✓", "Sep")</f>
        <v>Sep ✓</v>
      </c>
      <c r="CF7" s="27" t="str">
        <f ca="1">IF(CF8=0,"Oct ✓", "Oct")</f>
        <v>Oct ✓</v>
      </c>
      <c r="CG7" s="27" t="str">
        <f ca="1">IF(CG8=0,"Nov ✓", "Nov")</f>
        <v>Nov ✓</v>
      </c>
      <c r="CH7" s="27" t="str">
        <f ca="1">IF(CH8=0,"Dec ✓", "Dec")</f>
        <v>Dec ✓</v>
      </c>
      <c r="CI7" s="27" t="str">
        <f ca="1">IF(CI8=0,"Total ✓", "Total")</f>
        <v>Total ✓</v>
      </c>
      <c r="CK7" s="27" t="str">
        <f ca="1">IF(CK8=0,"Jan ✓", "Jan")</f>
        <v>Jan ✓</v>
      </c>
      <c r="CL7" s="27" t="str">
        <f ca="1">IF(CL8=0,"Feb ✓", "Feb")</f>
        <v>Feb ✓</v>
      </c>
      <c r="CM7" s="27" t="str">
        <f ca="1">IF(CM8=0,"Mar ✓", "Mar")</f>
        <v>Mar ✓</v>
      </c>
      <c r="CN7" s="27" t="str">
        <f ca="1">IF(CN8=0,"Apr ✓", "Apr")</f>
        <v>Apr ✓</v>
      </c>
      <c r="CO7" s="27" t="str">
        <f ca="1">IF(CO8=0,"May ✓", "May")</f>
        <v>May ✓</v>
      </c>
      <c r="CP7" s="27" t="str">
        <f ca="1">IF(CP8=0,"Jun ✓", "Jun")</f>
        <v>Jun ✓</v>
      </c>
      <c r="CQ7" s="27" t="str">
        <f ca="1">IF(CQ8=0,"Jul ✓", "Jul")</f>
        <v>Jul ✓</v>
      </c>
      <c r="CR7" s="27" t="str">
        <f ca="1">IF(CR8=0,"Aug ✓", "Aug")</f>
        <v>Aug ✓</v>
      </c>
      <c r="CS7" s="27" t="str">
        <f ca="1">IF(CS8=0,"Sep ✓", "Sep")</f>
        <v>Sep ✓</v>
      </c>
      <c r="CT7" s="27" t="str">
        <f ca="1">IF(CT8=0,"Oct ✓", "Oct")</f>
        <v>Oct ✓</v>
      </c>
      <c r="CU7" s="27" t="str">
        <f ca="1">IF(CU8=0,"Nov ✓", "Nov")</f>
        <v>Nov ✓</v>
      </c>
      <c r="CV7" s="27" t="str">
        <f ca="1">IF(CV8=0,"Dec ✓", "Dec")</f>
        <v>Dec ✓</v>
      </c>
      <c r="CW7" s="27" t="str">
        <f ca="1">IF(CW8=0,"Total ✓", "Total")</f>
        <v>Total ✓</v>
      </c>
      <c r="CY7" s="27" t="str">
        <f ca="1">IF(CY8=0,"Jan ✓", "Jan")</f>
        <v>Jan ✓</v>
      </c>
      <c r="CZ7" s="27" t="str">
        <f ca="1">IF(CZ8=0,"Feb ✓", "Feb")</f>
        <v>Feb ✓</v>
      </c>
      <c r="DA7" s="27" t="str">
        <f ca="1">IF(DA8=0,"Mar ✓", "Mar")</f>
        <v>Mar ✓</v>
      </c>
      <c r="DB7" s="27" t="str">
        <f ca="1">IF(DB8=0,"Apr ✓", "Apr")</f>
        <v>Apr ✓</v>
      </c>
      <c r="DC7" s="27" t="str">
        <f ca="1">IF(DC8=0,"May ✓", "May")</f>
        <v>May ✓</v>
      </c>
      <c r="DD7" s="27" t="str">
        <f ca="1">IF(DD8=0,"Jun ✓", "Jun")</f>
        <v>Jun ✓</v>
      </c>
      <c r="DE7" s="27" t="str">
        <f ca="1">IF(DE8=0,"Jul ✓", "Jul")</f>
        <v>Jul ✓</v>
      </c>
      <c r="DF7" s="27" t="str">
        <f ca="1">IF(DF8=0,"Aug ✓", "Aug")</f>
        <v>Aug ✓</v>
      </c>
      <c r="DG7" s="27" t="str">
        <f ca="1">IF(DG8=0,"Sep ✓", "Sep")</f>
        <v>Sep ✓</v>
      </c>
      <c r="DH7" s="27" t="str">
        <f ca="1">IF(DH8=0,"Oct ✓", "Oct")</f>
        <v>Oct ✓</v>
      </c>
      <c r="DI7" s="27" t="str">
        <f ca="1">IF(DI8=0,"Nov ✓", "Nov")</f>
        <v>Nov ✓</v>
      </c>
      <c r="DJ7" s="27" t="str">
        <f ca="1">IF(DJ8=0,"Dec ✓", "Dec")</f>
        <v>Dec ✓</v>
      </c>
      <c r="DK7" s="27" t="str">
        <f ca="1">IF(DK8=0,"Total ✓", "Total")</f>
        <v>Total ✓</v>
      </c>
      <c r="DM7" s="27" t="str">
        <f ca="1">IF(DM8=0,"Jan ✓", "Jan")</f>
        <v>Jan ✓</v>
      </c>
      <c r="DN7" s="27" t="str">
        <f ca="1">IF(DN8=0,"Feb ✓", "Feb")</f>
        <v>Feb ✓</v>
      </c>
      <c r="DO7" s="27" t="str">
        <f ca="1">IF(DO8=0,"Mar ✓", "Mar")</f>
        <v>Mar ✓</v>
      </c>
      <c r="DP7" s="27" t="str">
        <f ca="1">IF(DP8=0,"Apr ✓", "Apr")</f>
        <v>Apr ✓</v>
      </c>
      <c r="DQ7" s="27" t="str">
        <f ca="1">IF(DQ8=0,"May ✓", "May")</f>
        <v>May ✓</v>
      </c>
      <c r="DR7" s="27" t="str">
        <f ca="1">IF(DR8=0,"Jun ✓", "Jun")</f>
        <v>Jun ✓</v>
      </c>
      <c r="DS7" s="27" t="str">
        <f ca="1">IF(DS8=0,"Jul ✓", "Jul")</f>
        <v>Jul ✓</v>
      </c>
      <c r="DT7" s="27" t="str">
        <f ca="1">IF(DT8=0,"Aug ✓", "Aug")</f>
        <v>Aug ✓</v>
      </c>
      <c r="DU7" s="27" t="str">
        <f ca="1">IF(DU8=0,"Sep ✓", "Sep")</f>
        <v>Sep ✓</v>
      </c>
      <c r="DV7" s="27" t="str">
        <f ca="1">IF(DV8=0,"Oct ✓", "Oct")</f>
        <v>Oct ✓</v>
      </c>
      <c r="DW7" s="27" t="str">
        <f ca="1">IF(DW8=0,"Nov ✓", "Nov")</f>
        <v>Nov ✓</v>
      </c>
      <c r="DX7" s="27" t="str">
        <f ca="1">IF(DX8=0,"Dec ✓", "Dec")</f>
        <v>Dec ✓</v>
      </c>
      <c r="DY7" s="27" t="str">
        <f ca="1">IF(DY8=0,"Total ✓", "Total")</f>
        <v>Total ✓</v>
      </c>
      <c r="EA7" s="27" t="str">
        <f ca="1">IF(EA8=0,"Jan ✓", "Jan")</f>
        <v>Jan ✓</v>
      </c>
      <c r="EB7" s="27" t="str">
        <f ca="1">IF(EB8=0,"Feb ✓", "Feb")</f>
        <v>Feb ✓</v>
      </c>
      <c r="EC7" s="27" t="str">
        <f ca="1">IF(EC8=0,"Mar ✓", "Mar")</f>
        <v>Mar ✓</v>
      </c>
      <c r="ED7" s="27" t="str">
        <f ca="1">IF(ED8=0,"Apr ✓", "Apr")</f>
        <v>Apr ✓</v>
      </c>
      <c r="EE7" s="27" t="str">
        <f ca="1">IF(EE8=0,"May ✓", "May")</f>
        <v>May ✓</v>
      </c>
      <c r="EF7" s="27" t="str">
        <f ca="1">IF(EF8=0,"Jun ✓", "Jun")</f>
        <v>Jun ✓</v>
      </c>
      <c r="EG7" s="27" t="str">
        <f ca="1">IF(EG8=0,"Jul ✓", "Jul")</f>
        <v>Jul ✓</v>
      </c>
      <c r="EH7" s="27" t="str">
        <f ca="1">IF(EH8=0,"Aug ✓", "Aug")</f>
        <v>Aug ✓</v>
      </c>
      <c r="EI7" s="27" t="str">
        <f ca="1">IF(EI8=0,"Sep ✓", "Sep")</f>
        <v>Sep ✓</v>
      </c>
      <c r="EJ7" s="27" t="str">
        <f ca="1">IF(EJ8=0,"Oct ✓", "Oct")</f>
        <v>Oct ✓</v>
      </c>
      <c r="EK7" s="27" t="str">
        <f ca="1">IF(EK8=0,"Nov ✓", "Nov")</f>
        <v>Nov ✓</v>
      </c>
      <c r="EL7" s="27" t="str">
        <f ca="1">IF(EL8=0,"Dec ✓", "Dec")</f>
        <v>Dec ✓</v>
      </c>
      <c r="EM7" s="27" t="str">
        <f ca="1">IF(EM8=0,"Total ✓", "Total")</f>
        <v>Total ✓</v>
      </c>
      <c r="EO7" s="27" t="str">
        <f ca="1">IF(EO8=0,"Jan ✓", "Jan")</f>
        <v>Jan ✓</v>
      </c>
      <c r="EP7" s="27" t="str">
        <f ca="1">IF(EP8=0,"Feb ✓", "Feb")</f>
        <v>Feb ✓</v>
      </c>
      <c r="EQ7" s="27" t="str">
        <f ca="1">IF(EQ8=0,"Mar ✓", "Mar")</f>
        <v>Mar ✓</v>
      </c>
      <c r="ER7" s="27" t="str">
        <f ca="1">IF(ER8=0,"Apr ✓", "Apr")</f>
        <v>Apr ✓</v>
      </c>
      <c r="ES7" s="27" t="str">
        <f ca="1">IF(ES8=0,"May ✓", "May")</f>
        <v>May ✓</v>
      </c>
      <c r="ET7" s="27" t="str">
        <f ca="1">IF(ET8=0,"Jun ✓", "Jun")</f>
        <v>Jun ✓</v>
      </c>
      <c r="EU7" s="27" t="str">
        <f ca="1">IF(EU8=0,"Jul ✓", "Jul")</f>
        <v>Jul ✓</v>
      </c>
      <c r="EV7" s="27" t="str">
        <f ca="1">IF(EV8=0,"Aug ✓", "Aug")</f>
        <v>Aug ✓</v>
      </c>
      <c r="EW7" s="27" t="str">
        <f ca="1">IF(EW8=0,"Sep ✓", "Sep")</f>
        <v>Sep ✓</v>
      </c>
      <c r="EX7" s="27" t="str">
        <f ca="1">IF(EX8=0,"Oct ✓", "Oct")</f>
        <v>Oct ✓</v>
      </c>
      <c r="EY7" s="27" t="str">
        <f ca="1">IF(EY8=0,"Nov ✓", "Nov")</f>
        <v>Nov ✓</v>
      </c>
      <c r="EZ7" s="27" t="str">
        <f ca="1">IF(EZ8=0,"Dec ✓", "Dec")</f>
        <v>Dec ✓</v>
      </c>
      <c r="FA7" s="27" t="str">
        <f ca="1">IF(FA8=0,"Total ✓", "Total")</f>
        <v>Total ✓</v>
      </c>
      <c r="FC7" s="27" t="str">
        <f ca="1">IF(FC8=0,"Jan ✓", "Jan")</f>
        <v>Jan ✓</v>
      </c>
      <c r="FD7" s="27" t="str">
        <f ca="1">IF(FD8=0,"Feb ✓", "Feb")</f>
        <v>Feb ✓</v>
      </c>
      <c r="FE7" s="27" t="str">
        <f ca="1">IF(FE8=0,"Mar ✓", "Mar")</f>
        <v>Mar ✓</v>
      </c>
      <c r="FF7" s="27" t="str">
        <f ca="1">IF(FF8=0,"Apr ✓", "Apr")</f>
        <v>Apr ✓</v>
      </c>
      <c r="FG7" s="27" t="str">
        <f ca="1">IF(FG8=0,"May ✓", "May")</f>
        <v>May ✓</v>
      </c>
      <c r="FH7" s="27" t="str">
        <f ca="1">IF(FH8=0,"Jun ✓", "Jun")</f>
        <v>Jun ✓</v>
      </c>
      <c r="FI7" s="27" t="str">
        <f ca="1">IF(FI8=0,"Jul ✓", "Jul")</f>
        <v>Jul ✓</v>
      </c>
      <c r="FJ7" s="27" t="str">
        <f ca="1">IF(FJ8=0,"Aug ✓", "Aug")</f>
        <v>Aug ✓</v>
      </c>
      <c r="FK7" s="27" t="str">
        <f ca="1">IF(FK8=0,"Sep ✓", "Sep")</f>
        <v>Sep ✓</v>
      </c>
      <c r="FL7" s="27" t="str">
        <f ca="1">IF(FL8=0,"Oct ✓", "Oct")</f>
        <v>Oct ✓</v>
      </c>
      <c r="FM7" s="27" t="str">
        <f ca="1">IF(FM8=0,"Nov ✓", "Nov")</f>
        <v>Nov ✓</v>
      </c>
      <c r="FN7" s="27" t="str">
        <f ca="1">IF(FN8=0,"Dec ✓", "Dec")</f>
        <v>Dec ✓</v>
      </c>
      <c r="FO7" s="27" t="str">
        <f ca="1">IF(FO8=0,"Total ✓", "Total")</f>
        <v>Total ✓</v>
      </c>
      <c r="FQ7" s="27" t="str">
        <f ca="1">IF(FQ8=0,"Jan ✓", "Jan")</f>
        <v>Jan ✓</v>
      </c>
      <c r="FR7" s="27" t="str">
        <f ca="1">IF(FR8=0,"Feb ✓", "Feb")</f>
        <v>Feb ✓</v>
      </c>
      <c r="FS7" s="27" t="str">
        <f ca="1">IF(FS8=0,"Mar ✓", "Mar")</f>
        <v>Mar ✓</v>
      </c>
      <c r="FT7" s="27" t="str">
        <f ca="1">IF(FT8=0,"Apr ✓", "Apr")</f>
        <v>Apr ✓</v>
      </c>
      <c r="FU7" s="27" t="str">
        <f ca="1">IF(FU8=0,"May ✓", "May")</f>
        <v>May ✓</v>
      </c>
      <c r="FV7" s="27" t="str">
        <f ca="1">IF(FV8=0,"Jun ✓", "Jun")</f>
        <v>Jun ✓</v>
      </c>
      <c r="FW7" s="27" t="str">
        <f ca="1">IF(FW8=0,"Jul ✓", "Jul")</f>
        <v>Jul ✓</v>
      </c>
      <c r="FX7" s="27" t="str">
        <f ca="1">IF(FX8=0,"Aug ✓", "Aug")</f>
        <v>Aug ✓</v>
      </c>
      <c r="FY7" s="27" t="str">
        <f ca="1">IF(FY8=0,"Sep ✓", "Sep")</f>
        <v>Sep ✓</v>
      </c>
      <c r="FZ7" s="27" t="str">
        <f ca="1">IF(FZ8=0,"Oct ✓", "Oct")</f>
        <v>Oct ✓</v>
      </c>
      <c r="GA7" s="27" t="str">
        <f ca="1">IF(GA8=0,"Nov ✓", "Nov")</f>
        <v>Nov ✓</v>
      </c>
      <c r="GB7" s="27" t="str">
        <f ca="1">IF(GB8=0,"Dec ✓", "Dec")</f>
        <v>Dec ✓</v>
      </c>
      <c r="GC7" s="27" t="str">
        <f ca="1">IF(GC8=0,"Total ✓", "Total")</f>
        <v>Total ✓</v>
      </c>
      <c r="GE7" s="27" t="str">
        <f ca="1">IF(GE8=0,"Jan ✓", "Jan")</f>
        <v>Jan ✓</v>
      </c>
      <c r="GF7" s="27" t="str">
        <f ca="1">IF(GF8=0,"Feb ✓", "Feb")</f>
        <v>Feb ✓</v>
      </c>
      <c r="GG7" s="27" t="str">
        <f ca="1">IF(GG8=0,"Mar ✓", "Mar")</f>
        <v>Mar ✓</v>
      </c>
      <c r="GH7" s="27" t="str">
        <f ca="1">IF(GH8=0,"Apr ✓", "Apr")</f>
        <v>Apr ✓</v>
      </c>
      <c r="GI7" s="27" t="str">
        <f ca="1">IF(GI8=0,"May ✓", "May")</f>
        <v>May ✓</v>
      </c>
      <c r="GJ7" s="27" t="str">
        <f ca="1">IF(GJ8=0,"Jun ✓", "Jun")</f>
        <v>Jun ✓</v>
      </c>
      <c r="GK7" s="27" t="str">
        <f ca="1">IF(GK8=0,"Jul ✓", "Jul")</f>
        <v>Jul ✓</v>
      </c>
      <c r="GL7" s="27" t="str">
        <f ca="1">IF(GL8=0,"Aug ✓", "Aug")</f>
        <v>Aug ✓</v>
      </c>
      <c r="GM7" s="27" t="str">
        <f ca="1">IF(GM8=0,"Sep ✓", "Sep")</f>
        <v>Sep ✓</v>
      </c>
      <c r="GN7" s="27" t="str">
        <f ca="1">IF(GN8=0,"Oct ✓", "Oct")</f>
        <v>Oct ✓</v>
      </c>
      <c r="GO7" s="27" t="str">
        <f ca="1">IF(GO8=0,"Nov ✓", "Nov")</f>
        <v>Nov ✓</v>
      </c>
      <c r="GP7" s="27" t="str">
        <f ca="1">IF(GP8=0,"Dec ✓", "Dec")</f>
        <v>Dec ✓</v>
      </c>
      <c r="GQ7" s="27" t="str">
        <f ca="1">IF(GQ8=0,"Total ✓", "Total")</f>
        <v>Total ✓</v>
      </c>
      <c r="GS7" s="27" t="str">
        <f ca="1">IF(GS8=0,"Jan ✓", "Jan")</f>
        <v>Jan ✓</v>
      </c>
      <c r="GT7" s="27" t="str">
        <f ca="1">IF(GT8=0,"Feb ✓", "Feb")</f>
        <v>Feb ✓</v>
      </c>
      <c r="GU7" s="27" t="str">
        <f ca="1">IF(GU8=0,"Mar ✓", "Mar")</f>
        <v>Mar ✓</v>
      </c>
      <c r="GV7" s="27" t="str">
        <f ca="1">IF(GV8=0,"Apr ✓", "Apr")</f>
        <v>Apr ✓</v>
      </c>
      <c r="GW7" s="27" t="str">
        <f ca="1">IF(GW8=0,"May ✓", "May")</f>
        <v>May ✓</v>
      </c>
      <c r="GX7" s="27" t="str">
        <f ca="1">IF(GX8=0,"Jun ✓", "Jun")</f>
        <v>Jun ✓</v>
      </c>
      <c r="GY7" s="27" t="str">
        <f ca="1">IF(GY8=0,"Jul ✓", "Jul")</f>
        <v>Jul ✓</v>
      </c>
      <c r="GZ7" s="27" t="str">
        <f ca="1">IF(GZ8=0,"Aug ✓", "Aug")</f>
        <v>Aug ✓</v>
      </c>
      <c r="HA7" s="27" t="str">
        <f ca="1">IF(HA8=0,"Sep ✓", "Sep")</f>
        <v>Sep ✓</v>
      </c>
      <c r="HB7" s="27" t="str">
        <f ca="1">IF(HB8=0,"Oct ✓", "Oct")</f>
        <v>Oct ✓</v>
      </c>
      <c r="HC7" s="27" t="str">
        <f ca="1">IF(HC8=0,"Nov ✓", "Nov")</f>
        <v>Nov ✓</v>
      </c>
      <c r="HD7" s="27" t="str">
        <f ca="1">IF(HD8=0,"Dec ✓", "Dec")</f>
        <v>Dec ✓</v>
      </c>
      <c r="HE7" s="27" t="str">
        <f ca="1">IF(HE8=0,"Total ✓", "Total")</f>
        <v>Total ✓</v>
      </c>
      <c r="HG7" s="27" t="str">
        <f ca="1">IF(HG8=0,"Jan ✓", "Jan")</f>
        <v>Jan ✓</v>
      </c>
      <c r="HH7" s="27" t="str">
        <f ca="1">IF(HH8=0,"Feb ✓", "Feb")</f>
        <v>Feb ✓</v>
      </c>
      <c r="HI7" s="27" t="str">
        <f ca="1">IF(HI8=0,"Mar ✓", "Mar")</f>
        <v>Mar ✓</v>
      </c>
      <c r="HJ7" s="27" t="str">
        <f ca="1">IF(HJ8=0,"Apr ✓", "Apr")</f>
        <v>Apr ✓</v>
      </c>
      <c r="HK7" s="27" t="str">
        <f ca="1">IF(HK8=0,"May ✓", "May")</f>
        <v>May ✓</v>
      </c>
      <c r="HL7" s="27" t="str">
        <f ca="1">IF(HL8=0,"Jun ✓", "Jun")</f>
        <v>Jun ✓</v>
      </c>
      <c r="HM7" s="27" t="str">
        <f ca="1">IF(HM8=0,"Jul ✓", "Jul")</f>
        <v>Jul ✓</v>
      </c>
      <c r="HN7" s="27" t="str">
        <f ca="1">IF(HN8=0,"Aug ✓", "Aug")</f>
        <v>Aug ✓</v>
      </c>
      <c r="HO7" s="27" t="str">
        <f ca="1">IF(HO8=0,"Sep ✓", "Sep")</f>
        <v>Sep ✓</v>
      </c>
      <c r="HP7" s="27" t="str">
        <f ca="1">IF(HP8=0,"Oct ✓", "Oct")</f>
        <v>Oct ✓</v>
      </c>
      <c r="HQ7" s="27" t="str">
        <f ca="1">IF(HQ8=0,"Nov ✓", "Nov")</f>
        <v>Nov ✓</v>
      </c>
      <c r="HR7" s="27" t="str">
        <f ca="1">IF(HR8=0,"Dec ✓", "Dec")</f>
        <v>Dec ✓</v>
      </c>
      <c r="HS7" s="27" t="str">
        <f ca="1">IF(HS8=0,"Total ✓", "Total")</f>
        <v>Total ✓</v>
      </c>
      <c r="HU7" s="27" t="str">
        <f ca="1">IF(HU8=0,"Jan ✓", "Jan")</f>
        <v>Jan ✓</v>
      </c>
      <c r="HV7" s="27" t="str">
        <f ca="1">IF(HV8=0,"Feb ✓", "Feb")</f>
        <v>Feb ✓</v>
      </c>
      <c r="HW7" s="27" t="str">
        <f ca="1">IF(HW8=0,"Mar ✓", "Mar")</f>
        <v>Mar ✓</v>
      </c>
      <c r="HX7" s="27" t="str">
        <f ca="1">IF(HX8=0,"Apr ✓", "Apr")</f>
        <v>Apr ✓</v>
      </c>
      <c r="HY7" s="27" t="str">
        <f ca="1">IF(HY8=0,"May ✓", "May")</f>
        <v>May ✓</v>
      </c>
      <c r="HZ7" s="27" t="str">
        <f ca="1">IF(HZ8=0,"Jun ✓", "Jun")</f>
        <v>Jun ✓</v>
      </c>
      <c r="IA7" s="27" t="str">
        <f ca="1">IF(IA8=0,"Jul ✓", "Jul")</f>
        <v>Jul ✓</v>
      </c>
      <c r="IB7" s="27" t="str">
        <f ca="1">IF(IB8=0,"Aug ✓", "Aug")</f>
        <v>Aug ✓</v>
      </c>
      <c r="IC7" s="27" t="str">
        <f ca="1">IF(IC8=0,"Sep ✓", "Sep")</f>
        <v>Sep ✓</v>
      </c>
      <c r="ID7" s="27" t="str">
        <f ca="1">IF(ID8=0,"Oct ✓", "Oct")</f>
        <v>Oct ✓</v>
      </c>
      <c r="IE7" s="27" t="str">
        <f ca="1">IF(IE8=0,"Nov ✓", "Nov")</f>
        <v>Nov ✓</v>
      </c>
      <c r="IF7" s="27" t="str">
        <f ca="1">IF(IF8=0,"Dec ✓", "Dec")</f>
        <v>Dec ✓</v>
      </c>
      <c r="IG7" s="27" t="str">
        <f ca="1">IF(IG8=0,"Total ✓", "Total")</f>
        <v>Total ✓</v>
      </c>
    </row>
    <row r="8" spans="3:241" x14ac:dyDescent="0.2">
      <c r="C8" s="25" t="s">
        <v>22</v>
      </c>
      <c r="E8" s="26">
        <f ca="1">E24-(E52+E66)</f>
        <v>0</v>
      </c>
      <c r="F8" s="26">
        <f ca="1">F24-(F52+F66)</f>
        <v>0</v>
      </c>
      <c r="G8" s="26">
        <f ca="1">G24-(G52+G66)</f>
        <v>0</v>
      </c>
      <c r="H8" s="26">
        <f ca="1">H24-(H52+H66)</f>
        <v>0</v>
      </c>
      <c r="I8" s="26">
        <f ca="1">I24-(I52+I66)</f>
        <v>0</v>
      </c>
      <c r="J8" s="26">
        <f ca="1">J24-(J52+J66)</f>
        <v>0</v>
      </c>
      <c r="K8" s="26">
        <f ca="1">K24-(K52+K66)</f>
        <v>0</v>
      </c>
      <c r="L8" s="26">
        <f ca="1">L24-(L52+L66)</f>
        <v>782.59999999999945</v>
      </c>
      <c r="M8" s="26">
        <f ca="1">M24-(M52+M66)</f>
        <v>4074.3999999999996</v>
      </c>
      <c r="N8" s="26">
        <f ca="1">N24-(N52+N66)</f>
        <v>1517.7000000000007</v>
      </c>
      <c r="O8" s="26">
        <f ca="1">O24-(O52+O66)</f>
        <v>7216</v>
      </c>
      <c r="P8" s="26">
        <f ca="1">P24-(P52+P66)</f>
        <v>2324.5</v>
      </c>
      <c r="Q8" s="26">
        <f ca="1">Q24-(Q52+Q66)</f>
        <v>15415.599999999999</v>
      </c>
      <c r="S8" s="26">
        <f ca="1">S24-(S52+S66)</f>
        <v>3886.0966666666673</v>
      </c>
      <c r="T8" s="26">
        <f ca="1">T24-(T52+T66)</f>
        <v>3886.3466666666673</v>
      </c>
      <c r="U8" s="26">
        <f ca="1">U24-(U52+U66)</f>
        <v>3886.3466666666673</v>
      </c>
      <c r="V8" s="26">
        <f ca="1">V24-(V52+V66)</f>
        <v>3886.3466666666673</v>
      </c>
      <c r="W8" s="26">
        <f ca="1">W24-(W52+W66)</f>
        <v>3886.3466666666673</v>
      </c>
      <c r="X8" s="26">
        <f ca="1">X24-(X52+X66)</f>
        <v>3886.3466666666673</v>
      </c>
      <c r="Y8" s="26">
        <f ca="1">Y24-(Y52+Y66)</f>
        <v>3886.3466666666673</v>
      </c>
      <c r="Z8" s="26">
        <f ca="1">Z24-(Z52+Z66)</f>
        <v>3886.3466666666673</v>
      </c>
      <c r="AA8" s="26">
        <f ca="1">AA24-(AA52+AA66)</f>
        <v>3886.3466666666673</v>
      </c>
      <c r="AB8" s="26">
        <f ca="1">AB24-(AB52+AB66)</f>
        <v>3886.3466666666673</v>
      </c>
      <c r="AC8" s="26">
        <f ca="1">AC24-(AC52+AC66)</f>
        <v>3886.3466666666673</v>
      </c>
      <c r="AD8" s="26">
        <f ca="1">AD24-(AD52+AD66)</f>
        <v>3886.3466666666673</v>
      </c>
      <c r="AE8" s="26">
        <f ca="1">AE24-(AE52+AE66)</f>
        <v>46633.08</v>
      </c>
      <c r="AG8" s="26">
        <f ca="1">AG24-(AG52+AG66)</f>
        <v>0</v>
      </c>
      <c r="AH8" s="26">
        <f ca="1">AH24-(AH52+AH66)</f>
        <v>0</v>
      </c>
      <c r="AI8" s="26">
        <f ca="1">AI24-(AI52+AI66)</f>
        <v>0</v>
      </c>
      <c r="AJ8" s="26">
        <f ca="1">AJ24-(AJ52+AJ66)</f>
        <v>0</v>
      </c>
      <c r="AK8" s="26">
        <f ca="1">AK24-(AK52+AK66)</f>
        <v>0</v>
      </c>
      <c r="AL8" s="26">
        <f ca="1">AL24-(AL52+AL66)</f>
        <v>0</v>
      </c>
      <c r="AM8" s="26">
        <f ca="1">AM24-(AM52+AM66)</f>
        <v>0</v>
      </c>
      <c r="AN8" s="26">
        <f ca="1">AN24-(AN52+AN66)</f>
        <v>0</v>
      </c>
      <c r="AO8" s="26">
        <f ca="1">AO24-(AO52+AO66)</f>
        <v>0</v>
      </c>
      <c r="AP8" s="26">
        <f ca="1">AP24-(AP52+AP66)</f>
        <v>0</v>
      </c>
      <c r="AQ8" s="26">
        <f ca="1">AQ24-(AQ52+AQ66)</f>
        <v>0</v>
      </c>
      <c r="AR8" s="26">
        <f ca="1">AR24-(AR52+AR66)</f>
        <v>0</v>
      </c>
      <c r="AS8" s="26">
        <f ca="1">AS24-(AS52+AS66)</f>
        <v>0</v>
      </c>
      <c r="AU8" s="26">
        <f ca="1">AU24-(AU52+AU66)</f>
        <v>0</v>
      </c>
      <c r="AV8" s="26">
        <f ca="1">AV24-(AV52+AV66)</f>
        <v>0</v>
      </c>
      <c r="AW8" s="26">
        <f ca="1">AW24-(AW52+AW66)</f>
        <v>0</v>
      </c>
      <c r="AX8" s="26">
        <f ca="1">AX24-(AX52+AX66)</f>
        <v>0</v>
      </c>
      <c r="AY8" s="26">
        <f ca="1">AY24-(AY52+AY66)</f>
        <v>0</v>
      </c>
      <c r="AZ8" s="26">
        <f ca="1">AZ24-(AZ52+AZ66)</f>
        <v>0</v>
      </c>
      <c r="BA8" s="26">
        <f ca="1">BA24-(BA52+BA66)</f>
        <v>0</v>
      </c>
      <c r="BB8" s="26">
        <f ca="1">BB24-(BB52+BB66)</f>
        <v>0</v>
      </c>
      <c r="BC8" s="26">
        <f ca="1">BC24-(BC52+BC66)</f>
        <v>0</v>
      </c>
      <c r="BD8" s="26">
        <f ca="1">BD24-(BD52+BD66)</f>
        <v>0</v>
      </c>
      <c r="BE8" s="26">
        <f ca="1">BE24-(BE52+BE66)</f>
        <v>0</v>
      </c>
      <c r="BF8" s="26">
        <f ca="1">BF24-(BF52+BF66)</f>
        <v>0</v>
      </c>
      <c r="BG8" s="26">
        <f ca="1">BG24-(BG52+BG66)</f>
        <v>0</v>
      </c>
      <c r="BI8" s="26">
        <f ca="1">BI24-(BI52+BI66)</f>
        <v>0</v>
      </c>
      <c r="BJ8" s="26">
        <f ca="1">BJ24-(BJ52+BJ66)</f>
        <v>0</v>
      </c>
      <c r="BK8" s="26">
        <f ca="1">BK24-(BK52+BK66)</f>
        <v>0</v>
      </c>
      <c r="BL8" s="26">
        <f ca="1">BL24-(BL52+BL66)</f>
        <v>0</v>
      </c>
      <c r="BM8" s="26">
        <f ca="1">BM24-(BM52+BM66)</f>
        <v>0</v>
      </c>
      <c r="BN8" s="26">
        <f ca="1">BN24-(BN52+BN66)</f>
        <v>0</v>
      </c>
      <c r="BO8" s="26">
        <f ca="1">BO24-(BO52+BO66)</f>
        <v>0</v>
      </c>
      <c r="BP8" s="26">
        <f ca="1">BP24-(BP52+BP66)</f>
        <v>0</v>
      </c>
      <c r="BQ8" s="26">
        <f ca="1">BQ24-(BQ52+BQ66)</f>
        <v>0</v>
      </c>
      <c r="BR8" s="26">
        <f ca="1">BR24-(BR52+BR66)</f>
        <v>0</v>
      </c>
      <c r="BS8" s="26">
        <f ca="1">BS24-(BS52+BS66)</f>
        <v>0</v>
      </c>
      <c r="BT8" s="26">
        <f ca="1">BT24-(BT52+BT66)</f>
        <v>0</v>
      </c>
      <c r="BU8" s="26">
        <f ca="1">BU24-(BU52+BU66)</f>
        <v>0</v>
      </c>
      <c r="BW8" s="26">
        <f ca="1">BW24-(BW52+BW66)</f>
        <v>0</v>
      </c>
      <c r="BX8" s="26">
        <f ca="1">BX24-(BX52+BX66)</f>
        <v>0</v>
      </c>
      <c r="BY8" s="26">
        <f ca="1">BY24-(BY52+BY66)</f>
        <v>0</v>
      </c>
      <c r="BZ8" s="26">
        <f ca="1">BZ24-(BZ52+BZ66)</f>
        <v>0</v>
      </c>
      <c r="CA8" s="26">
        <f ca="1">CA24-(CA52+CA66)</f>
        <v>0</v>
      </c>
      <c r="CB8" s="26">
        <f ca="1">CB24-(CB52+CB66)</f>
        <v>0</v>
      </c>
      <c r="CC8" s="26">
        <f ca="1">CC24-(CC52+CC66)</f>
        <v>0</v>
      </c>
      <c r="CD8" s="26">
        <f ca="1">CD24-(CD52+CD66)</f>
        <v>0</v>
      </c>
      <c r="CE8" s="26">
        <f ca="1">CE24-(CE52+CE66)</f>
        <v>0</v>
      </c>
      <c r="CF8" s="26">
        <f ca="1">CF24-(CF52+CF66)</f>
        <v>0</v>
      </c>
      <c r="CG8" s="26">
        <f ca="1">CG24-(CG52+CG66)</f>
        <v>0</v>
      </c>
      <c r="CH8" s="26">
        <f ca="1">CH24-(CH52+CH66)</f>
        <v>0</v>
      </c>
      <c r="CI8" s="26">
        <f ca="1">CI24-(CI52+CI66)</f>
        <v>0</v>
      </c>
      <c r="CK8" s="26">
        <f ca="1">CK24-(CK52+CK66)</f>
        <v>0</v>
      </c>
      <c r="CL8" s="26">
        <f ca="1">CL24-(CL52+CL66)</f>
        <v>0</v>
      </c>
      <c r="CM8" s="26">
        <f ca="1">CM24-(CM52+CM66)</f>
        <v>0</v>
      </c>
      <c r="CN8" s="26">
        <f ca="1">CN24-(CN52+CN66)</f>
        <v>0</v>
      </c>
      <c r="CO8" s="26">
        <f ca="1">CO24-(CO52+CO66)</f>
        <v>0</v>
      </c>
      <c r="CP8" s="26">
        <f ca="1">CP24-(CP52+CP66)</f>
        <v>0</v>
      </c>
      <c r="CQ8" s="26">
        <f ca="1">CQ24-(CQ52+CQ66)</f>
        <v>0</v>
      </c>
      <c r="CR8" s="26">
        <f ca="1">CR24-(CR52+CR66)</f>
        <v>0</v>
      </c>
      <c r="CS8" s="26">
        <f ca="1">CS24-(CS52+CS66)</f>
        <v>0</v>
      </c>
      <c r="CT8" s="26">
        <f ca="1">CT24-(CT52+CT66)</f>
        <v>0</v>
      </c>
      <c r="CU8" s="26">
        <f ca="1">CU24-(CU52+CU66)</f>
        <v>0</v>
      </c>
      <c r="CV8" s="26">
        <f ca="1">CV24-(CV52+CV66)</f>
        <v>0</v>
      </c>
      <c r="CW8" s="26">
        <f ca="1">CW24-(CW52+CW66)</f>
        <v>0</v>
      </c>
      <c r="CY8" s="26">
        <f ca="1">CY24-(CY52+CY66)</f>
        <v>0</v>
      </c>
      <c r="CZ8" s="26">
        <f ca="1">CZ24-(CZ52+CZ66)</f>
        <v>0</v>
      </c>
      <c r="DA8" s="26">
        <f ca="1">DA24-(DA52+DA66)</f>
        <v>0</v>
      </c>
      <c r="DB8" s="26">
        <f ca="1">DB24-(DB52+DB66)</f>
        <v>0</v>
      </c>
      <c r="DC8" s="26">
        <f ca="1">DC24-(DC52+DC66)</f>
        <v>0</v>
      </c>
      <c r="DD8" s="26">
        <f ca="1">DD24-(DD52+DD66)</f>
        <v>0</v>
      </c>
      <c r="DE8" s="26">
        <f ca="1">DE24-(DE52+DE66)</f>
        <v>0</v>
      </c>
      <c r="DF8" s="26">
        <f ca="1">DF24-(DF52+DF66)</f>
        <v>0</v>
      </c>
      <c r="DG8" s="26">
        <f ca="1">DG24-(DG52+DG66)</f>
        <v>0</v>
      </c>
      <c r="DH8" s="26">
        <f ca="1">DH24-(DH52+DH66)</f>
        <v>0</v>
      </c>
      <c r="DI8" s="26">
        <f ca="1">DI24-(DI52+DI66)</f>
        <v>0</v>
      </c>
      <c r="DJ8" s="26">
        <f ca="1">DJ24-(DJ52+DJ66)</f>
        <v>0</v>
      </c>
      <c r="DK8" s="26">
        <f ca="1">DK24-(DK52+DK66)</f>
        <v>0</v>
      </c>
      <c r="DM8" s="26">
        <f ca="1">DM24-(DM52+DM66)</f>
        <v>0</v>
      </c>
      <c r="DN8" s="26">
        <f ca="1">DN24-(DN52+DN66)</f>
        <v>0</v>
      </c>
      <c r="DO8" s="26">
        <f ca="1">DO24-(DO52+DO66)</f>
        <v>0</v>
      </c>
      <c r="DP8" s="26">
        <f ca="1">DP24-(DP52+DP66)</f>
        <v>0</v>
      </c>
      <c r="DQ8" s="26">
        <f ca="1">DQ24-(DQ52+DQ66)</f>
        <v>0</v>
      </c>
      <c r="DR8" s="26">
        <f ca="1">DR24-(DR52+DR66)</f>
        <v>0</v>
      </c>
      <c r="DS8" s="26">
        <f ca="1">DS24-(DS52+DS66)</f>
        <v>0</v>
      </c>
      <c r="DT8" s="26">
        <f ca="1">DT24-(DT52+DT66)</f>
        <v>0</v>
      </c>
      <c r="DU8" s="26">
        <f ca="1">DU24-(DU52+DU66)</f>
        <v>0</v>
      </c>
      <c r="DV8" s="26">
        <f ca="1">DV24-(DV52+DV66)</f>
        <v>0</v>
      </c>
      <c r="DW8" s="26">
        <f ca="1">DW24-(DW52+DW66)</f>
        <v>0</v>
      </c>
      <c r="DX8" s="26">
        <f ca="1">DX24-(DX52+DX66)</f>
        <v>0</v>
      </c>
      <c r="DY8" s="26">
        <f ca="1">DY24-(DY52+DY66)</f>
        <v>0</v>
      </c>
      <c r="EA8" s="26">
        <f ca="1">EA24-(EA52+EA66)</f>
        <v>0</v>
      </c>
      <c r="EB8" s="26">
        <f ca="1">EB24-(EB52+EB66)</f>
        <v>0</v>
      </c>
      <c r="EC8" s="26">
        <f ca="1">EC24-(EC52+EC66)</f>
        <v>0</v>
      </c>
      <c r="ED8" s="26">
        <f ca="1">ED24-(ED52+ED66)</f>
        <v>0</v>
      </c>
      <c r="EE8" s="26">
        <f ca="1">EE24-(EE52+EE66)</f>
        <v>0</v>
      </c>
      <c r="EF8" s="26">
        <f ca="1">EF24-(EF52+EF66)</f>
        <v>0</v>
      </c>
      <c r="EG8" s="26">
        <f ca="1">EG24-(EG52+EG66)</f>
        <v>0</v>
      </c>
      <c r="EH8" s="26">
        <f ca="1">EH24-(EH52+EH66)</f>
        <v>0</v>
      </c>
      <c r="EI8" s="26">
        <f ca="1">EI24-(EI52+EI66)</f>
        <v>0</v>
      </c>
      <c r="EJ8" s="26">
        <f ca="1">EJ24-(EJ52+EJ66)</f>
        <v>0</v>
      </c>
      <c r="EK8" s="26">
        <f ca="1">EK24-(EK52+EK66)</f>
        <v>0</v>
      </c>
      <c r="EL8" s="26">
        <f ca="1">EL24-(EL52+EL66)</f>
        <v>0</v>
      </c>
      <c r="EM8" s="26">
        <f ca="1">EM24-(EM52+EM66)</f>
        <v>0</v>
      </c>
      <c r="EO8" s="26">
        <f ca="1">EO24-(EO52+EO66)</f>
        <v>0</v>
      </c>
      <c r="EP8" s="26">
        <f ca="1">EP24-(EP52+EP66)</f>
        <v>0</v>
      </c>
      <c r="EQ8" s="26">
        <f ca="1">EQ24-(EQ52+EQ66)</f>
        <v>0</v>
      </c>
      <c r="ER8" s="26">
        <f ca="1">ER24-(ER52+ER66)</f>
        <v>0</v>
      </c>
      <c r="ES8" s="26">
        <f ca="1">ES24-(ES52+ES66)</f>
        <v>0</v>
      </c>
      <c r="ET8" s="26">
        <f ca="1">ET24-(ET52+ET66)</f>
        <v>0</v>
      </c>
      <c r="EU8" s="26">
        <f ca="1">EU24-(EU52+EU66)</f>
        <v>0</v>
      </c>
      <c r="EV8" s="26">
        <f ca="1">EV24-(EV52+EV66)</f>
        <v>0</v>
      </c>
      <c r="EW8" s="26">
        <f ca="1">EW24-(EW52+EW66)</f>
        <v>0</v>
      </c>
      <c r="EX8" s="26">
        <f ca="1">EX24-(EX52+EX66)</f>
        <v>0</v>
      </c>
      <c r="EY8" s="26">
        <f ca="1">EY24-(EY52+EY66)</f>
        <v>0</v>
      </c>
      <c r="EZ8" s="26">
        <f ca="1">EZ24-(EZ52+EZ66)</f>
        <v>0</v>
      </c>
      <c r="FA8" s="26">
        <f ca="1">FA24-(FA52+FA66)</f>
        <v>0</v>
      </c>
      <c r="FC8" s="26">
        <f ca="1">FC24-(FC52+FC66)</f>
        <v>0</v>
      </c>
      <c r="FD8" s="26">
        <f ca="1">FD24-(FD52+FD66)</f>
        <v>0</v>
      </c>
      <c r="FE8" s="26">
        <f ca="1">FE24-(FE52+FE66)</f>
        <v>0</v>
      </c>
      <c r="FF8" s="26">
        <f ca="1">FF24-(FF52+FF66)</f>
        <v>0</v>
      </c>
      <c r="FG8" s="26">
        <f ca="1">FG24-(FG52+FG66)</f>
        <v>0</v>
      </c>
      <c r="FH8" s="26">
        <f ca="1">FH24-(FH52+FH66)</f>
        <v>0</v>
      </c>
      <c r="FI8" s="26">
        <f ca="1">FI24-(FI52+FI66)</f>
        <v>0</v>
      </c>
      <c r="FJ8" s="26">
        <f ca="1">FJ24-(FJ52+FJ66)</f>
        <v>0</v>
      </c>
      <c r="FK8" s="26">
        <f ca="1">FK24-(FK52+FK66)</f>
        <v>0</v>
      </c>
      <c r="FL8" s="26">
        <f ca="1">FL24-(FL52+FL66)</f>
        <v>0</v>
      </c>
      <c r="FM8" s="26">
        <f ca="1">FM24-(FM52+FM66)</f>
        <v>0</v>
      </c>
      <c r="FN8" s="26">
        <f ca="1">FN24-(FN52+FN66)</f>
        <v>0</v>
      </c>
      <c r="FO8" s="26">
        <f ca="1">FO24-(FO52+FO66)</f>
        <v>0</v>
      </c>
      <c r="FQ8" s="26">
        <f ca="1">FQ24-(FQ52+FQ66)</f>
        <v>0</v>
      </c>
      <c r="FR8" s="26">
        <f ca="1">FR24-(FR52+FR66)</f>
        <v>0</v>
      </c>
      <c r="FS8" s="26">
        <f ca="1">FS24-(FS52+FS66)</f>
        <v>0</v>
      </c>
      <c r="FT8" s="26">
        <f ca="1">FT24-(FT52+FT66)</f>
        <v>0</v>
      </c>
      <c r="FU8" s="26">
        <f ca="1">FU24-(FU52+FU66)</f>
        <v>0</v>
      </c>
      <c r="FV8" s="26">
        <f ca="1">FV24-(FV52+FV66)</f>
        <v>0</v>
      </c>
      <c r="FW8" s="26">
        <f ca="1">FW24-(FW52+FW66)</f>
        <v>0</v>
      </c>
      <c r="FX8" s="26">
        <f ca="1">FX24-(FX52+FX66)</f>
        <v>0</v>
      </c>
      <c r="FY8" s="26">
        <f ca="1">FY24-(FY52+FY66)</f>
        <v>0</v>
      </c>
      <c r="FZ8" s="26">
        <f ca="1">FZ24-(FZ52+FZ66)</f>
        <v>0</v>
      </c>
      <c r="GA8" s="26">
        <f ca="1">GA24-(GA52+GA66)</f>
        <v>0</v>
      </c>
      <c r="GB8" s="26">
        <f ca="1">GB24-(GB52+GB66)</f>
        <v>0</v>
      </c>
      <c r="GC8" s="26">
        <f ca="1">GC24-(GC52+GC66)</f>
        <v>0</v>
      </c>
      <c r="GE8" s="26">
        <f ca="1">GE24-(GE52+GE66)</f>
        <v>0</v>
      </c>
      <c r="GF8" s="26">
        <f ca="1">GF24-(GF52+GF66)</f>
        <v>0</v>
      </c>
      <c r="GG8" s="26">
        <f ca="1">GG24-(GG52+GG66)</f>
        <v>0</v>
      </c>
      <c r="GH8" s="26">
        <f ca="1">GH24-(GH52+GH66)</f>
        <v>0</v>
      </c>
      <c r="GI8" s="26">
        <f ca="1">GI24-(GI52+GI66)</f>
        <v>0</v>
      </c>
      <c r="GJ8" s="26">
        <f ca="1">GJ24-(GJ52+GJ66)</f>
        <v>0</v>
      </c>
      <c r="GK8" s="26">
        <f ca="1">GK24-(GK52+GK66)</f>
        <v>0</v>
      </c>
      <c r="GL8" s="26">
        <f ca="1">GL24-(GL52+GL66)</f>
        <v>0</v>
      </c>
      <c r="GM8" s="26">
        <f ca="1">GM24-(GM52+GM66)</f>
        <v>0</v>
      </c>
      <c r="GN8" s="26">
        <f ca="1">GN24-(GN52+GN66)</f>
        <v>0</v>
      </c>
      <c r="GO8" s="26">
        <f ca="1">GO24-(GO52+GO66)</f>
        <v>0</v>
      </c>
      <c r="GP8" s="26">
        <f ca="1">GP24-(GP52+GP66)</f>
        <v>0</v>
      </c>
      <c r="GQ8" s="26">
        <f ca="1">GQ24-(GQ52+GQ66)</f>
        <v>0</v>
      </c>
      <c r="GS8" s="26">
        <f ca="1">GS24-(GS52+GS66)</f>
        <v>0</v>
      </c>
      <c r="GT8" s="26">
        <f ca="1">GT24-(GT52+GT66)</f>
        <v>0</v>
      </c>
      <c r="GU8" s="26">
        <f ca="1">GU24-(GU52+GU66)</f>
        <v>0</v>
      </c>
      <c r="GV8" s="26">
        <f ca="1">GV24-(GV52+GV66)</f>
        <v>0</v>
      </c>
      <c r="GW8" s="26">
        <f ca="1">GW24-(GW52+GW66)</f>
        <v>0</v>
      </c>
      <c r="GX8" s="26">
        <f ca="1">GX24-(GX52+GX66)</f>
        <v>0</v>
      </c>
      <c r="GY8" s="26">
        <f ca="1">GY24-(GY52+GY66)</f>
        <v>0</v>
      </c>
      <c r="GZ8" s="26">
        <f ca="1">GZ24-(GZ52+GZ66)</f>
        <v>0</v>
      </c>
      <c r="HA8" s="26">
        <f ca="1">HA24-(HA52+HA66)</f>
        <v>0</v>
      </c>
      <c r="HB8" s="26">
        <f ca="1">HB24-(HB52+HB66)</f>
        <v>0</v>
      </c>
      <c r="HC8" s="26">
        <f ca="1">HC24-(HC52+HC66)</f>
        <v>0</v>
      </c>
      <c r="HD8" s="26">
        <f ca="1">HD24-(HD52+HD66)</f>
        <v>0</v>
      </c>
      <c r="HE8" s="26">
        <f ca="1">HE24-(HE52+HE66)</f>
        <v>0</v>
      </c>
      <c r="HG8" s="26">
        <f ca="1">HG24-(HG52+HG66)</f>
        <v>0</v>
      </c>
      <c r="HH8" s="26">
        <f ca="1">HH24-(HH52+HH66)</f>
        <v>0</v>
      </c>
      <c r="HI8" s="26">
        <f ca="1">HI24-(HI52+HI66)</f>
        <v>0</v>
      </c>
      <c r="HJ8" s="26">
        <f ca="1">HJ24-(HJ52+HJ66)</f>
        <v>0</v>
      </c>
      <c r="HK8" s="26">
        <f ca="1">HK24-(HK52+HK66)</f>
        <v>0</v>
      </c>
      <c r="HL8" s="26">
        <f ca="1">HL24-(HL52+HL66)</f>
        <v>0</v>
      </c>
      <c r="HM8" s="26">
        <f ca="1">HM24-(HM52+HM66)</f>
        <v>0</v>
      </c>
      <c r="HN8" s="26">
        <f ca="1">HN24-(HN52+HN66)</f>
        <v>0</v>
      </c>
      <c r="HO8" s="26">
        <f ca="1">HO24-(HO52+HO66)</f>
        <v>0</v>
      </c>
      <c r="HP8" s="26">
        <f ca="1">HP24-(HP52+HP66)</f>
        <v>0</v>
      </c>
      <c r="HQ8" s="26">
        <f ca="1">HQ24-(HQ52+HQ66)</f>
        <v>0</v>
      </c>
      <c r="HR8" s="26">
        <f ca="1">HR24-(HR52+HR66)</f>
        <v>0</v>
      </c>
      <c r="HS8" s="26">
        <f ca="1">HS24-(HS52+HS66)</f>
        <v>0</v>
      </c>
      <c r="HU8" s="26">
        <f ca="1">HU24-(HU52+HU66)</f>
        <v>0</v>
      </c>
      <c r="HV8" s="26">
        <f ca="1">HV24-(HV52+HV66)</f>
        <v>0</v>
      </c>
      <c r="HW8" s="26">
        <f ca="1">HW24-(HW52+HW66)</f>
        <v>0</v>
      </c>
      <c r="HX8" s="26">
        <f ca="1">HX24-(HX52+HX66)</f>
        <v>0</v>
      </c>
      <c r="HY8" s="26">
        <f ca="1">HY24-(HY52+HY66)</f>
        <v>0</v>
      </c>
      <c r="HZ8" s="26">
        <f ca="1">HZ24-(HZ52+HZ66)</f>
        <v>0</v>
      </c>
      <c r="IA8" s="26">
        <f ca="1">IA24-(IA52+IA66)</f>
        <v>0</v>
      </c>
      <c r="IB8" s="26">
        <f ca="1">IB24-(IB52+IB66)</f>
        <v>0</v>
      </c>
      <c r="IC8" s="26">
        <f ca="1">IC24-(IC52+IC66)</f>
        <v>0</v>
      </c>
      <c r="ID8" s="26">
        <f ca="1">ID24-(ID52+ID66)</f>
        <v>0</v>
      </c>
      <c r="IE8" s="26">
        <f ca="1">IE24-(IE52+IE66)</f>
        <v>0</v>
      </c>
      <c r="IF8" s="26">
        <f ca="1">IF24-(IF52+IF66)</f>
        <v>0</v>
      </c>
      <c r="IG8" s="26">
        <f ca="1">IG24-(IG52+IG66)</f>
        <v>0</v>
      </c>
    </row>
    <row r="9" spans="3:241" x14ac:dyDescent="0.2">
      <c r="C9" s="25" t="s">
        <v>193</v>
      </c>
      <c r="E9" s="26"/>
      <c r="F9" s="26"/>
      <c r="G9" s="26"/>
      <c r="H9" s="26"/>
      <c r="I9" s="26"/>
      <c r="J9" s="26"/>
      <c r="K9" s="26"/>
      <c r="L9" s="114">
        <f ca="1">(L10-L8)/L8</f>
        <v>2.9063250702785615</v>
      </c>
      <c r="M9" s="114">
        <f t="shared" ref="M9:P9" ca="1" si="0">(M10-M8)/M8</f>
        <v>0.24992391517769533</v>
      </c>
      <c r="N9" s="114">
        <f t="shared" ca="1" si="0"/>
        <v>0.68699347697173596</v>
      </c>
      <c r="O9" s="114">
        <f t="shared" ca="1" si="0"/>
        <v>0.7363289911308204</v>
      </c>
      <c r="P9" s="114">
        <f ca="1">(P10-P8)/P8</f>
        <v>2.9041729404172942</v>
      </c>
      <c r="Q9" s="114">
        <f ca="1">(Q10-Q8)/Q8</f>
        <v>-0.22552479306676346</v>
      </c>
      <c r="S9" s="26"/>
      <c r="T9" s="26"/>
      <c r="U9" s="26"/>
      <c r="V9" s="26"/>
      <c r="W9" s="26"/>
      <c r="X9" s="26"/>
      <c r="Y9" s="26"/>
      <c r="Z9" s="26"/>
      <c r="AA9" s="26"/>
      <c r="AB9" s="26"/>
      <c r="AC9" s="26"/>
      <c r="AD9" s="26"/>
      <c r="AE9" s="26"/>
      <c r="AG9" s="26"/>
      <c r="AH9" s="26"/>
      <c r="AI9" s="26"/>
      <c r="AJ9" s="26"/>
      <c r="AK9" s="26"/>
      <c r="AL9" s="26"/>
      <c r="AM9" s="26"/>
      <c r="AN9" s="26"/>
      <c r="AO9" s="26"/>
      <c r="AP9" s="26"/>
      <c r="AQ9" s="26"/>
      <c r="AR9" s="26"/>
      <c r="AS9" s="26"/>
      <c r="AU9" s="26"/>
      <c r="AV9" s="26"/>
      <c r="AW9" s="26"/>
      <c r="AX9" s="26"/>
      <c r="AY9" s="26"/>
      <c r="AZ9" s="26"/>
      <c r="BA9" s="26"/>
      <c r="BB9" s="26"/>
      <c r="BC9" s="26"/>
      <c r="BD9" s="26"/>
      <c r="BE9" s="26"/>
      <c r="BF9" s="26"/>
      <c r="BG9" s="26"/>
      <c r="BI9" s="26"/>
      <c r="BJ9" s="26"/>
      <c r="BK9" s="26"/>
      <c r="BL9" s="26"/>
      <c r="BM9" s="26"/>
      <c r="BN9" s="26"/>
      <c r="BO9" s="26"/>
      <c r="BP9" s="26"/>
      <c r="BQ9" s="26"/>
      <c r="BR9" s="26"/>
      <c r="BS9" s="26"/>
      <c r="BT9" s="26"/>
      <c r="BU9" s="26"/>
      <c r="BW9" s="26"/>
      <c r="BX9" s="26"/>
      <c r="BY9" s="26"/>
      <c r="BZ9" s="26"/>
      <c r="CA9" s="26"/>
      <c r="CB9" s="26"/>
      <c r="CC9" s="26"/>
      <c r="CD9" s="26"/>
      <c r="CE9" s="26"/>
      <c r="CF9" s="26"/>
      <c r="CG9" s="26"/>
      <c r="CH9" s="26"/>
      <c r="CI9" s="26"/>
      <c r="CK9" s="26"/>
      <c r="CL9" s="26"/>
      <c r="CM9" s="26"/>
      <c r="CN9" s="26"/>
      <c r="CO9" s="26"/>
      <c r="CP9" s="26"/>
      <c r="CQ9" s="26"/>
      <c r="CR9" s="26"/>
      <c r="CS9" s="26"/>
      <c r="CT9" s="26"/>
      <c r="CU9" s="26"/>
      <c r="CV9" s="26"/>
      <c r="CW9" s="26"/>
      <c r="CY9" s="26"/>
      <c r="CZ9" s="26"/>
      <c r="DA9" s="26"/>
      <c r="DB9" s="26"/>
      <c r="DC9" s="26"/>
      <c r="DD9" s="26"/>
      <c r="DE9" s="26"/>
      <c r="DF9" s="26"/>
      <c r="DG9" s="26"/>
      <c r="DH9" s="26"/>
      <c r="DI9" s="26"/>
      <c r="DJ9" s="26"/>
      <c r="DK9" s="26"/>
      <c r="DM9" s="26"/>
      <c r="DN9" s="26"/>
      <c r="DO9" s="26"/>
      <c r="DP9" s="26"/>
      <c r="DQ9" s="26"/>
      <c r="DR9" s="26"/>
      <c r="DS9" s="26"/>
      <c r="DT9" s="26"/>
      <c r="DU9" s="26"/>
      <c r="DV9" s="26"/>
      <c r="DW9" s="26"/>
      <c r="DX9" s="26"/>
      <c r="DY9" s="26"/>
      <c r="EA9" s="26"/>
      <c r="EB9" s="26"/>
      <c r="EC9" s="26"/>
      <c r="ED9" s="26"/>
      <c r="EE9" s="26"/>
      <c r="EF9" s="26"/>
      <c r="EG9" s="26"/>
      <c r="EH9" s="26"/>
      <c r="EI9" s="26"/>
      <c r="EJ9" s="26"/>
      <c r="EK9" s="26"/>
      <c r="EL9" s="26"/>
      <c r="EM9" s="26"/>
      <c r="EO9" s="26"/>
      <c r="EP9" s="26"/>
      <c r="EQ9" s="26"/>
      <c r="ER9" s="26"/>
      <c r="ES9" s="26"/>
      <c r="ET9" s="26"/>
      <c r="EU9" s="26"/>
      <c r="EV9" s="26"/>
      <c r="EW9" s="26"/>
      <c r="EX9" s="26"/>
      <c r="EY9" s="26"/>
      <c r="EZ9" s="26"/>
      <c r="FA9" s="26"/>
      <c r="FC9" s="26"/>
      <c r="FD9" s="26"/>
      <c r="FE9" s="26"/>
      <c r="FF9" s="26"/>
      <c r="FG9" s="26"/>
      <c r="FH9" s="26"/>
      <c r="FI9" s="26"/>
      <c r="FJ9" s="26"/>
      <c r="FK9" s="26"/>
      <c r="FL9" s="26"/>
      <c r="FM9" s="26"/>
      <c r="FN9" s="26"/>
      <c r="FO9" s="26"/>
      <c r="FQ9" s="26"/>
      <c r="FR9" s="26"/>
      <c r="FS9" s="26"/>
      <c r="FT9" s="26"/>
      <c r="FU9" s="26"/>
      <c r="FV9" s="26"/>
      <c r="FW9" s="26"/>
      <c r="FX9" s="26"/>
      <c r="FY9" s="26"/>
      <c r="FZ9" s="26"/>
      <c r="GA9" s="26"/>
      <c r="GB9" s="26"/>
      <c r="GC9" s="26"/>
      <c r="GE9" s="26"/>
      <c r="GF9" s="26"/>
      <c r="GG9" s="26"/>
      <c r="GH9" s="26"/>
      <c r="GI9" s="26"/>
      <c r="GJ9" s="26"/>
      <c r="GK9" s="26"/>
      <c r="GL9" s="26"/>
      <c r="GM9" s="26"/>
      <c r="GN9" s="26"/>
      <c r="GO9" s="26"/>
      <c r="GP9" s="26"/>
      <c r="GQ9" s="26"/>
      <c r="GS9" s="26"/>
      <c r="GT9" s="26"/>
      <c r="GU9" s="26"/>
      <c r="GV9" s="26"/>
      <c r="GW9" s="26"/>
      <c r="GX9" s="26"/>
      <c r="GY9" s="26"/>
      <c r="GZ9" s="26"/>
      <c r="HA9" s="26"/>
      <c r="HB9" s="26"/>
      <c r="HC9" s="26"/>
      <c r="HD9" s="26"/>
      <c r="HE9" s="26"/>
      <c r="HG9" s="26"/>
      <c r="HH9" s="26"/>
      <c r="HI9" s="26"/>
      <c r="HJ9" s="26"/>
      <c r="HK9" s="26"/>
      <c r="HL9" s="26"/>
      <c r="HM9" s="26"/>
      <c r="HN9" s="26"/>
      <c r="HO9" s="26"/>
      <c r="HP9" s="26"/>
      <c r="HQ9" s="26"/>
      <c r="HR9" s="26"/>
      <c r="HS9" s="26"/>
      <c r="HU9" s="26"/>
      <c r="HV9" s="26"/>
      <c r="HW9" s="26"/>
      <c r="HX9" s="26"/>
      <c r="HY9" s="26"/>
      <c r="HZ9" s="26"/>
      <c r="IA9" s="26"/>
      <c r="IB9" s="26"/>
      <c r="IC9" s="26"/>
      <c r="ID9" s="26"/>
      <c r="IE9" s="26"/>
      <c r="IF9" s="26"/>
      <c r="IG9" s="26"/>
    </row>
    <row r="10" spans="3:241" x14ac:dyDescent="0.2">
      <c r="C10" s="25" t="s">
        <v>191</v>
      </c>
      <c r="E10" s="26"/>
      <c r="F10" s="26"/>
      <c r="G10" s="26"/>
      <c r="H10" s="26"/>
      <c r="I10" s="26"/>
      <c r="J10" s="26"/>
      <c r="K10" s="26"/>
      <c r="L10" s="26" cm="1">
        <f t="array" aca="1" ref="L10" ca="1">SUMPRODUCT(
  (INDEX(Tracking[Year],0)=$E$6) *
  (INDEX(Tracking[Month],0)=MONTH(DATEVALUE(L7 &amp; " 1"))) *
  (INDEX(Tracking[Amount],0)) *
  (INDEX(Tracking[Type],0)="Income")
)
-
SUMPRODUCT(
  (INDEX(Tracking[Year],0)=$E$6) *
  (INDEX(Tracking[Month],0)=MONTH(DATEVALUE(L7 &amp; " 1"))) *
  (INDEX(Tracking[Amount],0)) *
  (INDEX(Tracking[Type],0)="Expenses")
)</f>
        <v>3057.09</v>
      </c>
      <c r="M10" s="26" cm="1">
        <f t="array" aca="1" ref="M10" ca="1">SUMPRODUCT(
  (INDEX(Tracking[Year],0)=$E$6) *
  (INDEX(Tracking[Month],0)=MONTH(DATEVALUE(M7 &amp; " 1"))) *
  (INDEX(Tracking[Amount],0)) *
  (INDEX(Tracking[Type],0)="Income")
)
-
SUMPRODUCT(
  (INDEX(Tracking[Year],0)=$E$6) *
  (INDEX(Tracking[Month],0)=MONTH(DATEVALUE(M7 &amp; " 1"))) *
  (INDEX(Tracking[Amount],0)) *
  (INDEX(Tracking[Type],0)="Expenses")
)</f>
        <v>5092.6900000000014</v>
      </c>
      <c r="N10" s="26" cm="1">
        <f t="array" aca="1" ref="N10" ca="1">SUMPRODUCT(
  (INDEX(Tracking[Year],0)=$E$6) *
  (INDEX(Tracking[Month],0)=MONTH(DATEVALUE(N7 &amp; " 1"))) *
  (INDEX(Tracking[Amount],0)) *
  (INDEX(Tracking[Type],0)="Income")
)
-
SUMPRODUCT(
  (INDEX(Tracking[Year],0)=$E$6) *
  (INDEX(Tracking[Month],0)=MONTH(DATEVALUE(N7 &amp; " 1"))) *
  (INDEX(Tracking[Amount],0)) *
  (INDEX(Tracking[Type],0)="Expenses")
)</f>
        <v>2560.3500000000049</v>
      </c>
      <c r="O10" s="26" cm="1">
        <f t="array" aca="1" ref="O10" ca="1">SUMPRODUCT(
  (INDEX(Tracking[Year],0)=$E$6) *
  (INDEX(Tracking[Month],0)=MONTH(DATEVALUE(O7 &amp; " 1"))) *
  (INDEX(Tracking[Amount],0)) *
  (INDEX(Tracking[Type],0)="Income")
)-
SUMPRODUCT(
  (INDEX(Tracking[Type],0)=2025) *
  (INDEX(Tracking[Date],0)=MONTH(DATEVALUE(O7 &amp; " 1"))) *
  (INDEX(Tracking[Balance],0)) *
  (INDEX(Tracking[Amount],0)="Expenses")
)</f>
        <v>12529.35</v>
      </c>
      <c r="P10" s="26" cm="1">
        <f t="array" aca="1" ref="P10" ca="1">SUMPRODUCT(
  (INDEX(Tracking[Year],0)=$E$6) *
  (INDEX(Tracking[Month],0)=MONTH(DATEVALUE(P7 &amp; " 1"))) *
  (INDEX(Tracking[Amount],0)) *
  (INDEX(Tracking[Type],0)="Income")
)-
SUMPRODUCT(
  (INDEX(Tracking[Type],0)=2025) *
  (INDEX(Tracking[Date],0)=MONTH(DATEVALUE(P7 &amp; " 1"))) *
  (INDEX(Tracking[Balance],0)) *
  (INDEX(Tracking[Amount],0)="Expenses")
)</f>
        <v>9075.25</v>
      </c>
      <c r="Q10" s="26">
        <v>11939</v>
      </c>
      <c r="S10" s="26"/>
      <c r="T10" s="26"/>
      <c r="U10" s="26"/>
      <c r="V10" s="26"/>
      <c r="W10" s="26"/>
      <c r="X10" s="26"/>
      <c r="Y10" s="26"/>
      <c r="Z10" s="26"/>
      <c r="AA10" s="26"/>
      <c r="AB10" s="26"/>
      <c r="AC10" s="26"/>
      <c r="AD10" s="26"/>
      <c r="AE10" s="26"/>
      <c r="AG10" s="26"/>
      <c r="AH10" s="26"/>
      <c r="AI10" s="26"/>
      <c r="AJ10" s="26"/>
      <c r="AK10" s="26"/>
      <c r="AL10" s="26"/>
      <c r="AM10" s="26"/>
      <c r="AN10" s="26"/>
      <c r="AO10" s="26"/>
      <c r="AP10" s="26"/>
      <c r="AQ10" s="26"/>
      <c r="AR10" s="26"/>
      <c r="AS10" s="26"/>
      <c r="AU10" s="26"/>
      <c r="AV10" s="26"/>
      <c r="AW10" s="26"/>
      <c r="AX10" s="26"/>
      <c r="AY10" s="26"/>
      <c r="AZ10" s="26"/>
      <c r="BA10" s="26"/>
      <c r="BB10" s="26"/>
      <c r="BC10" s="26"/>
      <c r="BD10" s="26"/>
      <c r="BE10" s="26"/>
      <c r="BF10" s="26"/>
      <c r="BG10" s="26"/>
      <c r="BI10" s="26"/>
      <c r="BJ10" s="26"/>
      <c r="BK10" s="26"/>
      <c r="BL10" s="26"/>
      <c r="BM10" s="26"/>
      <c r="BN10" s="26"/>
      <c r="BO10" s="26"/>
      <c r="BP10" s="26"/>
      <c r="BQ10" s="26"/>
      <c r="BR10" s="26"/>
      <c r="BS10" s="26"/>
      <c r="BT10" s="26"/>
      <c r="BU10" s="26"/>
      <c r="BW10" s="26"/>
      <c r="BX10" s="26"/>
      <c r="BY10" s="26"/>
      <c r="BZ10" s="26"/>
      <c r="CA10" s="26"/>
      <c r="CB10" s="26"/>
      <c r="CC10" s="26"/>
      <c r="CD10" s="26"/>
      <c r="CE10" s="26"/>
      <c r="CF10" s="26"/>
      <c r="CG10" s="26"/>
      <c r="CH10" s="26"/>
      <c r="CI10" s="26"/>
      <c r="CK10" s="26"/>
      <c r="CL10" s="26"/>
      <c r="CM10" s="26"/>
      <c r="CN10" s="26"/>
      <c r="CO10" s="26"/>
      <c r="CP10" s="26"/>
      <c r="CQ10" s="26"/>
      <c r="CR10" s="26"/>
      <c r="CS10" s="26"/>
      <c r="CT10" s="26"/>
      <c r="CU10" s="26"/>
      <c r="CV10" s="26"/>
      <c r="CW10" s="26"/>
      <c r="CY10" s="26"/>
      <c r="CZ10" s="26"/>
      <c r="DA10" s="26"/>
      <c r="DB10" s="26"/>
      <c r="DC10" s="26"/>
      <c r="DD10" s="26"/>
      <c r="DE10" s="26"/>
      <c r="DF10" s="26"/>
      <c r="DG10" s="26"/>
      <c r="DH10" s="26"/>
      <c r="DI10" s="26"/>
      <c r="DJ10" s="26"/>
      <c r="DK10" s="26"/>
      <c r="DM10" s="26"/>
      <c r="DN10" s="26"/>
      <c r="DO10" s="26"/>
      <c r="DP10" s="26"/>
      <c r="DQ10" s="26"/>
      <c r="DR10" s="26"/>
      <c r="DS10" s="26"/>
      <c r="DT10" s="26"/>
      <c r="DU10" s="26"/>
      <c r="DV10" s="26"/>
      <c r="DW10" s="26"/>
      <c r="DX10" s="26"/>
      <c r="DY10" s="26"/>
      <c r="EA10" s="26"/>
      <c r="EB10" s="26"/>
      <c r="EC10" s="26"/>
      <c r="ED10" s="26"/>
      <c r="EE10" s="26"/>
      <c r="EF10" s="26"/>
      <c r="EG10" s="26"/>
      <c r="EH10" s="26"/>
      <c r="EI10" s="26"/>
      <c r="EJ10" s="26"/>
      <c r="EK10" s="26"/>
      <c r="EL10" s="26"/>
      <c r="EM10" s="26"/>
      <c r="EO10" s="26"/>
      <c r="EP10" s="26"/>
      <c r="EQ10" s="26"/>
      <c r="ER10" s="26"/>
      <c r="ES10" s="26"/>
      <c r="ET10" s="26"/>
      <c r="EU10" s="26"/>
      <c r="EV10" s="26"/>
      <c r="EW10" s="26"/>
      <c r="EX10" s="26"/>
      <c r="EY10" s="26"/>
      <c r="EZ10" s="26"/>
      <c r="FA10" s="26"/>
      <c r="FC10" s="26"/>
      <c r="FD10" s="26"/>
      <c r="FE10" s="26"/>
      <c r="FF10" s="26"/>
      <c r="FG10" s="26"/>
      <c r="FH10" s="26"/>
      <c r="FI10" s="26"/>
      <c r="FJ10" s="26"/>
      <c r="FK10" s="26"/>
      <c r="FL10" s="26"/>
      <c r="FM10" s="26"/>
      <c r="FN10" s="26"/>
      <c r="FO10" s="26"/>
      <c r="FQ10" s="26"/>
      <c r="FR10" s="26"/>
      <c r="FS10" s="26"/>
      <c r="FT10" s="26"/>
      <c r="FU10" s="26"/>
      <c r="FV10" s="26"/>
      <c r="FW10" s="26"/>
      <c r="FX10" s="26"/>
      <c r="FY10" s="26"/>
      <c r="FZ10" s="26"/>
      <c r="GA10" s="26"/>
      <c r="GB10" s="26"/>
      <c r="GC10" s="26"/>
      <c r="GE10" s="26"/>
      <c r="GF10" s="26"/>
      <c r="GG10" s="26"/>
      <c r="GH10" s="26"/>
      <c r="GI10" s="26"/>
      <c r="GJ10" s="26"/>
      <c r="GK10" s="26"/>
      <c r="GL10" s="26"/>
      <c r="GM10" s="26"/>
      <c r="GN10" s="26"/>
      <c r="GO10" s="26"/>
      <c r="GP10" s="26"/>
      <c r="GQ10" s="26"/>
      <c r="GS10" s="26"/>
      <c r="GT10" s="26"/>
      <c r="GU10" s="26"/>
      <c r="GV10" s="26"/>
      <c r="GW10" s="26"/>
      <c r="GX10" s="26"/>
      <c r="GY10" s="26"/>
      <c r="GZ10" s="26"/>
      <c r="HA10" s="26"/>
      <c r="HB10" s="26"/>
      <c r="HC10" s="26"/>
      <c r="HD10" s="26"/>
      <c r="HE10" s="26"/>
      <c r="HG10" s="26"/>
      <c r="HH10" s="26"/>
      <c r="HI10" s="26"/>
      <c r="HJ10" s="26"/>
      <c r="HK10" s="26"/>
      <c r="HL10" s="26"/>
      <c r="HM10" s="26"/>
      <c r="HN10" s="26"/>
      <c r="HO10" s="26"/>
      <c r="HP10" s="26"/>
      <c r="HQ10" s="26"/>
      <c r="HR10" s="26"/>
      <c r="HS10" s="26"/>
      <c r="HU10" s="26"/>
      <c r="HV10" s="26"/>
      <c r="HW10" s="26"/>
      <c r="HX10" s="26"/>
      <c r="HY10" s="26"/>
      <c r="HZ10" s="26"/>
      <c r="IA10" s="26"/>
      <c r="IB10" s="26"/>
      <c r="IC10" s="26"/>
      <c r="ID10" s="26"/>
      <c r="IE10" s="26"/>
      <c r="IF10" s="26"/>
      <c r="IG10" s="26"/>
    </row>
    <row r="12" spans="3:241" x14ac:dyDescent="0.2">
      <c r="C12" s="13" t="s">
        <v>10</v>
      </c>
      <c r="E12" s="15">
        <f>DATE(E$6,1,1)</f>
        <v>45658</v>
      </c>
      <c r="F12" s="15">
        <f>DATE(E$6,2,1)</f>
        <v>45689</v>
      </c>
      <c r="G12" s="15">
        <f>DATE(E$6,3,1)</f>
        <v>45717</v>
      </c>
      <c r="H12" s="15">
        <f>DATE(E$6,4,1)</f>
        <v>45748</v>
      </c>
      <c r="I12" s="15">
        <f>DATE(E$6,5,1)</f>
        <v>45778</v>
      </c>
      <c r="J12" s="15">
        <f>DATE(E$6,6,1)</f>
        <v>45809</v>
      </c>
      <c r="K12" s="15">
        <f>DATE(E$6,7,1)</f>
        <v>45839</v>
      </c>
      <c r="L12" s="15">
        <f>DATE(E$6,8,1)</f>
        <v>45870</v>
      </c>
      <c r="M12" s="15">
        <f>DATE(E$6,9,1)</f>
        <v>45901</v>
      </c>
      <c r="N12" s="15">
        <f>DATE(E$6,10,1)</f>
        <v>45931</v>
      </c>
      <c r="O12" s="15">
        <f>DATE(E$6,11,1)</f>
        <v>45962</v>
      </c>
      <c r="P12" s="15">
        <f>DATE(E$6,12,1)</f>
        <v>45992</v>
      </c>
      <c r="Q12" s="14">
        <f>E$6</f>
        <v>2025</v>
      </c>
      <c r="S12" s="15">
        <f>DATE(S$6,1,1)</f>
        <v>46023</v>
      </c>
      <c r="T12" s="15">
        <f>DATE(S$6,2,1)</f>
        <v>46054</v>
      </c>
      <c r="U12" s="15">
        <f>DATE(S$6,3,1)</f>
        <v>46082</v>
      </c>
      <c r="V12" s="15">
        <f>DATE(S$6,4,1)</f>
        <v>46113</v>
      </c>
      <c r="W12" s="15">
        <f>DATE(S$6,5,1)</f>
        <v>46143</v>
      </c>
      <c r="X12" s="15">
        <f>DATE(S$6,6,1)</f>
        <v>46174</v>
      </c>
      <c r="Y12" s="15">
        <f>DATE(S$6,7,1)</f>
        <v>46204</v>
      </c>
      <c r="Z12" s="15">
        <f>DATE(S$6,8,1)</f>
        <v>46235</v>
      </c>
      <c r="AA12" s="15">
        <f>DATE(S$6,9,1)</f>
        <v>46266</v>
      </c>
      <c r="AB12" s="15">
        <f>DATE(S$6,10,1)</f>
        <v>46296</v>
      </c>
      <c r="AC12" s="15">
        <f>DATE(S$6,11,1)</f>
        <v>46327</v>
      </c>
      <c r="AD12" s="15">
        <f>DATE(S$6,12,1)</f>
        <v>46357</v>
      </c>
      <c r="AE12" s="14">
        <f>S$6</f>
        <v>2026</v>
      </c>
      <c r="AG12" s="15">
        <f>DATE(AG$6,1,1)</f>
        <v>46388</v>
      </c>
      <c r="AH12" s="15">
        <f>DATE(AG$6,2,1)</f>
        <v>46419</v>
      </c>
      <c r="AI12" s="15">
        <f>DATE(AG$6,3,1)</f>
        <v>46447</v>
      </c>
      <c r="AJ12" s="15">
        <f>DATE(AG$6,4,1)</f>
        <v>46478</v>
      </c>
      <c r="AK12" s="15">
        <f>DATE(AG$6,5,1)</f>
        <v>46508</v>
      </c>
      <c r="AL12" s="15">
        <f>DATE(AG$6,6,1)</f>
        <v>46539</v>
      </c>
      <c r="AM12" s="15">
        <f>DATE(AG$6,7,1)</f>
        <v>46569</v>
      </c>
      <c r="AN12" s="15">
        <f>DATE(AG$6,8,1)</f>
        <v>46600</v>
      </c>
      <c r="AO12" s="15">
        <f>DATE(AG$6,9,1)</f>
        <v>46631</v>
      </c>
      <c r="AP12" s="15">
        <f>DATE(AG$6,10,1)</f>
        <v>46661</v>
      </c>
      <c r="AQ12" s="15">
        <f>DATE(AG$6,11,1)</f>
        <v>46692</v>
      </c>
      <c r="AR12" s="15">
        <f>DATE(AG$6,12,1)</f>
        <v>46722</v>
      </c>
      <c r="AS12" s="14">
        <f>AG$6</f>
        <v>2027</v>
      </c>
      <c r="AU12" s="15">
        <f>DATE(AU$6,1,1)</f>
        <v>46753</v>
      </c>
      <c r="AV12" s="15">
        <f>DATE(AU$6,2,1)</f>
        <v>46784</v>
      </c>
      <c r="AW12" s="15">
        <f>DATE(AU$6,3,1)</f>
        <v>46813</v>
      </c>
      <c r="AX12" s="15">
        <f>DATE(AU$6,4,1)</f>
        <v>46844</v>
      </c>
      <c r="AY12" s="15">
        <f>DATE(AU$6,5,1)</f>
        <v>46874</v>
      </c>
      <c r="AZ12" s="15">
        <f>DATE(AU$6,6,1)</f>
        <v>46905</v>
      </c>
      <c r="BA12" s="15">
        <f>DATE(AU$6,7,1)</f>
        <v>46935</v>
      </c>
      <c r="BB12" s="15">
        <f>DATE(AU$6,8,1)</f>
        <v>46966</v>
      </c>
      <c r="BC12" s="15">
        <f>DATE(AU$6,9,1)</f>
        <v>46997</v>
      </c>
      <c r="BD12" s="15">
        <f>DATE(AU$6,10,1)</f>
        <v>47027</v>
      </c>
      <c r="BE12" s="15">
        <f>DATE(AU$6,11,1)</f>
        <v>47058</v>
      </c>
      <c r="BF12" s="15">
        <f>DATE(AU$6,12,1)</f>
        <v>47088</v>
      </c>
      <c r="BG12" s="14">
        <f>AU$6</f>
        <v>2028</v>
      </c>
      <c r="BI12" s="15">
        <f>DATE(BI$6,1,1)</f>
        <v>47119</v>
      </c>
      <c r="BJ12" s="15">
        <f>DATE(BI$6,2,1)</f>
        <v>47150</v>
      </c>
      <c r="BK12" s="15">
        <f>DATE(BI$6,3,1)</f>
        <v>47178</v>
      </c>
      <c r="BL12" s="15">
        <f>DATE(BI$6,4,1)</f>
        <v>47209</v>
      </c>
      <c r="BM12" s="15">
        <f>DATE(BI$6,5,1)</f>
        <v>47239</v>
      </c>
      <c r="BN12" s="15">
        <f>DATE(BI$6,6,1)</f>
        <v>47270</v>
      </c>
      <c r="BO12" s="15">
        <f>DATE(BI$6,7,1)</f>
        <v>47300</v>
      </c>
      <c r="BP12" s="15">
        <f>DATE(BI$6,8,1)</f>
        <v>47331</v>
      </c>
      <c r="BQ12" s="15">
        <f>DATE(BI$6,9,1)</f>
        <v>47362</v>
      </c>
      <c r="BR12" s="15">
        <f>DATE(BI$6,10,1)</f>
        <v>47392</v>
      </c>
      <c r="BS12" s="15">
        <f>DATE(BI$6,11,1)</f>
        <v>47423</v>
      </c>
      <c r="BT12" s="15">
        <f>DATE(BI$6,12,1)</f>
        <v>47453</v>
      </c>
      <c r="BU12" s="14">
        <f>BI$6</f>
        <v>2029</v>
      </c>
      <c r="BW12" s="15">
        <f>DATE(BW$6,1,1)</f>
        <v>47484</v>
      </c>
      <c r="BX12" s="15">
        <f>DATE(BW$6,2,1)</f>
        <v>47515</v>
      </c>
      <c r="BY12" s="15">
        <f>DATE(BW$6,3,1)</f>
        <v>47543</v>
      </c>
      <c r="BZ12" s="15">
        <f>DATE(BW$6,4,1)</f>
        <v>47574</v>
      </c>
      <c r="CA12" s="15">
        <f>DATE(BW$6,5,1)</f>
        <v>47604</v>
      </c>
      <c r="CB12" s="15">
        <f>DATE(BW$6,6,1)</f>
        <v>47635</v>
      </c>
      <c r="CC12" s="15">
        <f>DATE(BW$6,7,1)</f>
        <v>47665</v>
      </c>
      <c r="CD12" s="15">
        <f>DATE(BW$6,8,1)</f>
        <v>47696</v>
      </c>
      <c r="CE12" s="15">
        <f>DATE(BW$6,9,1)</f>
        <v>47727</v>
      </c>
      <c r="CF12" s="15">
        <f>DATE(BW$6,10,1)</f>
        <v>47757</v>
      </c>
      <c r="CG12" s="15">
        <f>DATE(BW$6,11,1)</f>
        <v>47788</v>
      </c>
      <c r="CH12" s="15">
        <f>DATE(BW$6,12,1)</f>
        <v>47818</v>
      </c>
      <c r="CI12" s="14">
        <f>BW$6</f>
        <v>2030</v>
      </c>
      <c r="CK12" s="15">
        <f>DATE(CK$6,1,1)</f>
        <v>47849</v>
      </c>
      <c r="CL12" s="15">
        <f>DATE(CK$6,2,1)</f>
        <v>47880</v>
      </c>
      <c r="CM12" s="15">
        <f>DATE(CK$6,3,1)</f>
        <v>47908</v>
      </c>
      <c r="CN12" s="15">
        <f>DATE(CK$6,4,1)</f>
        <v>47939</v>
      </c>
      <c r="CO12" s="15">
        <f>DATE(CK$6,5,1)</f>
        <v>47969</v>
      </c>
      <c r="CP12" s="15">
        <f>DATE(CK$6,6,1)</f>
        <v>48000</v>
      </c>
      <c r="CQ12" s="15">
        <f>DATE(CK$6,7,1)</f>
        <v>48030</v>
      </c>
      <c r="CR12" s="15">
        <f>DATE(CK$6,8,1)</f>
        <v>48061</v>
      </c>
      <c r="CS12" s="15">
        <f>DATE(CK$6,9,1)</f>
        <v>48092</v>
      </c>
      <c r="CT12" s="15">
        <f>DATE(CK$6,10,1)</f>
        <v>48122</v>
      </c>
      <c r="CU12" s="15">
        <f>DATE(CK$6,11,1)</f>
        <v>48153</v>
      </c>
      <c r="CV12" s="15">
        <f>DATE(CK$6,12,1)</f>
        <v>48183</v>
      </c>
      <c r="CW12" s="14">
        <f>CK$6</f>
        <v>2031</v>
      </c>
      <c r="CY12" s="15">
        <f>DATE(CY$6,1,1)</f>
        <v>48214</v>
      </c>
      <c r="CZ12" s="15">
        <f>DATE(CY$6,2,1)</f>
        <v>48245</v>
      </c>
      <c r="DA12" s="15">
        <f>DATE(CY$6,3,1)</f>
        <v>48274</v>
      </c>
      <c r="DB12" s="15">
        <f>DATE(CY$6,4,1)</f>
        <v>48305</v>
      </c>
      <c r="DC12" s="15">
        <f>DATE(CY$6,5,1)</f>
        <v>48335</v>
      </c>
      <c r="DD12" s="15">
        <f>DATE(CY$6,6,1)</f>
        <v>48366</v>
      </c>
      <c r="DE12" s="15">
        <f>DATE(CY$6,7,1)</f>
        <v>48396</v>
      </c>
      <c r="DF12" s="15">
        <f>DATE(CY$6,8,1)</f>
        <v>48427</v>
      </c>
      <c r="DG12" s="15">
        <f>DATE(CY$6,9,1)</f>
        <v>48458</v>
      </c>
      <c r="DH12" s="15">
        <f>DATE(CY$6,10,1)</f>
        <v>48488</v>
      </c>
      <c r="DI12" s="15">
        <f>DATE(CY$6,11,1)</f>
        <v>48519</v>
      </c>
      <c r="DJ12" s="15">
        <f>DATE(CY$6,12,1)</f>
        <v>48549</v>
      </c>
      <c r="DK12" s="14">
        <f>CY$6</f>
        <v>2032</v>
      </c>
      <c r="DM12" s="15">
        <f>DATE(DM$6,1,1)</f>
        <v>48580</v>
      </c>
      <c r="DN12" s="15">
        <f>DATE(DM$6,2,1)</f>
        <v>48611</v>
      </c>
      <c r="DO12" s="15">
        <f>DATE(DM$6,3,1)</f>
        <v>48639</v>
      </c>
      <c r="DP12" s="15">
        <f>DATE(DM$6,4,1)</f>
        <v>48670</v>
      </c>
      <c r="DQ12" s="15">
        <f>DATE(DM$6,5,1)</f>
        <v>48700</v>
      </c>
      <c r="DR12" s="15">
        <f>DATE(DM$6,6,1)</f>
        <v>48731</v>
      </c>
      <c r="DS12" s="15">
        <f>DATE(DM$6,7,1)</f>
        <v>48761</v>
      </c>
      <c r="DT12" s="15">
        <f>DATE(DM$6,8,1)</f>
        <v>48792</v>
      </c>
      <c r="DU12" s="15">
        <f>DATE(DM$6,9,1)</f>
        <v>48823</v>
      </c>
      <c r="DV12" s="15">
        <f>DATE(DM$6,10,1)</f>
        <v>48853</v>
      </c>
      <c r="DW12" s="15">
        <f>DATE(DM$6,11,1)</f>
        <v>48884</v>
      </c>
      <c r="DX12" s="15">
        <f>DATE(DM$6,12,1)</f>
        <v>48914</v>
      </c>
      <c r="DY12" s="14">
        <f>DM$6</f>
        <v>2033</v>
      </c>
      <c r="EA12" s="15">
        <f>DATE(EA$6,1,1)</f>
        <v>48945</v>
      </c>
      <c r="EB12" s="15">
        <f>DATE(EA$6,2,1)</f>
        <v>48976</v>
      </c>
      <c r="EC12" s="15">
        <f>DATE(EA$6,3,1)</f>
        <v>49004</v>
      </c>
      <c r="ED12" s="15">
        <f>DATE(EA$6,4,1)</f>
        <v>49035</v>
      </c>
      <c r="EE12" s="15">
        <f>DATE(EA$6,5,1)</f>
        <v>49065</v>
      </c>
      <c r="EF12" s="15">
        <f>DATE(EA$6,6,1)</f>
        <v>49096</v>
      </c>
      <c r="EG12" s="15">
        <f>DATE(EA$6,7,1)</f>
        <v>49126</v>
      </c>
      <c r="EH12" s="15">
        <f>DATE(EA$6,8,1)</f>
        <v>49157</v>
      </c>
      <c r="EI12" s="15">
        <f>DATE(EA$6,9,1)</f>
        <v>49188</v>
      </c>
      <c r="EJ12" s="15">
        <f>DATE(EA$6,10,1)</f>
        <v>49218</v>
      </c>
      <c r="EK12" s="15">
        <f>DATE(EA$6,11,1)</f>
        <v>49249</v>
      </c>
      <c r="EL12" s="15">
        <f>DATE(EA$6,12,1)</f>
        <v>49279</v>
      </c>
      <c r="EM12" s="14">
        <f>EA$6</f>
        <v>2034</v>
      </c>
      <c r="EO12" s="15">
        <f>DATE(EO$6,1,1)</f>
        <v>49310</v>
      </c>
      <c r="EP12" s="15">
        <f>DATE(EO$6,2,1)</f>
        <v>49341</v>
      </c>
      <c r="EQ12" s="15">
        <f>DATE(EO$6,3,1)</f>
        <v>49369</v>
      </c>
      <c r="ER12" s="15">
        <f>DATE(EO$6,4,1)</f>
        <v>49400</v>
      </c>
      <c r="ES12" s="15">
        <f>DATE(EO$6,5,1)</f>
        <v>49430</v>
      </c>
      <c r="ET12" s="15">
        <f>DATE(EO$6,6,1)</f>
        <v>49461</v>
      </c>
      <c r="EU12" s="15">
        <f>DATE(EO$6,7,1)</f>
        <v>49491</v>
      </c>
      <c r="EV12" s="15">
        <f>DATE(EO$6,8,1)</f>
        <v>49522</v>
      </c>
      <c r="EW12" s="15">
        <f>DATE(EO$6,9,1)</f>
        <v>49553</v>
      </c>
      <c r="EX12" s="15">
        <f>DATE(EO$6,10,1)</f>
        <v>49583</v>
      </c>
      <c r="EY12" s="15">
        <f>DATE(EO$6,11,1)</f>
        <v>49614</v>
      </c>
      <c r="EZ12" s="15">
        <f>DATE(EO$6,12,1)</f>
        <v>49644</v>
      </c>
      <c r="FA12" s="14">
        <f>EO$6</f>
        <v>2035</v>
      </c>
      <c r="FC12" s="15">
        <f>DATE(FC$6,1,1)</f>
        <v>49675</v>
      </c>
      <c r="FD12" s="15">
        <f>DATE(FC$6,2,1)</f>
        <v>49706</v>
      </c>
      <c r="FE12" s="15">
        <f>DATE(FC$6,3,1)</f>
        <v>49735</v>
      </c>
      <c r="FF12" s="15">
        <f>DATE(FC$6,4,1)</f>
        <v>49766</v>
      </c>
      <c r="FG12" s="15">
        <f>DATE(FC$6,5,1)</f>
        <v>49796</v>
      </c>
      <c r="FH12" s="15">
        <f>DATE(FC$6,6,1)</f>
        <v>49827</v>
      </c>
      <c r="FI12" s="15">
        <f>DATE(FC$6,7,1)</f>
        <v>49857</v>
      </c>
      <c r="FJ12" s="15">
        <f>DATE(FC$6,8,1)</f>
        <v>49888</v>
      </c>
      <c r="FK12" s="15">
        <f>DATE(FC$6,9,1)</f>
        <v>49919</v>
      </c>
      <c r="FL12" s="15">
        <f>DATE(FC$6,10,1)</f>
        <v>49949</v>
      </c>
      <c r="FM12" s="15">
        <f>DATE(FC$6,11,1)</f>
        <v>49980</v>
      </c>
      <c r="FN12" s="15">
        <f>DATE(FC$6,12,1)</f>
        <v>50010</v>
      </c>
      <c r="FO12" s="14">
        <f>FC$6</f>
        <v>2036</v>
      </c>
      <c r="FQ12" s="15">
        <f>DATE(FQ$6,1,1)</f>
        <v>50041</v>
      </c>
      <c r="FR12" s="15">
        <f>DATE(FQ$6,2,1)</f>
        <v>50072</v>
      </c>
      <c r="FS12" s="15">
        <f>DATE(FQ$6,3,1)</f>
        <v>50100</v>
      </c>
      <c r="FT12" s="15">
        <f>DATE(FQ$6,4,1)</f>
        <v>50131</v>
      </c>
      <c r="FU12" s="15">
        <f>DATE(FQ$6,5,1)</f>
        <v>50161</v>
      </c>
      <c r="FV12" s="15">
        <f>DATE(FQ$6,6,1)</f>
        <v>50192</v>
      </c>
      <c r="FW12" s="15">
        <f>DATE(FQ$6,7,1)</f>
        <v>50222</v>
      </c>
      <c r="FX12" s="15">
        <f>DATE(FQ$6,8,1)</f>
        <v>50253</v>
      </c>
      <c r="FY12" s="15">
        <f>DATE(FQ$6,9,1)</f>
        <v>50284</v>
      </c>
      <c r="FZ12" s="15">
        <f>DATE(FQ$6,10,1)</f>
        <v>50314</v>
      </c>
      <c r="GA12" s="15">
        <f>DATE(FQ$6,11,1)</f>
        <v>50345</v>
      </c>
      <c r="GB12" s="15">
        <f>DATE(FQ$6,12,1)</f>
        <v>50375</v>
      </c>
      <c r="GC12" s="14">
        <f>FQ$6</f>
        <v>2037</v>
      </c>
      <c r="GE12" s="15">
        <f>DATE(GE$6,1,1)</f>
        <v>50406</v>
      </c>
      <c r="GF12" s="15">
        <f>DATE(GE$6,2,1)</f>
        <v>50437</v>
      </c>
      <c r="GG12" s="15">
        <f>DATE(GE$6,3,1)</f>
        <v>50465</v>
      </c>
      <c r="GH12" s="15">
        <f>DATE(GE$6,4,1)</f>
        <v>50496</v>
      </c>
      <c r="GI12" s="15">
        <f>DATE(GE$6,5,1)</f>
        <v>50526</v>
      </c>
      <c r="GJ12" s="15">
        <f>DATE(GE$6,6,1)</f>
        <v>50557</v>
      </c>
      <c r="GK12" s="15">
        <f>DATE(GE$6,7,1)</f>
        <v>50587</v>
      </c>
      <c r="GL12" s="15">
        <f>DATE(GE$6,8,1)</f>
        <v>50618</v>
      </c>
      <c r="GM12" s="15">
        <f>DATE(GE$6,9,1)</f>
        <v>50649</v>
      </c>
      <c r="GN12" s="15">
        <f>DATE(GE$6,10,1)</f>
        <v>50679</v>
      </c>
      <c r="GO12" s="15">
        <f>DATE(GE$6,11,1)</f>
        <v>50710</v>
      </c>
      <c r="GP12" s="15">
        <f>DATE(GE$6,12,1)</f>
        <v>50740</v>
      </c>
      <c r="GQ12" s="14">
        <f>GE$6</f>
        <v>2038</v>
      </c>
      <c r="GS12" s="15">
        <f>DATE(GS$6,1,1)</f>
        <v>50771</v>
      </c>
      <c r="GT12" s="15">
        <f>DATE(GS$6,2,1)</f>
        <v>50802</v>
      </c>
      <c r="GU12" s="15">
        <f>DATE(GS$6,3,1)</f>
        <v>50830</v>
      </c>
      <c r="GV12" s="15">
        <f>DATE(GS$6,4,1)</f>
        <v>50861</v>
      </c>
      <c r="GW12" s="15">
        <f>DATE(GS$6,5,1)</f>
        <v>50891</v>
      </c>
      <c r="GX12" s="15">
        <f>DATE(GS$6,6,1)</f>
        <v>50922</v>
      </c>
      <c r="GY12" s="15">
        <f>DATE(GS$6,7,1)</f>
        <v>50952</v>
      </c>
      <c r="GZ12" s="15">
        <f>DATE(GS$6,8,1)</f>
        <v>50983</v>
      </c>
      <c r="HA12" s="15">
        <f>DATE(GS$6,9,1)</f>
        <v>51014</v>
      </c>
      <c r="HB12" s="15">
        <f>DATE(GS$6,10,1)</f>
        <v>51044</v>
      </c>
      <c r="HC12" s="15">
        <f>DATE(GS$6,11,1)</f>
        <v>51075</v>
      </c>
      <c r="HD12" s="15">
        <f>DATE(GS$6,12,1)</f>
        <v>51105</v>
      </c>
      <c r="HE12" s="14">
        <f>GS$6</f>
        <v>2039</v>
      </c>
      <c r="HG12" s="15">
        <f>DATE(HG$6,1,1)</f>
        <v>51136</v>
      </c>
      <c r="HH12" s="15">
        <f>DATE(HG$6,2,1)</f>
        <v>51167</v>
      </c>
      <c r="HI12" s="15">
        <f>DATE(HG$6,3,1)</f>
        <v>51196</v>
      </c>
      <c r="HJ12" s="15">
        <f>DATE(HG$6,4,1)</f>
        <v>51227</v>
      </c>
      <c r="HK12" s="15">
        <f>DATE(HG$6,5,1)</f>
        <v>51257</v>
      </c>
      <c r="HL12" s="15">
        <f>DATE(HG$6,6,1)</f>
        <v>51288</v>
      </c>
      <c r="HM12" s="15">
        <f>DATE(HG$6,7,1)</f>
        <v>51318</v>
      </c>
      <c r="HN12" s="15">
        <f>DATE(HG$6,8,1)</f>
        <v>51349</v>
      </c>
      <c r="HO12" s="15">
        <f>DATE(HG$6,9,1)</f>
        <v>51380</v>
      </c>
      <c r="HP12" s="15">
        <f>DATE(HG$6,10,1)</f>
        <v>51410</v>
      </c>
      <c r="HQ12" s="15">
        <f>DATE(HG$6,11,1)</f>
        <v>51441</v>
      </c>
      <c r="HR12" s="15">
        <f>DATE(HG$6,12,1)</f>
        <v>51471</v>
      </c>
      <c r="HS12" s="14">
        <f>HG$6</f>
        <v>2040</v>
      </c>
      <c r="HU12" s="15">
        <f>DATE(HU$6,1,1)</f>
        <v>51502</v>
      </c>
      <c r="HV12" s="15">
        <f>DATE(HU$6,2,1)</f>
        <v>51533</v>
      </c>
      <c r="HW12" s="15">
        <f>DATE(HU$6,3,1)</f>
        <v>51561</v>
      </c>
      <c r="HX12" s="15">
        <f>DATE(HU$6,4,1)</f>
        <v>51592</v>
      </c>
      <c r="HY12" s="15">
        <f>DATE(HU$6,5,1)</f>
        <v>51622</v>
      </c>
      <c r="HZ12" s="15">
        <f>DATE(HU$6,6,1)</f>
        <v>51653</v>
      </c>
      <c r="IA12" s="15">
        <f>DATE(HU$6,7,1)</f>
        <v>51683</v>
      </c>
      <c r="IB12" s="15">
        <f>DATE(HU$6,8,1)</f>
        <v>51714</v>
      </c>
      <c r="IC12" s="15">
        <f>DATE(HU$6,9,1)</f>
        <v>51745</v>
      </c>
      <c r="ID12" s="15">
        <f>DATE(HU$6,10,1)</f>
        <v>51775</v>
      </c>
      <c r="IE12" s="15">
        <f>DATE(HU$6,11,1)</f>
        <v>51806</v>
      </c>
      <c r="IF12" s="15">
        <f>DATE(HU$6,12,1)</f>
        <v>51836</v>
      </c>
      <c r="IG12" s="14">
        <f>HU$6</f>
        <v>2041</v>
      </c>
    </row>
    <row r="13" spans="3:241" x14ac:dyDescent="0.2">
      <c r="C13" s="20" t="s">
        <v>128</v>
      </c>
      <c r="E13" s="16"/>
      <c r="F13" s="16"/>
      <c r="G13" s="16"/>
      <c r="H13" s="16"/>
      <c r="I13" s="16"/>
      <c r="J13" s="16"/>
      <c r="K13" s="16"/>
      <c r="L13" s="16" cm="1">
        <f t="array" ref="L13">SUMPRODUCT((Tracking[Type]="Income")*(Tracking[Category]=Income[[#This Row],[Income]])*(MONTH(Tracking[Date])=8)*(Tracking[Amount])*1)</f>
        <v>3587.1</v>
      </c>
      <c r="M13" s="16" cm="1">
        <f t="array" ref="M13">SUMPRODUCT((Tracking[Type]="Income")*(Tracking[Category]=Income[[#This Row],[Income]])*(MONTH(Tracking[Date])=9)*(Tracking[Amount])*1)</f>
        <v>8204.85</v>
      </c>
      <c r="N13" s="16" cm="1">
        <f t="array" ref="N13">SUMPRODUCT((Previsions[Type]="Income")*(Previsions[Cat]="Employment")*(Previsions[Final Budget])*1)</f>
        <v>8204.85</v>
      </c>
      <c r="O13" s="16" cm="1">
        <f t="array" ref="O13">SUMPRODUCT((Previsions[Type]="Income")*(Previsions[Cat]="Employment")*(Previsions[Final Budget])*1)</f>
        <v>8204.85</v>
      </c>
      <c r="P13" s="16" cm="1">
        <f t="array" ref="P13">SUMPRODUCT((Previsions[Type]="Income")*(Previsions[Cat]="Employment")*(Previsions[Final Budget])*1)</f>
        <v>8204.85</v>
      </c>
      <c r="Q13" s="19">
        <f>SUM(E13:P13)</f>
        <v>36406.5</v>
      </c>
      <c r="S13" s="16">
        <v>8205</v>
      </c>
      <c r="T13" s="16">
        <v>8205</v>
      </c>
      <c r="U13" s="16">
        <v>8205</v>
      </c>
      <c r="V13" s="16">
        <v>8205</v>
      </c>
      <c r="W13" s="16">
        <v>8205</v>
      </c>
      <c r="X13" s="16">
        <v>8205</v>
      </c>
      <c r="Y13" s="16">
        <v>8205</v>
      </c>
      <c r="Z13" s="16">
        <v>8205</v>
      </c>
      <c r="AA13" s="16">
        <v>8205</v>
      </c>
      <c r="AB13" s="16">
        <v>8205</v>
      </c>
      <c r="AC13" s="16">
        <v>8205</v>
      </c>
      <c r="AD13" s="16">
        <v>8205</v>
      </c>
      <c r="AE13" s="19">
        <f>SUM(S13:AD13)</f>
        <v>98460</v>
      </c>
      <c r="AG13" s="16"/>
      <c r="AH13" s="16"/>
      <c r="AI13" s="16"/>
      <c r="AJ13" s="16"/>
      <c r="AK13" s="16"/>
      <c r="AL13" s="16"/>
      <c r="AM13" s="16"/>
      <c r="AN13" s="16"/>
      <c r="AO13" s="16"/>
      <c r="AP13" s="16"/>
      <c r="AQ13" s="16"/>
      <c r="AR13" s="16"/>
      <c r="AS13" s="19">
        <f>SUM(AG13:AR13)</f>
        <v>0</v>
      </c>
      <c r="AU13" s="16"/>
      <c r="AV13" s="16"/>
      <c r="AW13" s="16"/>
      <c r="AX13" s="16"/>
      <c r="AY13" s="16"/>
      <c r="AZ13" s="16"/>
      <c r="BA13" s="16"/>
      <c r="BB13" s="16"/>
      <c r="BC13" s="16"/>
      <c r="BD13" s="16"/>
      <c r="BE13" s="16"/>
      <c r="BF13" s="16"/>
      <c r="BG13" s="19">
        <f>SUM(AU13:BF13)</f>
        <v>0</v>
      </c>
      <c r="BI13" s="16"/>
      <c r="BJ13" s="16"/>
      <c r="BK13" s="16"/>
      <c r="BL13" s="16"/>
      <c r="BM13" s="16"/>
      <c r="BN13" s="16"/>
      <c r="BO13" s="16"/>
      <c r="BP13" s="16"/>
      <c r="BQ13" s="16"/>
      <c r="BR13" s="16"/>
      <c r="BS13" s="16"/>
      <c r="BT13" s="16"/>
      <c r="BU13" s="19"/>
      <c r="BW13" s="16"/>
      <c r="BX13" s="16"/>
      <c r="BY13" s="16"/>
      <c r="BZ13" s="16"/>
      <c r="CA13" s="16"/>
      <c r="CB13" s="16"/>
      <c r="CC13" s="16"/>
      <c r="CD13" s="16"/>
      <c r="CE13" s="16"/>
      <c r="CF13" s="16"/>
      <c r="CG13" s="16"/>
      <c r="CH13" s="16"/>
      <c r="CI13" s="19"/>
      <c r="CK13" s="16"/>
      <c r="CL13" s="16"/>
      <c r="CM13" s="16"/>
      <c r="CN13" s="16"/>
      <c r="CO13" s="16"/>
      <c r="CP13" s="16"/>
      <c r="CQ13" s="16"/>
      <c r="CR13" s="16"/>
      <c r="CS13" s="16"/>
      <c r="CT13" s="16"/>
      <c r="CU13" s="16"/>
      <c r="CV13" s="16"/>
      <c r="CW13" s="19"/>
      <c r="CY13" s="16"/>
      <c r="CZ13" s="16"/>
      <c r="DA13" s="16"/>
      <c r="DB13" s="16"/>
      <c r="DC13" s="16"/>
      <c r="DD13" s="16"/>
      <c r="DE13" s="16"/>
      <c r="DF13" s="16"/>
      <c r="DG13" s="16"/>
      <c r="DH13" s="16"/>
      <c r="DI13" s="16"/>
      <c r="DJ13" s="16"/>
      <c r="DK13" s="19"/>
      <c r="DM13" s="16"/>
      <c r="DN13" s="16"/>
      <c r="DO13" s="16"/>
      <c r="DP13" s="16"/>
      <c r="DQ13" s="16"/>
      <c r="DR13" s="16"/>
      <c r="DS13" s="16"/>
      <c r="DT13" s="16"/>
      <c r="DU13" s="16"/>
      <c r="DV13" s="16"/>
      <c r="DW13" s="16"/>
      <c r="DX13" s="16"/>
      <c r="DY13" s="19"/>
      <c r="EA13" s="16"/>
      <c r="EB13" s="16"/>
      <c r="EC13" s="16"/>
      <c r="ED13" s="16"/>
      <c r="EE13" s="16"/>
      <c r="EF13" s="16"/>
      <c r="EG13" s="16"/>
      <c r="EH13" s="16"/>
      <c r="EI13" s="16"/>
      <c r="EJ13" s="16"/>
      <c r="EK13" s="16"/>
      <c r="EL13" s="16"/>
      <c r="EM13" s="19"/>
      <c r="EO13" s="16"/>
      <c r="EP13" s="16"/>
      <c r="EQ13" s="16"/>
      <c r="ER13" s="16"/>
      <c r="ES13" s="16"/>
      <c r="ET13" s="16"/>
      <c r="EU13" s="16"/>
      <c r="EV13" s="16"/>
      <c r="EW13" s="16"/>
      <c r="EX13" s="16"/>
      <c r="EY13" s="16"/>
      <c r="EZ13" s="16"/>
      <c r="FA13" s="19"/>
      <c r="FC13" s="16"/>
      <c r="FD13" s="16"/>
      <c r="FE13" s="16"/>
      <c r="FF13" s="16"/>
      <c r="FG13" s="16"/>
      <c r="FH13" s="16"/>
      <c r="FI13" s="16"/>
      <c r="FJ13" s="16"/>
      <c r="FK13" s="16"/>
      <c r="FL13" s="16"/>
      <c r="FM13" s="16"/>
      <c r="FN13" s="16"/>
      <c r="FO13" s="19"/>
      <c r="FQ13" s="16"/>
      <c r="FR13" s="16"/>
      <c r="FS13" s="16"/>
      <c r="FT13" s="16"/>
      <c r="FU13" s="16"/>
      <c r="FV13" s="16"/>
      <c r="FW13" s="16"/>
      <c r="FX13" s="16"/>
      <c r="FY13" s="16"/>
      <c r="FZ13" s="16"/>
      <c r="GA13" s="16"/>
      <c r="GB13" s="16"/>
      <c r="GC13" s="19"/>
      <c r="GE13" s="16"/>
      <c r="GF13" s="16"/>
      <c r="GG13" s="16"/>
      <c r="GH13" s="16"/>
      <c r="GI13" s="16"/>
      <c r="GJ13" s="16"/>
      <c r="GK13" s="16"/>
      <c r="GL13" s="16"/>
      <c r="GM13" s="16"/>
      <c r="GN13" s="16"/>
      <c r="GO13" s="16"/>
      <c r="GP13" s="16"/>
      <c r="GQ13" s="19"/>
      <c r="GS13" s="16"/>
      <c r="GT13" s="16"/>
      <c r="GU13" s="16"/>
      <c r="GV13" s="16"/>
      <c r="GW13" s="16"/>
      <c r="GX13" s="16"/>
      <c r="GY13" s="16"/>
      <c r="GZ13" s="16"/>
      <c r="HA13" s="16"/>
      <c r="HB13" s="16"/>
      <c r="HC13" s="16"/>
      <c r="HD13" s="16"/>
      <c r="HE13" s="19"/>
      <c r="HG13" s="16"/>
      <c r="HH13" s="16"/>
      <c r="HI13" s="16"/>
      <c r="HJ13" s="16"/>
      <c r="HK13" s="16"/>
      <c r="HL13" s="16"/>
      <c r="HM13" s="16"/>
      <c r="HN13" s="16"/>
      <c r="HO13" s="16"/>
      <c r="HP13" s="16"/>
      <c r="HQ13" s="16"/>
      <c r="HR13" s="16"/>
      <c r="HS13" s="19"/>
      <c r="HU13" s="16"/>
      <c r="HV13" s="16"/>
      <c r="HW13" s="16"/>
      <c r="HX13" s="16"/>
      <c r="HY13" s="16"/>
      <c r="HZ13" s="16"/>
      <c r="IA13" s="16"/>
      <c r="IB13" s="16"/>
      <c r="IC13" s="16"/>
      <c r="ID13" s="16"/>
      <c r="IE13" s="16"/>
      <c r="IF13" s="16"/>
      <c r="IG13" s="19"/>
    </row>
    <row r="14" spans="3:241" x14ac:dyDescent="0.2">
      <c r="C14" s="20" t="s">
        <v>201</v>
      </c>
      <c r="E14" s="16"/>
      <c r="F14" s="16"/>
      <c r="G14" s="16"/>
      <c r="H14" s="16"/>
      <c r="I14" s="16"/>
      <c r="J14" s="16"/>
      <c r="K14" s="16"/>
      <c r="L14" s="16"/>
      <c r="M14" s="16"/>
      <c r="N14" s="16"/>
      <c r="O14" s="16" cm="1">
        <f t="array" ref="O14">SUMPRODUCT((Tracking[Type]="Income")*(Tracking[Category]=Income[[#This Row],[Income]])*(MONTH(Tracking[Date])=11)*(Tracking[Amount])*1)</f>
        <v>4000</v>
      </c>
      <c r="P14" s="16"/>
      <c r="Q14" s="19">
        <v>4000</v>
      </c>
      <c r="S14" s="16"/>
      <c r="T14" s="16"/>
      <c r="U14" s="16"/>
      <c r="V14" s="16"/>
      <c r="W14" s="16"/>
      <c r="X14" s="16"/>
      <c r="Y14" s="16"/>
      <c r="Z14" s="16"/>
      <c r="AA14" s="16"/>
      <c r="AB14" s="16"/>
      <c r="AC14" s="16"/>
      <c r="AD14" s="16"/>
      <c r="AE14" s="19"/>
      <c r="AG14" s="16"/>
      <c r="AH14" s="16"/>
      <c r="AI14" s="16"/>
      <c r="AJ14" s="16"/>
      <c r="AK14" s="16"/>
      <c r="AL14" s="16"/>
      <c r="AM14" s="16"/>
      <c r="AN14" s="16"/>
      <c r="AO14" s="16"/>
      <c r="AP14" s="16"/>
      <c r="AQ14" s="16"/>
      <c r="AR14" s="16"/>
      <c r="AS14" s="19"/>
      <c r="AU14" s="16"/>
      <c r="AV14" s="16"/>
      <c r="AW14" s="16"/>
      <c r="AX14" s="16"/>
      <c r="AY14" s="16"/>
      <c r="AZ14" s="16"/>
      <c r="BA14" s="16"/>
      <c r="BB14" s="16"/>
      <c r="BC14" s="16"/>
      <c r="BD14" s="16"/>
      <c r="BE14" s="16"/>
      <c r="BF14" s="16"/>
      <c r="BG14" s="19"/>
      <c r="BI14" s="16"/>
      <c r="BJ14" s="16"/>
      <c r="BK14" s="16"/>
      <c r="BL14" s="16"/>
      <c r="BM14" s="16"/>
      <c r="BN14" s="16"/>
      <c r="BO14" s="16"/>
      <c r="BP14" s="16"/>
      <c r="BQ14" s="16"/>
      <c r="BR14" s="16"/>
      <c r="BS14" s="16"/>
      <c r="BT14" s="16"/>
      <c r="BU14" s="19"/>
      <c r="BW14" s="16"/>
      <c r="BX14" s="16"/>
      <c r="BY14" s="16"/>
      <c r="BZ14" s="16"/>
      <c r="CA14" s="16"/>
      <c r="CB14" s="16"/>
      <c r="CC14" s="16"/>
      <c r="CD14" s="16"/>
      <c r="CE14" s="16"/>
      <c r="CF14" s="16"/>
      <c r="CG14" s="16"/>
      <c r="CH14" s="16"/>
      <c r="CI14" s="19"/>
      <c r="CK14" s="16"/>
      <c r="CL14" s="16"/>
      <c r="CM14" s="16"/>
      <c r="CN14" s="16"/>
      <c r="CO14" s="16"/>
      <c r="CP14" s="16"/>
      <c r="CQ14" s="16"/>
      <c r="CR14" s="16"/>
      <c r="CS14" s="16"/>
      <c r="CT14" s="16"/>
      <c r="CU14" s="16"/>
      <c r="CV14" s="16"/>
      <c r="CW14" s="19"/>
      <c r="CY14" s="16"/>
      <c r="CZ14" s="16"/>
      <c r="DA14" s="16"/>
      <c r="DB14" s="16"/>
      <c r="DC14" s="16"/>
      <c r="DD14" s="16"/>
      <c r="DE14" s="16"/>
      <c r="DF14" s="16"/>
      <c r="DG14" s="16"/>
      <c r="DH14" s="16"/>
      <c r="DI14" s="16"/>
      <c r="DJ14" s="16"/>
      <c r="DK14" s="19"/>
      <c r="DM14" s="16"/>
      <c r="DN14" s="16"/>
      <c r="DO14" s="16"/>
      <c r="DP14" s="16"/>
      <c r="DQ14" s="16"/>
      <c r="DR14" s="16"/>
      <c r="DS14" s="16"/>
      <c r="DT14" s="16"/>
      <c r="DU14" s="16"/>
      <c r="DV14" s="16"/>
      <c r="DW14" s="16"/>
      <c r="DX14" s="16"/>
      <c r="DY14" s="19"/>
      <c r="EA14" s="16"/>
      <c r="EB14" s="16"/>
      <c r="EC14" s="16"/>
      <c r="ED14" s="16"/>
      <c r="EE14" s="16"/>
      <c r="EF14" s="16"/>
      <c r="EG14" s="16"/>
      <c r="EH14" s="16"/>
      <c r="EI14" s="16"/>
      <c r="EJ14" s="16"/>
      <c r="EK14" s="16"/>
      <c r="EL14" s="16"/>
      <c r="EM14" s="19"/>
      <c r="EO14" s="16"/>
      <c r="EP14" s="16"/>
      <c r="EQ14" s="16"/>
      <c r="ER14" s="16"/>
      <c r="ES14" s="16"/>
      <c r="ET14" s="16"/>
      <c r="EU14" s="16"/>
      <c r="EV14" s="16"/>
      <c r="EW14" s="16"/>
      <c r="EX14" s="16"/>
      <c r="EY14" s="16"/>
      <c r="EZ14" s="16"/>
      <c r="FA14" s="19"/>
      <c r="FC14" s="16"/>
      <c r="FD14" s="16"/>
      <c r="FE14" s="16"/>
      <c r="FF14" s="16"/>
      <c r="FG14" s="16"/>
      <c r="FH14" s="16"/>
      <c r="FI14" s="16"/>
      <c r="FJ14" s="16"/>
      <c r="FK14" s="16"/>
      <c r="FL14" s="16"/>
      <c r="FM14" s="16"/>
      <c r="FN14" s="16"/>
      <c r="FO14" s="19"/>
      <c r="FQ14" s="16"/>
      <c r="FR14" s="16"/>
      <c r="FS14" s="16"/>
      <c r="FT14" s="16"/>
      <c r="FU14" s="16"/>
      <c r="FV14" s="16"/>
      <c r="FW14" s="16"/>
      <c r="FX14" s="16"/>
      <c r="FY14" s="16"/>
      <c r="FZ14" s="16"/>
      <c r="GA14" s="16"/>
      <c r="GB14" s="16"/>
      <c r="GC14" s="19"/>
      <c r="GE14" s="16"/>
      <c r="GF14" s="16"/>
      <c r="GG14" s="16"/>
      <c r="GH14" s="16"/>
      <c r="GI14" s="16"/>
      <c r="GJ14" s="16"/>
      <c r="GK14" s="16"/>
      <c r="GL14" s="16"/>
      <c r="GM14" s="16"/>
      <c r="GN14" s="16"/>
      <c r="GO14" s="16"/>
      <c r="GP14" s="16"/>
      <c r="GQ14" s="19"/>
      <c r="GS14" s="16"/>
      <c r="GT14" s="16"/>
      <c r="GU14" s="16"/>
      <c r="GV14" s="16"/>
      <c r="GW14" s="16"/>
      <c r="GX14" s="16"/>
      <c r="GY14" s="16"/>
      <c r="GZ14" s="16"/>
      <c r="HA14" s="16"/>
      <c r="HB14" s="16"/>
      <c r="HC14" s="16"/>
      <c r="HD14" s="16"/>
      <c r="HE14" s="19"/>
      <c r="HG14" s="16"/>
      <c r="HH14" s="16"/>
      <c r="HI14" s="16"/>
      <c r="HJ14" s="16"/>
      <c r="HK14" s="16"/>
      <c r="HL14" s="16"/>
      <c r="HM14" s="16"/>
      <c r="HN14" s="16"/>
      <c r="HO14" s="16"/>
      <c r="HP14" s="16"/>
      <c r="HQ14" s="16"/>
      <c r="HR14" s="16"/>
      <c r="HS14" s="19"/>
      <c r="HU14" s="16"/>
      <c r="HV14" s="16"/>
      <c r="HW14" s="16"/>
      <c r="HX14" s="16"/>
      <c r="HY14" s="16"/>
      <c r="HZ14" s="16"/>
      <c r="IA14" s="16"/>
      <c r="IB14" s="16"/>
      <c r="IC14" s="16"/>
      <c r="ID14" s="16"/>
      <c r="IE14" s="16"/>
      <c r="IF14" s="16"/>
      <c r="IG14" s="19"/>
    </row>
    <row r="15" spans="3:241" x14ac:dyDescent="0.2">
      <c r="C15" s="20" t="s">
        <v>127</v>
      </c>
      <c r="E15" s="16"/>
      <c r="F15" s="16"/>
      <c r="G15" s="16"/>
      <c r="H15" s="16"/>
      <c r="I15" s="16"/>
      <c r="J15" s="16"/>
      <c r="K15" s="16"/>
      <c r="L15" s="16" cm="1">
        <f t="array" ref="L15">SUMPRODUCT((Tracking[Type]="Income")*(Tracking[Category]=Income[[#This Row],[Income]])*(MONTH(Tracking[Date])=8)*(Tracking[Amount])*1)</f>
        <v>4313.3</v>
      </c>
      <c r="M15" s="16" cm="1">
        <f t="array" ref="M15">SUMPRODUCT((Tracking[Type]="Income")*(Tracking[Category]=Income[[#This Row],[Income]])*(MONTH(Tracking[Date])=9)*(Tracking[Amount])*1)</f>
        <v>1699.9</v>
      </c>
      <c r="N15" s="16" cm="1">
        <f t="array" ref="N15">SUMPRODUCT((Tracking[Type]="Income")*(Tracking[Category]=Income[[#This Row],[Income]])*(MONTH(Tracking[Date])=10)*(Tracking[Amount])*1)</f>
        <v>0</v>
      </c>
      <c r="O15" s="16" cm="1">
        <f t="array" ref="O15">SUMPRODUCT((Tracking[Type]="Income")*(Tracking[Category]=Income[[#This Row],[Income]])*(MONTH(Tracking[Date])=11)*(Tracking[Amount])*1)</f>
        <v>0</v>
      </c>
      <c r="P15" s="16" cm="1">
        <f t="array" ref="P15">SUMPRODUCT((Tracking[Type]="Income")*(Tracking[Category]=Income[[#This Row],[Income]])*(MONTH(Tracking[Date])=12)*(Tracking[Amount])*1)</f>
        <v>0</v>
      </c>
      <c r="Q15" s="19">
        <f>SUM(E15:P15)</f>
        <v>6013.2000000000007</v>
      </c>
      <c r="S15" s="16"/>
      <c r="T15" s="16"/>
      <c r="U15" s="16"/>
      <c r="V15" s="16"/>
      <c r="W15" s="16"/>
      <c r="X15" s="16"/>
      <c r="Y15" s="16"/>
      <c r="Z15" s="16"/>
      <c r="AA15" s="16"/>
      <c r="AB15" s="16"/>
      <c r="AC15" s="16"/>
      <c r="AD15" s="16"/>
      <c r="AE15" s="19">
        <f>SUM(S15:AD15)</f>
        <v>0</v>
      </c>
      <c r="AG15" s="16"/>
      <c r="AH15" s="16"/>
      <c r="AI15" s="16"/>
      <c r="AJ15" s="16"/>
      <c r="AK15" s="16"/>
      <c r="AL15" s="16"/>
      <c r="AM15" s="16"/>
      <c r="AN15" s="16"/>
      <c r="AO15" s="16"/>
      <c r="AP15" s="16"/>
      <c r="AQ15" s="16"/>
      <c r="AR15" s="16"/>
      <c r="AS15" s="19">
        <f>SUM(AG15:AR15)</f>
        <v>0</v>
      </c>
      <c r="AU15" s="16"/>
      <c r="AV15" s="16"/>
      <c r="AW15" s="16"/>
      <c r="AX15" s="16"/>
      <c r="AY15" s="16"/>
      <c r="AZ15" s="16"/>
      <c r="BA15" s="16"/>
      <c r="BB15" s="16"/>
      <c r="BC15" s="16"/>
      <c r="BD15" s="16"/>
      <c r="BE15" s="16"/>
      <c r="BF15" s="16"/>
      <c r="BG15" s="19">
        <f>SUM(AU15:BF15)</f>
        <v>0</v>
      </c>
      <c r="BI15" s="16"/>
      <c r="BJ15" s="16"/>
      <c r="BK15" s="16"/>
      <c r="BL15" s="16"/>
      <c r="BM15" s="16"/>
      <c r="BN15" s="16"/>
      <c r="BO15" s="16"/>
      <c r="BP15" s="16"/>
      <c r="BQ15" s="16"/>
      <c r="BR15" s="16"/>
      <c r="BS15" s="16"/>
      <c r="BT15" s="16"/>
      <c r="BU15" s="19"/>
      <c r="BW15" s="16"/>
      <c r="BX15" s="16"/>
      <c r="BY15" s="16"/>
      <c r="BZ15" s="16"/>
      <c r="CA15" s="16"/>
      <c r="CB15" s="16"/>
      <c r="CC15" s="16"/>
      <c r="CD15" s="16"/>
      <c r="CE15" s="16"/>
      <c r="CF15" s="16"/>
      <c r="CG15" s="16"/>
      <c r="CH15" s="16"/>
      <c r="CI15" s="19"/>
      <c r="CK15" s="16"/>
      <c r="CL15" s="16"/>
      <c r="CM15" s="16"/>
      <c r="CN15" s="16"/>
      <c r="CO15" s="16"/>
      <c r="CP15" s="16"/>
      <c r="CQ15" s="16"/>
      <c r="CR15" s="16"/>
      <c r="CS15" s="16"/>
      <c r="CT15" s="16"/>
      <c r="CU15" s="16"/>
      <c r="CV15" s="16"/>
      <c r="CW15" s="19"/>
      <c r="CY15" s="16"/>
      <c r="CZ15" s="16"/>
      <c r="DA15" s="16"/>
      <c r="DB15" s="16"/>
      <c r="DC15" s="16"/>
      <c r="DD15" s="16"/>
      <c r="DE15" s="16"/>
      <c r="DF15" s="16"/>
      <c r="DG15" s="16"/>
      <c r="DH15" s="16"/>
      <c r="DI15" s="16"/>
      <c r="DJ15" s="16"/>
      <c r="DK15" s="19"/>
      <c r="DM15" s="16"/>
      <c r="DN15" s="16"/>
      <c r="DO15" s="16"/>
      <c r="DP15" s="16"/>
      <c r="DQ15" s="16"/>
      <c r="DR15" s="16"/>
      <c r="DS15" s="16"/>
      <c r="DT15" s="16"/>
      <c r="DU15" s="16"/>
      <c r="DV15" s="16"/>
      <c r="DW15" s="16"/>
      <c r="DX15" s="16"/>
      <c r="DY15" s="19"/>
      <c r="EA15" s="16"/>
      <c r="EB15" s="16"/>
      <c r="EC15" s="16"/>
      <c r="ED15" s="16"/>
      <c r="EE15" s="16"/>
      <c r="EF15" s="16"/>
      <c r="EG15" s="16"/>
      <c r="EH15" s="16"/>
      <c r="EI15" s="16"/>
      <c r="EJ15" s="16"/>
      <c r="EK15" s="16"/>
      <c r="EL15" s="16"/>
      <c r="EM15" s="19"/>
      <c r="EO15" s="16"/>
      <c r="EP15" s="16"/>
      <c r="EQ15" s="16"/>
      <c r="ER15" s="16"/>
      <c r="ES15" s="16"/>
      <c r="ET15" s="16"/>
      <c r="EU15" s="16"/>
      <c r="EV15" s="16"/>
      <c r="EW15" s="16"/>
      <c r="EX15" s="16"/>
      <c r="EY15" s="16"/>
      <c r="EZ15" s="16"/>
      <c r="FA15" s="19"/>
      <c r="FC15" s="16"/>
      <c r="FD15" s="16"/>
      <c r="FE15" s="16"/>
      <c r="FF15" s="16"/>
      <c r="FG15" s="16"/>
      <c r="FH15" s="16"/>
      <c r="FI15" s="16"/>
      <c r="FJ15" s="16"/>
      <c r="FK15" s="16"/>
      <c r="FL15" s="16"/>
      <c r="FM15" s="16"/>
      <c r="FN15" s="16"/>
      <c r="FO15" s="19"/>
      <c r="FQ15" s="16"/>
      <c r="FR15" s="16"/>
      <c r="FS15" s="16"/>
      <c r="FT15" s="16"/>
      <c r="FU15" s="16"/>
      <c r="FV15" s="16"/>
      <c r="FW15" s="16"/>
      <c r="FX15" s="16"/>
      <c r="FY15" s="16"/>
      <c r="FZ15" s="16"/>
      <c r="GA15" s="16"/>
      <c r="GB15" s="16"/>
      <c r="GC15" s="19"/>
      <c r="GE15" s="16"/>
      <c r="GF15" s="16"/>
      <c r="GG15" s="16"/>
      <c r="GH15" s="16"/>
      <c r="GI15" s="16"/>
      <c r="GJ15" s="16"/>
      <c r="GK15" s="16"/>
      <c r="GL15" s="16"/>
      <c r="GM15" s="16"/>
      <c r="GN15" s="16"/>
      <c r="GO15" s="16"/>
      <c r="GP15" s="16"/>
      <c r="GQ15" s="19"/>
      <c r="GS15" s="16"/>
      <c r="GT15" s="16"/>
      <c r="GU15" s="16"/>
      <c r="GV15" s="16"/>
      <c r="GW15" s="16"/>
      <c r="GX15" s="16"/>
      <c r="GY15" s="16"/>
      <c r="GZ15" s="16"/>
      <c r="HA15" s="16"/>
      <c r="HB15" s="16"/>
      <c r="HC15" s="16"/>
      <c r="HD15" s="16"/>
      <c r="HE15" s="19"/>
      <c r="HG15" s="16"/>
      <c r="HH15" s="16"/>
      <c r="HI15" s="16"/>
      <c r="HJ15" s="16"/>
      <c r="HK15" s="16"/>
      <c r="HL15" s="16"/>
      <c r="HM15" s="16"/>
      <c r="HN15" s="16"/>
      <c r="HO15" s="16"/>
      <c r="HP15" s="16"/>
      <c r="HQ15" s="16"/>
      <c r="HR15" s="16"/>
      <c r="HS15" s="19"/>
      <c r="HU15" s="16"/>
      <c r="HV15" s="16"/>
      <c r="HW15" s="16"/>
      <c r="HX15" s="16"/>
      <c r="HY15" s="16"/>
      <c r="HZ15" s="16"/>
      <c r="IA15" s="16"/>
      <c r="IB15" s="16"/>
      <c r="IC15" s="16"/>
      <c r="ID15" s="16"/>
      <c r="IE15" s="16"/>
      <c r="IF15" s="16"/>
      <c r="IG15" s="19"/>
    </row>
    <row r="16" spans="3:241" x14ac:dyDescent="0.2">
      <c r="C16" s="20" t="s">
        <v>105</v>
      </c>
      <c r="E16" s="16"/>
      <c r="F16" s="16"/>
      <c r="G16" s="16"/>
      <c r="H16" s="16"/>
      <c r="I16" s="16"/>
      <c r="J16" s="16"/>
      <c r="K16" s="16"/>
      <c r="L16" s="16" cm="1">
        <f t="array" ref="L16">SUMPRODUCT((Tracking[Type]="Income")*(Tracking[Category]=Income[[#This Row],[Income]])*(MONTH(Tracking[Date])=8)*(Tracking[Amount])*1)</f>
        <v>195.55</v>
      </c>
      <c r="M16" s="16" cm="1">
        <f t="array" ref="M16">SUMPRODUCT((Tracking[Type]="Income")*(Tracking[Category]=Income[[#This Row],[Income]])*(MONTH(Tracking[Date])=9)*(Tracking[Amount])*1)</f>
        <v>38</v>
      </c>
      <c r="N16" s="16" cm="1">
        <f t="array" ref="N16">SUMPRODUCT((Tracking[Type]="Income")*(Tracking[Category]=Income[[#This Row],[Income]])*(MONTH(Tracking[Date])=10)*(Tracking[Amount])*1)</f>
        <v>71.2</v>
      </c>
      <c r="O16" s="16" cm="1">
        <f t="array" ref="O16">SUMPRODUCT((Tracking[Type]="Income")*(Tracking[Category]=Income[[#This Row],[Income]])*(MONTH(Tracking[Date])=11)*(Tracking[Amount])*1)</f>
        <v>324.5</v>
      </c>
      <c r="P16" s="16" cm="1">
        <f t="array" ref="P16">SUMPRODUCT((Tracking[Type]="Income")*(Tracking[Category]=Income[[#This Row],[Income]])*(MONTH(Tracking[Date])=12)*(Tracking[Amount])*1)</f>
        <v>531</v>
      </c>
      <c r="Q16" s="19">
        <f>SUM(E16:P16)</f>
        <v>1160.25</v>
      </c>
      <c r="S16" s="16"/>
      <c r="T16" s="16"/>
      <c r="U16" s="16"/>
      <c r="V16" s="16"/>
      <c r="W16" s="16"/>
      <c r="X16" s="16"/>
      <c r="Y16" s="16"/>
      <c r="Z16" s="16"/>
      <c r="AA16" s="16"/>
      <c r="AB16" s="16"/>
      <c r="AC16" s="16"/>
      <c r="AD16" s="16"/>
      <c r="AE16" s="19">
        <f>SUM(S16:AD16)</f>
        <v>0</v>
      </c>
      <c r="AG16" s="16"/>
      <c r="AH16" s="16"/>
      <c r="AI16" s="16"/>
      <c r="AJ16" s="16"/>
      <c r="AK16" s="16"/>
      <c r="AL16" s="16"/>
      <c r="AM16" s="16"/>
      <c r="AN16" s="16"/>
      <c r="AO16" s="16"/>
      <c r="AP16" s="16"/>
      <c r="AQ16" s="16"/>
      <c r="AR16" s="16"/>
      <c r="AS16" s="19">
        <f>SUM(AG16:AR16)</f>
        <v>0</v>
      </c>
      <c r="AU16" s="16"/>
      <c r="AV16" s="16"/>
      <c r="AW16" s="16"/>
      <c r="AX16" s="16"/>
      <c r="AY16" s="16"/>
      <c r="AZ16" s="16"/>
      <c r="BA16" s="16"/>
      <c r="BB16" s="16"/>
      <c r="BC16" s="16"/>
      <c r="BD16" s="16"/>
      <c r="BE16" s="16"/>
      <c r="BF16" s="16"/>
      <c r="BG16" s="19">
        <f>SUM(AU16:BF16)</f>
        <v>0</v>
      </c>
      <c r="BI16" s="16"/>
      <c r="BJ16" s="16"/>
      <c r="BK16" s="16"/>
      <c r="BL16" s="16"/>
      <c r="BM16" s="16"/>
      <c r="BN16" s="16"/>
      <c r="BO16" s="16"/>
      <c r="BP16" s="16"/>
      <c r="BQ16" s="16"/>
      <c r="BR16" s="16"/>
      <c r="BS16" s="16"/>
      <c r="BT16" s="16"/>
      <c r="BU16" s="19">
        <f>SUM(BI16:BT16)</f>
        <v>0</v>
      </c>
      <c r="BW16" s="16"/>
      <c r="BX16" s="16"/>
      <c r="BY16" s="16"/>
      <c r="BZ16" s="16"/>
      <c r="CA16" s="16"/>
      <c r="CB16" s="16"/>
      <c r="CC16" s="16"/>
      <c r="CD16" s="16"/>
      <c r="CE16" s="16"/>
      <c r="CF16" s="16"/>
      <c r="CG16" s="16"/>
      <c r="CH16" s="16"/>
      <c r="CI16" s="19">
        <f>SUM(BW16:CH16)</f>
        <v>0</v>
      </c>
      <c r="CK16" s="16"/>
      <c r="CL16" s="16"/>
      <c r="CM16" s="16"/>
      <c r="CN16" s="16"/>
      <c r="CO16" s="16"/>
      <c r="CP16" s="16"/>
      <c r="CQ16" s="16"/>
      <c r="CR16" s="16"/>
      <c r="CS16" s="16"/>
      <c r="CT16" s="16"/>
      <c r="CU16" s="16"/>
      <c r="CV16" s="16"/>
      <c r="CW16" s="19">
        <f>SUM(CK16:CV16)</f>
        <v>0</v>
      </c>
      <c r="CY16" s="16"/>
      <c r="CZ16" s="16"/>
      <c r="DA16" s="16"/>
      <c r="DB16" s="16"/>
      <c r="DC16" s="16"/>
      <c r="DD16" s="16"/>
      <c r="DE16" s="16"/>
      <c r="DF16" s="16"/>
      <c r="DG16" s="16"/>
      <c r="DH16" s="16"/>
      <c r="DI16" s="16"/>
      <c r="DJ16" s="16"/>
      <c r="DK16" s="19">
        <f>SUM(CY16:DJ16)</f>
        <v>0</v>
      </c>
      <c r="DM16" s="16"/>
      <c r="DN16" s="16"/>
      <c r="DO16" s="16"/>
      <c r="DP16" s="16"/>
      <c r="DQ16" s="16"/>
      <c r="DR16" s="16"/>
      <c r="DS16" s="16"/>
      <c r="DT16" s="16"/>
      <c r="DU16" s="16"/>
      <c r="DV16" s="16"/>
      <c r="DW16" s="16"/>
      <c r="DX16" s="16"/>
      <c r="DY16" s="19">
        <f>SUM(DM16:DX16)</f>
        <v>0</v>
      </c>
      <c r="EA16" s="16"/>
      <c r="EB16" s="16"/>
      <c r="EC16" s="16"/>
      <c r="ED16" s="16"/>
      <c r="EE16" s="16"/>
      <c r="EF16" s="16"/>
      <c r="EG16" s="16"/>
      <c r="EH16" s="16"/>
      <c r="EI16" s="16"/>
      <c r="EJ16" s="16"/>
      <c r="EK16" s="16"/>
      <c r="EL16" s="16"/>
      <c r="EM16" s="19">
        <f>SUM(EA16:EL16)</f>
        <v>0</v>
      </c>
      <c r="EO16" s="16"/>
      <c r="EP16" s="16"/>
      <c r="EQ16" s="16"/>
      <c r="ER16" s="16"/>
      <c r="ES16" s="16"/>
      <c r="ET16" s="16"/>
      <c r="EU16" s="16"/>
      <c r="EV16" s="16"/>
      <c r="EW16" s="16"/>
      <c r="EX16" s="16"/>
      <c r="EY16" s="16"/>
      <c r="EZ16" s="16"/>
      <c r="FA16" s="19">
        <f>SUM(EO16:EZ16)</f>
        <v>0</v>
      </c>
      <c r="FC16" s="16"/>
      <c r="FD16" s="16"/>
      <c r="FE16" s="16"/>
      <c r="FF16" s="16"/>
      <c r="FG16" s="16"/>
      <c r="FH16" s="16"/>
      <c r="FI16" s="16"/>
      <c r="FJ16" s="16"/>
      <c r="FK16" s="16"/>
      <c r="FL16" s="16"/>
      <c r="FM16" s="16"/>
      <c r="FN16" s="16"/>
      <c r="FO16" s="19">
        <f>SUM(FC16:FN16)</f>
        <v>0</v>
      </c>
      <c r="FQ16" s="16"/>
      <c r="FR16" s="16"/>
      <c r="FS16" s="16"/>
      <c r="FT16" s="16"/>
      <c r="FU16" s="16"/>
      <c r="FV16" s="16"/>
      <c r="FW16" s="16"/>
      <c r="FX16" s="16"/>
      <c r="FY16" s="16"/>
      <c r="FZ16" s="16"/>
      <c r="GA16" s="16"/>
      <c r="GB16" s="16"/>
      <c r="GC16" s="19">
        <f>SUM(FQ16:GB16)</f>
        <v>0</v>
      </c>
      <c r="GE16" s="16"/>
      <c r="GF16" s="16"/>
      <c r="GG16" s="16"/>
      <c r="GH16" s="16"/>
      <c r="GI16" s="16"/>
      <c r="GJ16" s="16"/>
      <c r="GK16" s="16"/>
      <c r="GL16" s="16"/>
      <c r="GM16" s="16"/>
      <c r="GN16" s="16"/>
      <c r="GO16" s="16"/>
      <c r="GP16" s="16"/>
      <c r="GQ16" s="19">
        <f>SUM(GE16:GP16)</f>
        <v>0</v>
      </c>
      <c r="GS16" s="16"/>
      <c r="GT16" s="16"/>
      <c r="GU16" s="16"/>
      <c r="GV16" s="16"/>
      <c r="GW16" s="16"/>
      <c r="GX16" s="16"/>
      <c r="GY16" s="16"/>
      <c r="GZ16" s="16"/>
      <c r="HA16" s="16"/>
      <c r="HB16" s="16"/>
      <c r="HC16" s="16"/>
      <c r="HD16" s="16"/>
      <c r="HE16" s="19">
        <f>SUM(GS16:HD16)</f>
        <v>0</v>
      </c>
      <c r="HG16" s="16"/>
      <c r="HH16" s="16"/>
      <c r="HI16" s="16"/>
      <c r="HJ16" s="16"/>
      <c r="HK16" s="16"/>
      <c r="HL16" s="16"/>
      <c r="HM16" s="16"/>
      <c r="HN16" s="16"/>
      <c r="HO16" s="16"/>
      <c r="HP16" s="16"/>
      <c r="HQ16" s="16"/>
      <c r="HR16" s="16"/>
      <c r="HS16" s="19">
        <f>SUM(HG16:HR16)</f>
        <v>0</v>
      </c>
      <c r="HU16" s="16"/>
      <c r="HV16" s="16"/>
      <c r="HW16" s="16"/>
      <c r="HX16" s="16"/>
      <c r="HY16" s="16"/>
      <c r="HZ16" s="16"/>
      <c r="IA16" s="16"/>
      <c r="IB16" s="16"/>
      <c r="IC16" s="16"/>
      <c r="ID16" s="16"/>
      <c r="IE16" s="16"/>
      <c r="IF16" s="16"/>
      <c r="IG16" s="19">
        <f>SUM(HU16:IF16)</f>
        <v>0</v>
      </c>
    </row>
    <row r="17" spans="3:241" hidden="1" x14ac:dyDescent="0.2">
      <c r="C17" s="17" t="s">
        <v>11</v>
      </c>
      <c r="E17" s="16"/>
      <c r="F17" s="16"/>
      <c r="G17" s="16"/>
      <c r="H17" s="16"/>
      <c r="I17" s="16"/>
      <c r="J17" s="16"/>
      <c r="K17" s="16"/>
      <c r="L17" s="16"/>
      <c r="M17" s="16"/>
      <c r="N17" s="16"/>
      <c r="O17" s="16"/>
      <c r="P17" s="16"/>
      <c r="Q17" s="19"/>
      <c r="S17" s="16"/>
      <c r="T17" s="16"/>
      <c r="U17" s="16"/>
      <c r="V17" s="16"/>
      <c r="W17" s="16"/>
      <c r="X17" s="16"/>
      <c r="Y17" s="16"/>
      <c r="Z17" s="16"/>
      <c r="AA17" s="16"/>
      <c r="AB17" s="16"/>
      <c r="AC17" s="16"/>
      <c r="AD17" s="16"/>
      <c r="AE17" s="19"/>
      <c r="AG17" s="16"/>
      <c r="AH17" s="16"/>
      <c r="AI17" s="16"/>
      <c r="AJ17" s="16"/>
      <c r="AK17" s="16"/>
      <c r="AL17" s="16"/>
      <c r="AM17" s="16"/>
      <c r="AN17" s="16"/>
      <c r="AO17" s="16"/>
      <c r="AP17" s="16"/>
      <c r="AQ17" s="16"/>
      <c r="AR17" s="16"/>
      <c r="AS17" s="19"/>
      <c r="AU17" s="16"/>
      <c r="AV17" s="16"/>
      <c r="AW17" s="16"/>
      <c r="AX17" s="16"/>
      <c r="AY17" s="16"/>
      <c r="AZ17" s="16"/>
      <c r="BA17" s="16"/>
      <c r="BB17" s="16"/>
      <c r="BC17" s="16"/>
      <c r="BD17" s="16"/>
      <c r="BE17" s="16"/>
      <c r="BF17" s="16"/>
      <c r="BG17" s="19"/>
      <c r="BI17" s="16"/>
      <c r="BJ17" s="16"/>
      <c r="BK17" s="16"/>
      <c r="BL17" s="16"/>
      <c r="BM17" s="16"/>
      <c r="BN17" s="16"/>
      <c r="BO17" s="16"/>
      <c r="BP17" s="16"/>
      <c r="BQ17" s="16"/>
      <c r="BR17" s="16"/>
      <c r="BS17" s="16"/>
      <c r="BT17" s="16"/>
      <c r="BU17" s="19"/>
      <c r="BW17" s="16"/>
      <c r="BX17" s="16"/>
      <c r="BY17" s="16"/>
      <c r="BZ17" s="16"/>
      <c r="CA17" s="16"/>
      <c r="CB17" s="16"/>
      <c r="CC17" s="16"/>
      <c r="CD17" s="16"/>
      <c r="CE17" s="16"/>
      <c r="CF17" s="16"/>
      <c r="CG17" s="16"/>
      <c r="CH17" s="16"/>
      <c r="CI17" s="19"/>
      <c r="CK17" s="16"/>
      <c r="CL17" s="16"/>
      <c r="CM17" s="16"/>
      <c r="CN17" s="16"/>
      <c r="CO17" s="16"/>
      <c r="CP17" s="16"/>
      <c r="CQ17" s="16"/>
      <c r="CR17" s="16"/>
      <c r="CS17" s="16"/>
      <c r="CT17" s="16"/>
      <c r="CU17" s="16"/>
      <c r="CV17" s="16"/>
      <c r="CW17" s="19"/>
      <c r="CY17" s="16"/>
      <c r="CZ17" s="16"/>
      <c r="DA17" s="16"/>
      <c r="DB17" s="16"/>
      <c r="DC17" s="16"/>
      <c r="DD17" s="16"/>
      <c r="DE17" s="16"/>
      <c r="DF17" s="16"/>
      <c r="DG17" s="16"/>
      <c r="DH17" s="16"/>
      <c r="DI17" s="16"/>
      <c r="DJ17" s="16"/>
      <c r="DK17" s="19"/>
      <c r="DM17" s="16"/>
      <c r="DN17" s="16"/>
      <c r="DO17" s="16"/>
      <c r="DP17" s="16"/>
      <c r="DQ17" s="16"/>
      <c r="DR17" s="16"/>
      <c r="DS17" s="16"/>
      <c r="DT17" s="16"/>
      <c r="DU17" s="16"/>
      <c r="DV17" s="16"/>
      <c r="DW17" s="16"/>
      <c r="DX17" s="16"/>
      <c r="DY17" s="19"/>
      <c r="EA17" s="16"/>
      <c r="EB17" s="16"/>
      <c r="EC17" s="16"/>
      <c r="ED17" s="16"/>
      <c r="EE17" s="16"/>
      <c r="EF17" s="16"/>
      <c r="EG17" s="16"/>
      <c r="EH17" s="16"/>
      <c r="EI17" s="16"/>
      <c r="EJ17" s="16"/>
      <c r="EK17" s="16"/>
      <c r="EL17" s="16"/>
      <c r="EM17" s="19"/>
      <c r="EO17" s="16"/>
      <c r="EP17" s="16"/>
      <c r="EQ17" s="16"/>
      <c r="ER17" s="16"/>
      <c r="ES17" s="16"/>
      <c r="ET17" s="16"/>
      <c r="EU17" s="16"/>
      <c r="EV17" s="16"/>
      <c r="EW17" s="16"/>
      <c r="EX17" s="16"/>
      <c r="EY17" s="16"/>
      <c r="EZ17" s="16"/>
      <c r="FA17" s="19"/>
      <c r="FC17" s="16"/>
      <c r="FD17" s="16"/>
      <c r="FE17" s="16"/>
      <c r="FF17" s="16"/>
      <c r="FG17" s="16"/>
      <c r="FH17" s="16"/>
      <c r="FI17" s="16"/>
      <c r="FJ17" s="16"/>
      <c r="FK17" s="16"/>
      <c r="FL17" s="16"/>
      <c r="FM17" s="16"/>
      <c r="FN17" s="16"/>
      <c r="FO17" s="19"/>
      <c r="FQ17" s="16"/>
      <c r="FR17" s="16"/>
      <c r="FS17" s="16"/>
      <c r="FT17" s="16"/>
      <c r="FU17" s="16"/>
      <c r="FV17" s="16"/>
      <c r="FW17" s="16"/>
      <c r="FX17" s="16"/>
      <c r="FY17" s="16"/>
      <c r="FZ17" s="16"/>
      <c r="GA17" s="16"/>
      <c r="GB17" s="16"/>
      <c r="GC17" s="19"/>
      <c r="GE17" s="16"/>
      <c r="GF17" s="16"/>
      <c r="GG17" s="16"/>
      <c r="GH17" s="16"/>
      <c r="GI17" s="16"/>
      <c r="GJ17" s="16"/>
      <c r="GK17" s="16"/>
      <c r="GL17" s="16"/>
      <c r="GM17" s="16"/>
      <c r="GN17" s="16"/>
      <c r="GO17" s="16"/>
      <c r="GP17" s="16"/>
      <c r="GQ17" s="19"/>
      <c r="GS17" s="16"/>
      <c r="GT17" s="16"/>
      <c r="GU17" s="16"/>
      <c r="GV17" s="16"/>
      <c r="GW17" s="16"/>
      <c r="GX17" s="16"/>
      <c r="GY17" s="16"/>
      <c r="GZ17" s="16"/>
      <c r="HA17" s="16"/>
      <c r="HB17" s="16"/>
      <c r="HC17" s="16"/>
      <c r="HD17" s="16"/>
      <c r="HE17" s="19"/>
      <c r="HG17" s="16"/>
      <c r="HH17" s="16"/>
      <c r="HI17" s="16"/>
      <c r="HJ17" s="16"/>
      <c r="HK17" s="16"/>
      <c r="HL17" s="16"/>
      <c r="HM17" s="16"/>
      <c r="HN17" s="16"/>
      <c r="HO17" s="16"/>
      <c r="HP17" s="16"/>
      <c r="HQ17" s="16"/>
      <c r="HR17" s="16"/>
      <c r="HS17" s="19"/>
      <c r="HU17" s="16"/>
      <c r="HV17" s="16"/>
      <c r="HW17" s="16"/>
      <c r="HX17" s="16"/>
      <c r="HY17" s="16"/>
      <c r="HZ17" s="16"/>
      <c r="IA17" s="16"/>
      <c r="IB17" s="16"/>
      <c r="IC17" s="16"/>
      <c r="ID17" s="16"/>
      <c r="IE17" s="16"/>
      <c r="IF17" s="16"/>
      <c r="IG17" s="19"/>
    </row>
    <row r="18" spans="3:241" hidden="1" x14ac:dyDescent="0.2">
      <c r="C18" s="17" t="s">
        <v>11</v>
      </c>
      <c r="E18" s="16"/>
      <c r="F18" s="16"/>
      <c r="G18" s="16"/>
      <c r="H18" s="16"/>
      <c r="I18" s="16"/>
      <c r="J18" s="16"/>
      <c r="K18" s="16"/>
      <c r="L18" s="16"/>
      <c r="M18" s="16"/>
      <c r="N18" s="16"/>
      <c r="O18" s="16"/>
      <c r="P18" s="16"/>
      <c r="Q18" s="19"/>
      <c r="S18" s="16"/>
      <c r="T18" s="16"/>
      <c r="U18" s="16"/>
      <c r="V18" s="16"/>
      <c r="W18" s="16"/>
      <c r="X18" s="16"/>
      <c r="Y18" s="16"/>
      <c r="Z18" s="16"/>
      <c r="AA18" s="16"/>
      <c r="AB18" s="16"/>
      <c r="AC18" s="16"/>
      <c r="AD18" s="16"/>
      <c r="AE18" s="19"/>
      <c r="AG18" s="16"/>
      <c r="AH18" s="16"/>
      <c r="AI18" s="16"/>
      <c r="AJ18" s="16"/>
      <c r="AK18" s="16"/>
      <c r="AL18" s="16"/>
      <c r="AM18" s="16"/>
      <c r="AN18" s="16"/>
      <c r="AO18" s="16"/>
      <c r="AP18" s="16"/>
      <c r="AQ18" s="16"/>
      <c r="AR18" s="16"/>
      <c r="AS18" s="19"/>
      <c r="AU18" s="16"/>
      <c r="AV18" s="16"/>
      <c r="AW18" s="16"/>
      <c r="AX18" s="16"/>
      <c r="AY18" s="16"/>
      <c r="AZ18" s="16"/>
      <c r="BA18" s="16"/>
      <c r="BB18" s="16"/>
      <c r="BC18" s="16"/>
      <c r="BD18" s="16"/>
      <c r="BE18" s="16"/>
      <c r="BF18" s="16"/>
      <c r="BG18" s="19"/>
      <c r="BI18" s="16"/>
      <c r="BJ18" s="16"/>
      <c r="BK18" s="16"/>
      <c r="BL18" s="16"/>
      <c r="BM18" s="16"/>
      <c r="BN18" s="16"/>
      <c r="BO18" s="16"/>
      <c r="BP18" s="16"/>
      <c r="BQ18" s="16"/>
      <c r="BR18" s="16"/>
      <c r="BS18" s="16"/>
      <c r="BT18" s="16"/>
      <c r="BU18" s="19"/>
      <c r="BW18" s="16"/>
      <c r="BX18" s="16"/>
      <c r="BY18" s="16"/>
      <c r="BZ18" s="16"/>
      <c r="CA18" s="16"/>
      <c r="CB18" s="16"/>
      <c r="CC18" s="16"/>
      <c r="CD18" s="16"/>
      <c r="CE18" s="16"/>
      <c r="CF18" s="16"/>
      <c r="CG18" s="16"/>
      <c r="CH18" s="16"/>
      <c r="CI18" s="19"/>
      <c r="CK18" s="16"/>
      <c r="CL18" s="16"/>
      <c r="CM18" s="16"/>
      <c r="CN18" s="16"/>
      <c r="CO18" s="16"/>
      <c r="CP18" s="16"/>
      <c r="CQ18" s="16"/>
      <c r="CR18" s="16"/>
      <c r="CS18" s="16"/>
      <c r="CT18" s="16"/>
      <c r="CU18" s="16"/>
      <c r="CV18" s="16"/>
      <c r="CW18" s="19"/>
      <c r="CY18" s="16"/>
      <c r="CZ18" s="16"/>
      <c r="DA18" s="16"/>
      <c r="DB18" s="16"/>
      <c r="DC18" s="16"/>
      <c r="DD18" s="16"/>
      <c r="DE18" s="16"/>
      <c r="DF18" s="16"/>
      <c r="DG18" s="16"/>
      <c r="DH18" s="16"/>
      <c r="DI18" s="16"/>
      <c r="DJ18" s="16"/>
      <c r="DK18" s="19"/>
      <c r="DM18" s="16"/>
      <c r="DN18" s="16"/>
      <c r="DO18" s="16"/>
      <c r="DP18" s="16"/>
      <c r="DQ18" s="16"/>
      <c r="DR18" s="16"/>
      <c r="DS18" s="16"/>
      <c r="DT18" s="16"/>
      <c r="DU18" s="16"/>
      <c r="DV18" s="16"/>
      <c r="DW18" s="16"/>
      <c r="DX18" s="16"/>
      <c r="DY18" s="19"/>
      <c r="EA18" s="16"/>
      <c r="EB18" s="16"/>
      <c r="EC18" s="16"/>
      <c r="ED18" s="16"/>
      <c r="EE18" s="16"/>
      <c r="EF18" s="16"/>
      <c r="EG18" s="16"/>
      <c r="EH18" s="16"/>
      <c r="EI18" s="16"/>
      <c r="EJ18" s="16"/>
      <c r="EK18" s="16"/>
      <c r="EL18" s="16"/>
      <c r="EM18" s="19"/>
      <c r="EO18" s="16"/>
      <c r="EP18" s="16"/>
      <c r="EQ18" s="16"/>
      <c r="ER18" s="16"/>
      <c r="ES18" s="16"/>
      <c r="ET18" s="16"/>
      <c r="EU18" s="16"/>
      <c r="EV18" s="16"/>
      <c r="EW18" s="16"/>
      <c r="EX18" s="16"/>
      <c r="EY18" s="16"/>
      <c r="EZ18" s="16"/>
      <c r="FA18" s="19"/>
      <c r="FC18" s="16"/>
      <c r="FD18" s="16"/>
      <c r="FE18" s="16"/>
      <c r="FF18" s="16"/>
      <c r="FG18" s="16"/>
      <c r="FH18" s="16"/>
      <c r="FI18" s="16"/>
      <c r="FJ18" s="16"/>
      <c r="FK18" s="16"/>
      <c r="FL18" s="16"/>
      <c r="FM18" s="16"/>
      <c r="FN18" s="16"/>
      <c r="FO18" s="19"/>
      <c r="FQ18" s="16"/>
      <c r="FR18" s="16"/>
      <c r="FS18" s="16"/>
      <c r="FT18" s="16"/>
      <c r="FU18" s="16"/>
      <c r="FV18" s="16"/>
      <c r="FW18" s="16"/>
      <c r="FX18" s="16"/>
      <c r="FY18" s="16"/>
      <c r="FZ18" s="16"/>
      <c r="GA18" s="16"/>
      <c r="GB18" s="16"/>
      <c r="GC18" s="19"/>
      <c r="GE18" s="16"/>
      <c r="GF18" s="16"/>
      <c r="GG18" s="16"/>
      <c r="GH18" s="16"/>
      <c r="GI18" s="16"/>
      <c r="GJ18" s="16"/>
      <c r="GK18" s="16"/>
      <c r="GL18" s="16"/>
      <c r="GM18" s="16"/>
      <c r="GN18" s="16"/>
      <c r="GO18" s="16"/>
      <c r="GP18" s="16"/>
      <c r="GQ18" s="19"/>
      <c r="GS18" s="16"/>
      <c r="GT18" s="16"/>
      <c r="GU18" s="16"/>
      <c r="GV18" s="16"/>
      <c r="GW18" s="16"/>
      <c r="GX18" s="16"/>
      <c r="GY18" s="16"/>
      <c r="GZ18" s="16"/>
      <c r="HA18" s="16"/>
      <c r="HB18" s="16"/>
      <c r="HC18" s="16"/>
      <c r="HD18" s="16"/>
      <c r="HE18" s="19"/>
      <c r="HG18" s="16"/>
      <c r="HH18" s="16"/>
      <c r="HI18" s="16"/>
      <c r="HJ18" s="16"/>
      <c r="HK18" s="16"/>
      <c r="HL18" s="16"/>
      <c r="HM18" s="16"/>
      <c r="HN18" s="16"/>
      <c r="HO18" s="16"/>
      <c r="HP18" s="16"/>
      <c r="HQ18" s="16"/>
      <c r="HR18" s="16"/>
      <c r="HS18" s="19"/>
      <c r="HU18" s="16"/>
      <c r="HV18" s="16"/>
      <c r="HW18" s="16"/>
      <c r="HX18" s="16"/>
      <c r="HY18" s="16"/>
      <c r="HZ18" s="16"/>
      <c r="IA18" s="16"/>
      <c r="IB18" s="16"/>
      <c r="IC18" s="16"/>
      <c r="ID18" s="16"/>
      <c r="IE18" s="16"/>
      <c r="IF18" s="16"/>
      <c r="IG18" s="19"/>
    </row>
    <row r="19" spans="3:241" hidden="1" x14ac:dyDescent="0.2">
      <c r="C19" s="17" t="s">
        <v>11</v>
      </c>
      <c r="E19" s="16"/>
      <c r="F19" s="16"/>
      <c r="G19" s="16"/>
      <c r="H19" s="16"/>
      <c r="I19" s="16"/>
      <c r="J19" s="16"/>
      <c r="K19" s="16"/>
      <c r="L19" s="16"/>
      <c r="M19" s="16"/>
      <c r="N19" s="16"/>
      <c r="O19" s="16"/>
      <c r="P19" s="16"/>
      <c r="Q19" s="19">
        <f>SUM(E19:P19)</f>
        <v>0</v>
      </c>
      <c r="S19" s="16"/>
      <c r="T19" s="16"/>
      <c r="U19" s="16"/>
      <c r="V19" s="16"/>
      <c r="W19" s="16"/>
      <c r="X19" s="16"/>
      <c r="Y19" s="16"/>
      <c r="Z19" s="16"/>
      <c r="AA19" s="16"/>
      <c r="AB19" s="16"/>
      <c r="AC19" s="16"/>
      <c r="AD19" s="16"/>
      <c r="AE19" s="19">
        <f>SUM(S19:AD19)</f>
        <v>0</v>
      </c>
      <c r="AG19" s="16"/>
      <c r="AH19" s="16"/>
      <c r="AI19" s="16"/>
      <c r="AJ19" s="16"/>
      <c r="AK19" s="16"/>
      <c r="AL19" s="16"/>
      <c r="AM19" s="16"/>
      <c r="AN19" s="16"/>
      <c r="AO19" s="16"/>
      <c r="AP19" s="16"/>
      <c r="AQ19" s="16"/>
      <c r="AR19" s="16"/>
      <c r="AS19" s="19">
        <f>SUM(AG19:AR19)</f>
        <v>0</v>
      </c>
      <c r="AU19" s="16"/>
      <c r="AV19" s="16"/>
      <c r="AW19" s="16"/>
      <c r="AX19" s="16"/>
      <c r="AY19" s="16"/>
      <c r="AZ19" s="16"/>
      <c r="BA19" s="16"/>
      <c r="BB19" s="16"/>
      <c r="BC19" s="16"/>
      <c r="BD19" s="16"/>
      <c r="BE19" s="16"/>
      <c r="BF19" s="16"/>
      <c r="BG19" s="19">
        <f>SUM(AU19:BF19)</f>
        <v>0</v>
      </c>
      <c r="BI19" s="16"/>
      <c r="BJ19" s="16"/>
      <c r="BK19" s="16"/>
      <c r="BL19" s="16"/>
      <c r="BM19" s="16"/>
      <c r="BN19" s="16"/>
      <c r="BO19" s="16"/>
      <c r="BP19" s="16"/>
      <c r="BQ19" s="16"/>
      <c r="BR19" s="16"/>
      <c r="BS19" s="16"/>
      <c r="BT19" s="16"/>
      <c r="BU19" s="19">
        <f>SUM(BI19:BT19)</f>
        <v>0</v>
      </c>
      <c r="BW19" s="16"/>
      <c r="BX19" s="16"/>
      <c r="BY19" s="16"/>
      <c r="BZ19" s="16"/>
      <c r="CA19" s="16"/>
      <c r="CB19" s="16"/>
      <c r="CC19" s="16"/>
      <c r="CD19" s="16"/>
      <c r="CE19" s="16"/>
      <c r="CF19" s="16"/>
      <c r="CG19" s="16"/>
      <c r="CH19" s="16"/>
      <c r="CI19" s="19">
        <f>SUM(BW19:CH19)</f>
        <v>0</v>
      </c>
      <c r="CK19" s="16"/>
      <c r="CL19" s="16"/>
      <c r="CM19" s="16"/>
      <c r="CN19" s="16"/>
      <c r="CO19" s="16"/>
      <c r="CP19" s="16"/>
      <c r="CQ19" s="16"/>
      <c r="CR19" s="16"/>
      <c r="CS19" s="16"/>
      <c r="CT19" s="16"/>
      <c r="CU19" s="16"/>
      <c r="CV19" s="16"/>
      <c r="CW19" s="19">
        <f>SUM(CK19:CV19)</f>
        <v>0</v>
      </c>
      <c r="CY19" s="16"/>
      <c r="CZ19" s="16"/>
      <c r="DA19" s="16"/>
      <c r="DB19" s="16"/>
      <c r="DC19" s="16"/>
      <c r="DD19" s="16"/>
      <c r="DE19" s="16"/>
      <c r="DF19" s="16"/>
      <c r="DG19" s="16"/>
      <c r="DH19" s="16"/>
      <c r="DI19" s="16"/>
      <c r="DJ19" s="16"/>
      <c r="DK19" s="19">
        <f>SUM(CY19:DJ19)</f>
        <v>0</v>
      </c>
      <c r="DM19" s="16"/>
      <c r="DN19" s="16"/>
      <c r="DO19" s="16"/>
      <c r="DP19" s="16"/>
      <c r="DQ19" s="16"/>
      <c r="DR19" s="16"/>
      <c r="DS19" s="16"/>
      <c r="DT19" s="16"/>
      <c r="DU19" s="16"/>
      <c r="DV19" s="16"/>
      <c r="DW19" s="16"/>
      <c r="DX19" s="16"/>
      <c r="DY19" s="19">
        <f>SUM(DM19:DX19)</f>
        <v>0</v>
      </c>
      <c r="EA19" s="16"/>
      <c r="EB19" s="16"/>
      <c r="EC19" s="16"/>
      <c r="ED19" s="16"/>
      <c r="EE19" s="16"/>
      <c r="EF19" s="16"/>
      <c r="EG19" s="16"/>
      <c r="EH19" s="16"/>
      <c r="EI19" s="16"/>
      <c r="EJ19" s="16"/>
      <c r="EK19" s="16"/>
      <c r="EL19" s="16"/>
      <c r="EM19" s="19">
        <f>SUM(EA19:EL19)</f>
        <v>0</v>
      </c>
      <c r="EO19" s="16"/>
      <c r="EP19" s="16"/>
      <c r="EQ19" s="16"/>
      <c r="ER19" s="16"/>
      <c r="ES19" s="16"/>
      <c r="ET19" s="16"/>
      <c r="EU19" s="16"/>
      <c r="EV19" s="16"/>
      <c r="EW19" s="16"/>
      <c r="EX19" s="16"/>
      <c r="EY19" s="16"/>
      <c r="EZ19" s="16"/>
      <c r="FA19" s="19">
        <f>SUM(EO19:EZ19)</f>
        <v>0</v>
      </c>
      <c r="FC19" s="16"/>
      <c r="FD19" s="16"/>
      <c r="FE19" s="16"/>
      <c r="FF19" s="16"/>
      <c r="FG19" s="16"/>
      <c r="FH19" s="16"/>
      <c r="FI19" s="16"/>
      <c r="FJ19" s="16"/>
      <c r="FK19" s="16"/>
      <c r="FL19" s="16"/>
      <c r="FM19" s="16"/>
      <c r="FN19" s="16"/>
      <c r="FO19" s="19">
        <f>SUM(FC19:FN19)</f>
        <v>0</v>
      </c>
      <c r="FQ19" s="16"/>
      <c r="FR19" s="16"/>
      <c r="FS19" s="16"/>
      <c r="FT19" s="16"/>
      <c r="FU19" s="16"/>
      <c r="FV19" s="16"/>
      <c r="FW19" s="16"/>
      <c r="FX19" s="16"/>
      <c r="FY19" s="16"/>
      <c r="FZ19" s="16"/>
      <c r="GA19" s="16"/>
      <c r="GB19" s="16"/>
      <c r="GC19" s="19">
        <f>SUM(FQ19:GB19)</f>
        <v>0</v>
      </c>
      <c r="GE19" s="16"/>
      <c r="GF19" s="16"/>
      <c r="GG19" s="16"/>
      <c r="GH19" s="16"/>
      <c r="GI19" s="16"/>
      <c r="GJ19" s="16"/>
      <c r="GK19" s="16"/>
      <c r="GL19" s="16"/>
      <c r="GM19" s="16"/>
      <c r="GN19" s="16"/>
      <c r="GO19" s="16"/>
      <c r="GP19" s="16"/>
      <c r="GQ19" s="19">
        <f>SUM(GE19:GP19)</f>
        <v>0</v>
      </c>
      <c r="GS19" s="16"/>
      <c r="GT19" s="16"/>
      <c r="GU19" s="16"/>
      <c r="GV19" s="16"/>
      <c r="GW19" s="16"/>
      <c r="GX19" s="16"/>
      <c r="GY19" s="16"/>
      <c r="GZ19" s="16"/>
      <c r="HA19" s="16"/>
      <c r="HB19" s="16"/>
      <c r="HC19" s="16"/>
      <c r="HD19" s="16"/>
      <c r="HE19" s="19">
        <f>SUM(GS19:HD19)</f>
        <v>0</v>
      </c>
      <c r="HG19" s="16"/>
      <c r="HH19" s="16"/>
      <c r="HI19" s="16"/>
      <c r="HJ19" s="16"/>
      <c r="HK19" s="16"/>
      <c r="HL19" s="16"/>
      <c r="HM19" s="16"/>
      <c r="HN19" s="16"/>
      <c r="HO19" s="16"/>
      <c r="HP19" s="16"/>
      <c r="HQ19" s="16"/>
      <c r="HR19" s="16"/>
      <c r="HS19" s="19">
        <f>SUM(HG19:HR19)</f>
        <v>0</v>
      </c>
      <c r="HU19" s="16"/>
      <c r="HV19" s="16"/>
      <c r="HW19" s="16"/>
      <c r="HX19" s="16"/>
      <c r="HY19" s="16"/>
      <c r="HZ19" s="16"/>
      <c r="IA19" s="16"/>
      <c r="IB19" s="16"/>
      <c r="IC19" s="16"/>
      <c r="ID19" s="16"/>
      <c r="IE19" s="16"/>
      <c r="IF19" s="16"/>
      <c r="IG19" s="19">
        <f>SUM(HU19:IF19)</f>
        <v>0</v>
      </c>
    </row>
    <row r="20" spans="3:241" hidden="1" x14ac:dyDescent="0.2">
      <c r="C20" s="17" t="s">
        <v>11</v>
      </c>
      <c r="E20" s="16"/>
      <c r="F20" s="16"/>
      <c r="G20" s="16"/>
      <c r="H20" s="16"/>
      <c r="I20" s="16"/>
      <c r="J20" s="16"/>
      <c r="K20" s="16"/>
      <c r="L20" s="16"/>
      <c r="M20" s="16"/>
      <c r="N20" s="16"/>
      <c r="O20" s="16"/>
      <c r="P20" s="16"/>
      <c r="Q20" s="19">
        <f>SUM(E20:P20)</f>
        <v>0</v>
      </c>
      <c r="S20" s="16"/>
      <c r="T20" s="16"/>
      <c r="U20" s="16"/>
      <c r="V20" s="16"/>
      <c r="W20" s="16"/>
      <c r="X20" s="16"/>
      <c r="Y20" s="16"/>
      <c r="Z20" s="16"/>
      <c r="AA20" s="16"/>
      <c r="AB20" s="16"/>
      <c r="AC20" s="16"/>
      <c r="AD20" s="16"/>
      <c r="AE20" s="19">
        <f>SUM(S20:AD20)</f>
        <v>0</v>
      </c>
      <c r="AG20" s="16"/>
      <c r="AH20" s="16"/>
      <c r="AI20" s="16"/>
      <c r="AJ20" s="16"/>
      <c r="AK20" s="16"/>
      <c r="AL20" s="16"/>
      <c r="AM20" s="16"/>
      <c r="AN20" s="16"/>
      <c r="AO20" s="16"/>
      <c r="AP20" s="16"/>
      <c r="AQ20" s="16"/>
      <c r="AR20" s="16"/>
      <c r="AS20" s="19">
        <f>SUM(AG20:AR20)</f>
        <v>0</v>
      </c>
      <c r="AU20" s="16"/>
      <c r="AV20" s="16"/>
      <c r="AW20" s="16"/>
      <c r="AX20" s="16"/>
      <c r="AY20" s="16"/>
      <c r="AZ20" s="16"/>
      <c r="BA20" s="16"/>
      <c r="BB20" s="16"/>
      <c r="BC20" s="16"/>
      <c r="BD20" s="16"/>
      <c r="BE20" s="16"/>
      <c r="BF20" s="16"/>
      <c r="BG20" s="19">
        <f>SUM(AU20:BF20)</f>
        <v>0</v>
      </c>
      <c r="BI20" s="16"/>
      <c r="BJ20" s="16"/>
      <c r="BK20" s="16"/>
      <c r="BL20" s="16"/>
      <c r="BM20" s="16"/>
      <c r="BN20" s="16"/>
      <c r="BO20" s="16"/>
      <c r="BP20" s="16"/>
      <c r="BQ20" s="16"/>
      <c r="BR20" s="16"/>
      <c r="BS20" s="16"/>
      <c r="BT20" s="16"/>
      <c r="BU20" s="19">
        <f>SUM(BI20:BT20)</f>
        <v>0</v>
      </c>
      <c r="BW20" s="16"/>
      <c r="BX20" s="16"/>
      <c r="BY20" s="16"/>
      <c r="BZ20" s="16"/>
      <c r="CA20" s="16"/>
      <c r="CB20" s="16"/>
      <c r="CC20" s="16"/>
      <c r="CD20" s="16"/>
      <c r="CE20" s="16"/>
      <c r="CF20" s="16"/>
      <c r="CG20" s="16"/>
      <c r="CH20" s="16"/>
      <c r="CI20" s="19">
        <f>SUM(BW20:CH20)</f>
        <v>0</v>
      </c>
      <c r="CK20" s="16"/>
      <c r="CL20" s="16"/>
      <c r="CM20" s="16"/>
      <c r="CN20" s="16"/>
      <c r="CO20" s="16"/>
      <c r="CP20" s="16"/>
      <c r="CQ20" s="16"/>
      <c r="CR20" s="16"/>
      <c r="CS20" s="16"/>
      <c r="CT20" s="16"/>
      <c r="CU20" s="16"/>
      <c r="CV20" s="16"/>
      <c r="CW20" s="19">
        <f>SUM(CK20:CV20)</f>
        <v>0</v>
      </c>
      <c r="CY20" s="16"/>
      <c r="CZ20" s="16"/>
      <c r="DA20" s="16"/>
      <c r="DB20" s="16"/>
      <c r="DC20" s="16"/>
      <c r="DD20" s="16"/>
      <c r="DE20" s="16"/>
      <c r="DF20" s="16"/>
      <c r="DG20" s="16"/>
      <c r="DH20" s="16"/>
      <c r="DI20" s="16"/>
      <c r="DJ20" s="16"/>
      <c r="DK20" s="19">
        <f>SUM(CY20:DJ20)</f>
        <v>0</v>
      </c>
      <c r="DM20" s="16"/>
      <c r="DN20" s="16"/>
      <c r="DO20" s="16"/>
      <c r="DP20" s="16"/>
      <c r="DQ20" s="16"/>
      <c r="DR20" s="16"/>
      <c r="DS20" s="16"/>
      <c r="DT20" s="16"/>
      <c r="DU20" s="16"/>
      <c r="DV20" s="16"/>
      <c r="DW20" s="16"/>
      <c r="DX20" s="16"/>
      <c r="DY20" s="19">
        <f>SUM(DM20:DX20)</f>
        <v>0</v>
      </c>
      <c r="EA20" s="16"/>
      <c r="EB20" s="16"/>
      <c r="EC20" s="16"/>
      <c r="ED20" s="16"/>
      <c r="EE20" s="16"/>
      <c r="EF20" s="16"/>
      <c r="EG20" s="16"/>
      <c r="EH20" s="16"/>
      <c r="EI20" s="16"/>
      <c r="EJ20" s="16"/>
      <c r="EK20" s="16"/>
      <c r="EL20" s="16"/>
      <c r="EM20" s="19">
        <f>SUM(EA20:EL20)</f>
        <v>0</v>
      </c>
      <c r="EO20" s="16"/>
      <c r="EP20" s="16"/>
      <c r="EQ20" s="16"/>
      <c r="ER20" s="16"/>
      <c r="ES20" s="16"/>
      <c r="ET20" s="16"/>
      <c r="EU20" s="16"/>
      <c r="EV20" s="16"/>
      <c r="EW20" s="16"/>
      <c r="EX20" s="16"/>
      <c r="EY20" s="16"/>
      <c r="EZ20" s="16"/>
      <c r="FA20" s="19">
        <f>SUM(EO20:EZ20)</f>
        <v>0</v>
      </c>
      <c r="FC20" s="16"/>
      <c r="FD20" s="16"/>
      <c r="FE20" s="16"/>
      <c r="FF20" s="16"/>
      <c r="FG20" s="16"/>
      <c r="FH20" s="16"/>
      <c r="FI20" s="16"/>
      <c r="FJ20" s="16"/>
      <c r="FK20" s="16"/>
      <c r="FL20" s="16"/>
      <c r="FM20" s="16"/>
      <c r="FN20" s="16"/>
      <c r="FO20" s="19">
        <f>SUM(FC20:FN20)</f>
        <v>0</v>
      </c>
      <c r="FQ20" s="16"/>
      <c r="FR20" s="16"/>
      <c r="FS20" s="16"/>
      <c r="FT20" s="16"/>
      <c r="FU20" s="16"/>
      <c r="FV20" s="16"/>
      <c r="FW20" s="16"/>
      <c r="FX20" s="16"/>
      <c r="FY20" s="16"/>
      <c r="FZ20" s="16"/>
      <c r="GA20" s="16"/>
      <c r="GB20" s="16"/>
      <c r="GC20" s="19">
        <f>SUM(FQ20:GB20)</f>
        <v>0</v>
      </c>
      <c r="GE20" s="16"/>
      <c r="GF20" s="16"/>
      <c r="GG20" s="16"/>
      <c r="GH20" s="16"/>
      <c r="GI20" s="16"/>
      <c r="GJ20" s="16"/>
      <c r="GK20" s="16"/>
      <c r="GL20" s="16"/>
      <c r="GM20" s="16"/>
      <c r="GN20" s="16"/>
      <c r="GO20" s="16"/>
      <c r="GP20" s="16"/>
      <c r="GQ20" s="19">
        <f>SUM(GE20:GP20)</f>
        <v>0</v>
      </c>
      <c r="GS20" s="16"/>
      <c r="GT20" s="16"/>
      <c r="GU20" s="16"/>
      <c r="GV20" s="16"/>
      <c r="GW20" s="16"/>
      <c r="GX20" s="16"/>
      <c r="GY20" s="16"/>
      <c r="GZ20" s="16"/>
      <c r="HA20" s="16"/>
      <c r="HB20" s="16"/>
      <c r="HC20" s="16"/>
      <c r="HD20" s="16"/>
      <c r="HE20" s="19">
        <f>SUM(GS20:HD20)</f>
        <v>0</v>
      </c>
      <c r="HG20" s="16"/>
      <c r="HH20" s="16"/>
      <c r="HI20" s="16"/>
      <c r="HJ20" s="16"/>
      <c r="HK20" s="16"/>
      <c r="HL20" s="16"/>
      <c r="HM20" s="16"/>
      <c r="HN20" s="16"/>
      <c r="HO20" s="16"/>
      <c r="HP20" s="16"/>
      <c r="HQ20" s="16"/>
      <c r="HR20" s="16"/>
      <c r="HS20" s="19">
        <f>SUM(HG20:HR20)</f>
        <v>0</v>
      </c>
      <c r="HU20" s="16"/>
      <c r="HV20" s="16"/>
      <c r="HW20" s="16"/>
      <c r="HX20" s="16"/>
      <c r="HY20" s="16"/>
      <c r="HZ20" s="16"/>
      <c r="IA20" s="16"/>
      <c r="IB20" s="16"/>
      <c r="IC20" s="16"/>
      <c r="ID20" s="16"/>
      <c r="IE20" s="16"/>
      <c r="IF20" s="16"/>
      <c r="IG20" s="19">
        <f>SUM(HU20:IF20)</f>
        <v>0</v>
      </c>
    </row>
    <row r="21" spans="3:241" hidden="1" x14ac:dyDescent="0.2">
      <c r="C21" s="17" t="s">
        <v>11</v>
      </c>
      <c r="E21" s="16"/>
      <c r="F21" s="16" t="s">
        <v>9</v>
      </c>
      <c r="G21" s="16"/>
      <c r="H21" s="16"/>
      <c r="I21" s="16"/>
      <c r="J21" s="16"/>
      <c r="K21" s="16"/>
      <c r="L21" s="16"/>
      <c r="M21" s="16"/>
      <c r="N21" s="16"/>
      <c r="O21" s="16"/>
      <c r="P21" s="16"/>
      <c r="Q21" s="19">
        <f>SUM(E21:P21)</f>
        <v>0</v>
      </c>
      <c r="S21" s="16"/>
      <c r="T21" s="16" t="s">
        <v>9</v>
      </c>
      <c r="U21" s="16"/>
      <c r="V21" s="16"/>
      <c r="W21" s="16"/>
      <c r="X21" s="16"/>
      <c r="Y21" s="16"/>
      <c r="Z21" s="16"/>
      <c r="AA21" s="16"/>
      <c r="AB21" s="16"/>
      <c r="AC21" s="16"/>
      <c r="AD21" s="16"/>
      <c r="AE21" s="19">
        <f>SUM(S21:AD21)</f>
        <v>0</v>
      </c>
      <c r="AG21" s="16"/>
      <c r="AH21" s="16" t="s">
        <v>9</v>
      </c>
      <c r="AI21" s="16"/>
      <c r="AJ21" s="16"/>
      <c r="AK21" s="16"/>
      <c r="AL21" s="16"/>
      <c r="AM21" s="16"/>
      <c r="AN21" s="16"/>
      <c r="AO21" s="16"/>
      <c r="AP21" s="16"/>
      <c r="AQ21" s="16"/>
      <c r="AR21" s="16"/>
      <c r="AS21" s="19">
        <f>SUM(AG21:AR21)</f>
        <v>0</v>
      </c>
      <c r="AU21" s="16"/>
      <c r="AV21" s="16" t="s">
        <v>9</v>
      </c>
      <c r="AW21" s="16"/>
      <c r="AX21" s="16"/>
      <c r="AY21" s="16"/>
      <c r="AZ21" s="16"/>
      <c r="BA21" s="16"/>
      <c r="BB21" s="16"/>
      <c r="BC21" s="16"/>
      <c r="BD21" s="16"/>
      <c r="BE21" s="16"/>
      <c r="BF21" s="16"/>
      <c r="BG21" s="19">
        <f>SUM(AU21:BF21)</f>
        <v>0</v>
      </c>
      <c r="BI21" s="16"/>
      <c r="BJ21" s="16" t="s">
        <v>9</v>
      </c>
      <c r="BK21" s="16"/>
      <c r="BL21" s="16"/>
      <c r="BM21" s="16"/>
      <c r="BN21" s="16"/>
      <c r="BO21" s="16"/>
      <c r="BP21" s="16"/>
      <c r="BQ21" s="16"/>
      <c r="BR21" s="16"/>
      <c r="BS21" s="16"/>
      <c r="BT21" s="16"/>
      <c r="BU21" s="19">
        <f>SUM(BI21:BT21)</f>
        <v>0</v>
      </c>
      <c r="BW21" s="16"/>
      <c r="BX21" s="16" t="s">
        <v>9</v>
      </c>
      <c r="BY21" s="16"/>
      <c r="BZ21" s="16"/>
      <c r="CA21" s="16"/>
      <c r="CB21" s="16"/>
      <c r="CC21" s="16"/>
      <c r="CD21" s="16"/>
      <c r="CE21" s="16"/>
      <c r="CF21" s="16"/>
      <c r="CG21" s="16"/>
      <c r="CH21" s="16"/>
      <c r="CI21" s="19">
        <f>SUM(BW21:CH21)</f>
        <v>0</v>
      </c>
      <c r="CK21" s="16"/>
      <c r="CL21" s="16" t="s">
        <v>9</v>
      </c>
      <c r="CM21" s="16"/>
      <c r="CN21" s="16"/>
      <c r="CO21" s="16"/>
      <c r="CP21" s="16"/>
      <c r="CQ21" s="16"/>
      <c r="CR21" s="16"/>
      <c r="CS21" s="16"/>
      <c r="CT21" s="16"/>
      <c r="CU21" s="16"/>
      <c r="CV21" s="16"/>
      <c r="CW21" s="19">
        <f>SUM(CK21:CV21)</f>
        <v>0</v>
      </c>
      <c r="CY21" s="16"/>
      <c r="CZ21" s="16" t="s">
        <v>9</v>
      </c>
      <c r="DA21" s="16"/>
      <c r="DB21" s="16"/>
      <c r="DC21" s="16"/>
      <c r="DD21" s="16"/>
      <c r="DE21" s="16"/>
      <c r="DF21" s="16"/>
      <c r="DG21" s="16"/>
      <c r="DH21" s="16"/>
      <c r="DI21" s="16"/>
      <c r="DJ21" s="16"/>
      <c r="DK21" s="19">
        <f>SUM(CY21:DJ21)</f>
        <v>0</v>
      </c>
      <c r="DM21" s="16"/>
      <c r="DN21" s="16" t="s">
        <v>9</v>
      </c>
      <c r="DO21" s="16"/>
      <c r="DP21" s="16"/>
      <c r="DQ21" s="16"/>
      <c r="DR21" s="16"/>
      <c r="DS21" s="16"/>
      <c r="DT21" s="16"/>
      <c r="DU21" s="16"/>
      <c r="DV21" s="16"/>
      <c r="DW21" s="16"/>
      <c r="DX21" s="16"/>
      <c r="DY21" s="19">
        <f>SUM(DM21:DX21)</f>
        <v>0</v>
      </c>
      <c r="EA21" s="16"/>
      <c r="EB21" s="16" t="s">
        <v>9</v>
      </c>
      <c r="EC21" s="16"/>
      <c r="ED21" s="16"/>
      <c r="EE21" s="16"/>
      <c r="EF21" s="16"/>
      <c r="EG21" s="16"/>
      <c r="EH21" s="16"/>
      <c r="EI21" s="16"/>
      <c r="EJ21" s="16"/>
      <c r="EK21" s="16"/>
      <c r="EL21" s="16"/>
      <c r="EM21" s="19">
        <f>SUM(EA21:EL21)</f>
        <v>0</v>
      </c>
      <c r="EO21" s="16"/>
      <c r="EP21" s="16" t="s">
        <v>9</v>
      </c>
      <c r="EQ21" s="16"/>
      <c r="ER21" s="16"/>
      <c r="ES21" s="16"/>
      <c r="ET21" s="16"/>
      <c r="EU21" s="16"/>
      <c r="EV21" s="16"/>
      <c r="EW21" s="16"/>
      <c r="EX21" s="16"/>
      <c r="EY21" s="16"/>
      <c r="EZ21" s="16"/>
      <c r="FA21" s="19">
        <f>SUM(EO21:EZ21)</f>
        <v>0</v>
      </c>
      <c r="FC21" s="16"/>
      <c r="FD21" s="16" t="s">
        <v>9</v>
      </c>
      <c r="FE21" s="16"/>
      <c r="FF21" s="16"/>
      <c r="FG21" s="16"/>
      <c r="FH21" s="16"/>
      <c r="FI21" s="16"/>
      <c r="FJ21" s="16"/>
      <c r="FK21" s="16"/>
      <c r="FL21" s="16"/>
      <c r="FM21" s="16"/>
      <c r="FN21" s="16"/>
      <c r="FO21" s="19">
        <f>SUM(FC21:FN21)</f>
        <v>0</v>
      </c>
      <c r="FQ21" s="16"/>
      <c r="FR21" s="16" t="s">
        <v>9</v>
      </c>
      <c r="FS21" s="16"/>
      <c r="FT21" s="16"/>
      <c r="FU21" s="16"/>
      <c r="FV21" s="16"/>
      <c r="FW21" s="16"/>
      <c r="FX21" s="16"/>
      <c r="FY21" s="16"/>
      <c r="FZ21" s="16"/>
      <c r="GA21" s="16"/>
      <c r="GB21" s="16"/>
      <c r="GC21" s="19">
        <f>SUM(FQ21:GB21)</f>
        <v>0</v>
      </c>
      <c r="GE21" s="16"/>
      <c r="GF21" s="16" t="s">
        <v>9</v>
      </c>
      <c r="GG21" s="16"/>
      <c r="GH21" s="16"/>
      <c r="GI21" s="16"/>
      <c r="GJ21" s="16"/>
      <c r="GK21" s="16"/>
      <c r="GL21" s="16"/>
      <c r="GM21" s="16"/>
      <c r="GN21" s="16"/>
      <c r="GO21" s="16"/>
      <c r="GP21" s="16"/>
      <c r="GQ21" s="19">
        <f>SUM(GE21:GP21)</f>
        <v>0</v>
      </c>
      <c r="GS21" s="16"/>
      <c r="GT21" s="16" t="s">
        <v>9</v>
      </c>
      <c r="GU21" s="16"/>
      <c r="GV21" s="16"/>
      <c r="GW21" s="16"/>
      <c r="GX21" s="16"/>
      <c r="GY21" s="16"/>
      <c r="GZ21" s="16"/>
      <c r="HA21" s="16"/>
      <c r="HB21" s="16"/>
      <c r="HC21" s="16"/>
      <c r="HD21" s="16"/>
      <c r="HE21" s="19">
        <f>SUM(GS21:HD21)</f>
        <v>0</v>
      </c>
      <c r="HG21" s="16"/>
      <c r="HH21" s="16" t="s">
        <v>9</v>
      </c>
      <c r="HI21" s="16"/>
      <c r="HJ21" s="16"/>
      <c r="HK21" s="16"/>
      <c r="HL21" s="16"/>
      <c r="HM21" s="16"/>
      <c r="HN21" s="16"/>
      <c r="HO21" s="16"/>
      <c r="HP21" s="16"/>
      <c r="HQ21" s="16"/>
      <c r="HR21" s="16"/>
      <c r="HS21" s="19">
        <f>SUM(HG21:HR21)</f>
        <v>0</v>
      </c>
      <c r="HU21" s="16"/>
      <c r="HV21" s="16" t="s">
        <v>9</v>
      </c>
      <c r="HW21" s="16"/>
      <c r="HX21" s="16"/>
      <c r="HY21" s="16"/>
      <c r="HZ21" s="16"/>
      <c r="IA21" s="16"/>
      <c r="IB21" s="16"/>
      <c r="IC21" s="16"/>
      <c r="ID21" s="16"/>
      <c r="IE21" s="16"/>
      <c r="IF21" s="16"/>
      <c r="IG21" s="19">
        <f>SUM(HU21:IF21)</f>
        <v>0</v>
      </c>
    </row>
    <row r="22" spans="3:241" hidden="1" x14ac:dyDescent="0.2">
      <c r="C22" s="17" t="s">
        <v>11</v>
      </c>
      <c r="E22" s="16"/>
      <c r="F22" s="16"/>
      <c r="G22" s="16"/>
      <c r="H22" s="16"/>
      <c r="I22" s="16"/>
      <c r="J22" s="16"/>
      <c r="K22" s="16"/>
      <c r="L22" s="16"/>
      <c r="M22" s="16"/>
      <c r="N22" s="16"/>
      <c r="O22" s="16"/>
      <c r="P22" s="16"/>
      <c r="Q22" s="19">
        <f>SUM(E22:P22)</f>
        <v>0</v>
      </c>
      <c r="S22" s="16"/>
      <c r="T22" s="16"/>
      <c r="U22" s="16"/>
      <c r="V22" s="16"/>
      <c r="W22" s="16"/>
      <c r="X22" s="16"/>
      <c r="Y22" s="16"/>
      <c r="Z22" s="16"/>
      <c r="AA22" s="16"/>
      <c r="AB22" s="16"/>
      <c r="AC22" s="16"/>
      <c r="AD22" s="16"/>
      <c r="AE22" s="19">
        <f>SUM(S22:AD22)</f>
        <v>0</v>
      </c>
      <c r="AG22" s="16"/>
      <c r="AH22" s="16"/>
      <c r="AI22" s="16"/>
      <c r="AJ22" s="16"/>
      <c r="AK22" s="16"/>
      <c r="AL22" s="16"/>
      <c r="AM22" s="16"/>
      <c r="AN22" s="16"/>
      <c r="AO22" s="16"/>
      <c r="AP22" s="16"/>
      <c r="AQ22" s="16"/>
      <c r="AR22" s="16"/>
      <c r="AS22" s="19">
        <f>SUM(AG22:AR22)</f>
        <v>0</v>
      </c>
      <c r="AU22" s="16"/>
      <c r="AV22" s="16"/>
      <c r="AW22" s="16"/>
      <c r="AX22" s="16"/>
      <c r="AY22" s="16"/>
      <c r="AZ22" s="16"/>
      <c r="BA22" s="16"/>
      <c r="BB22" s="16"/>
      <c r="BC22" s="16"/>
      <c r="BD22" s="16"/>
      <c r="BE22" s="16"/>
      <c r="BF22" s="16"/>
      <c r="BG22" s="19">
        <f>SUM(AU22:BF22)</f>
        <v>0</v>
      </c>
      <c r="BI22" s="16"/>
      <c r="BJ22" s="16"/>
      <c r="BK22" s="16"/>
      <c r="BL22" s="16"/>
      <c r="BM22" s="16"/>
      <c r="BN22" s="16"/>
      <c r="BO22" s="16"/>
      <c r="BP22" s="16"/>
      <c r="BQ22" s="16"/>
      <c r="BR22" s="16"/>
      <c r="BS22" s="16"/>
      <c r="BT22" s="16"/>
      <c r="BU22" s="19">
        <f>SUM(BI22:BT22)</f>
        <v>0</v>
      </c>
      <c r="BW22" s="16"/>
      <c r="BX22" s="16"/>
      <c r="BY22" s="16"/>
      <c r="BZ22" s="16"/>
      <c r="CA22" s="16"/>
      <c r="CB22" s="16"/>
      <c r="CC22" s="16"/>
      <c r="CD22" s="16"/>
      <c r="CE22" s="16"/>
      <c r="CF22" s="16"/>
      <c r="CG22" s="16"/>
      <c r="CH22" s="16"/>
      <c r="CI22" s="19">
        <f>SUM(BW22:CH22)</f>
        <v>0</v>
      </c>
      <c r="CK22" s="16"/>
      <c r="CL22" s="16"/>
      <c r="CM22" s="16"/>
      <c r="CN22" s="16"/>
      <c r="CO22" s="16"/>
      <c r="CP22" s="16"/>
      <c r="CQ22" s="16"/>
      <c r="CR22" s="16"/>
      <c r="CS22" s="16"/>
      <c r="CT22" s="16"/>
      <c r="CU22" s="16"/>
      <c r="CV22" s="16"/>
      <c r="CW22" s="19">
        <f>SUM(CK22:CV22)</f>
        <v>0</v>
      </c>
      <c r="CY22" s="16"/>
      <c r="CZ22" s="16"/>
      <c r="DA22" s="16"/>
      <c r="DB22" s="16"/>
      <c r="DC22" s="16"/>
      <c r="DD22" s="16"/>
      <c r="DE22" s="16"/>
      <c r="DF22" s="16"/>
      <c r="DG22" s="16"/>
      <c r="DH22" s="16"/>
      <c r="DI22" s="16"/>
      <c r="DJ22" s="16"/>
      <c r="DK22" s="19">
        <f>SUM(CY22:DJ22)</f>
        <v>0</v>
      </c>
      <c r="DM22" s="16"/>
      <c r="DN22" s="16"/>
      <c r="DO22" s="16"/>
      <c r="DP22" s="16"/>
      <c r="DQ22" s="16"/>
      <c r="DR22" s="16"/>
      <c r="DS22" s="16"/>
      <c r="DT22" s="16"/>
      <c r="DU22" s="16"/>
      <c r="DV22" s="16"/>
      <c r="DW22" s="16"/>
      <c r="DX22" s="16"/>
      <c r="DY22" s="19">
        <f>SUM(DM22:DX22)</f>
        <v>0</v>
      </c>
      <c r="EA22" s="16"/>
      <c r="EB22" s="16"/>
      <c r="EC22" s="16"/>
      <c r="ED22" s="16"/>
      <c r="EE22" s="16"/>
      <c r="EF22" s="16"/>
      <c r="EG22" s="16"/>
      <c r="EH22" s="16"/>
      <c r="EI22" s="16"/>
      <c r="EJ22" s="16"/>
      <c r="EK22" s="16"/>
      <c r="EL22" s="16"/>
      <c r="EM22" s="19">
        <f>SUM(EA22:EL22)</f>
        <v>0</v>
      </c>
      <c r="EO22" s="16"/>
      <c r="EP22" s="16"/>
      <c r="EQ22" s="16"/>
      <c r="ER22" s="16"/>
      <c r="ES22" s="16"/>
      <c r="ET22" s="16"/>
      <c r="EU22" s="16"/>
      <c r="EV22" s="16"/>
      <c r="EW22" s="16"/>
      <c r="EX22" s="16"/>
      <c r="EY22" s="16"/>
      <c r="EZ22" s="16"/>
      <c r="FA22" s="19">
        <f>SUM(EO22:EZ22)</f>
        <v>0</v>
      </c>
      <c r="FC22" s="16"/>
      <c r="FD22" s="16"/>
      <c r="FE22" s="16"/>
      <c r="FF22" s="16"/>
      <c r="FG22" s="16"/>
      <c r="FH22" s="16"/>
      <c r="FI22" s="16"/>
      <c r="FJ22" s="16"/>
      <c r="FK22" s="16"/>
      <c r="FL22" s="16"/>
      <c r="FM22" s="16"/>
      <c r="FN22" s="16"/>
      <c r="FO22" s="19">
        <f>SUM(FC22:FN22)</f>
        <v>0</v>
      </c>
      <c r="FQ22" s="16"/>
      <c r="FR22" s="16"/>
      <c r="FS22" s="16"/>
      <c r="FT22" s="16"/>
      <c r="FU22" s="16"/>
      <c r="FV22" s="16"/>
      <c r="FW22" s="16"/>
      <c r="FX22" s="16"/>
      <c r="FY22" s="16"/>
      <c r="FZ22" s="16"/>
      <c r="GA22" s="16"/>
      <c r="GB22" s="16"/>
      <c r="GC22" s="19">
        <f>SUM(FQ22:GB22)</f>
        <v>0</v>
      </c>
      <c r="GE22" s="16"/>
      <c r="GF22" s="16"/>
      <c r="GG22" s="16"/>
      <c r="GH22" s="16"/>
      <c r="GI22" s="16"/>
      <c r="GJ22" s="16"/>
      <c r="GK22" s="16"/>
      <c r="GL22" s="16"/>
      <c r="GM22" s="16"/>
      <c r="GN22" s="16"/>
      <c r="GO22" s="16"/>
      <c r="GP22" s="16"/>
      <c r="GQ22" s="19">
        <f>SUM(GE22:GP22)</f>
        <v>0</v>
      </c>
      <c r="GS22" s="16"/>
      <c r="GT22" s="16"/>
      <c r="GU22" s="16"/>
      <c r="GV22" s="16"/>
      <c r="GW22" s="16"/>
      <c r="GX22" s="16"/>
      <c r="GY22" s="16"/>
      <c r="GZ22" s="16"/>
      <c r="HA22" s="16"/>
      <c r="HB22" s="16"/>
      <c r="HC22" s="16"/>
      <c r="HD22" s="16"/>
      <c r="HE22" s="19">
        <f>SUM(GS22:HD22)</f>
        <v>0</v>
      </c>
      <c r="HG22" s="16"/>
      <c r="HH22" s="16"/>
      <c r="HI22" s="16"/>
      <c r="HJ22" s="16"/>
      <c r="HK22" s="16"/>
      <c r="HL22" s="16"/>
      <c r="HM22" s="16"/>
      <c r="HN22" s="16"/>
      <c r="HO22" s="16"/>
      <c r="HP22" s="16"/>
      <c r="HQ22" s="16"/>
      <c r="HR22" s="16"/>
      <c r="HS22" s="19">
        <f>SUM(HG22:HR22)</f>
        <v>0</v>
      </c>
      <c r="HU22" s="16"/>
      <c r="HV22" s="16"/>
      <c r="HW22" s="16"/>
      <c r="HX22" s="16"/>
      <c r="HY22" s="16"/>
      <c r="HZ22" s="16"/>
      <c r="IA22" s="16"/>
      <c r="IB22" s="16"/>
      <c r="IC22" s="16"/>
      <c r="ID22" s="16"/>
      <c r="IE22" s="16"/>
      <c r="IF22" s="16"/>
      <c r="IG22" s="19">
        <f>SUM(HU22:IF22)</f>
        <v>0</v>
      </c>
    </row>
    <row r="23" spans="3:241" hidden="1" x14ac:dyDescent="0.2">
      <c r="C23" s="17" t="s">
        <v>11</v>
      </c>
      <c r="E23" s="16"/>
      <c r="F23" s="16"/>
      <c r="G23" s="16"/>
      <c r="H23" s="16"/>
      <c r="I23" s="16"/>
      <c r="J23" s="16"/>
      <c r="K23" s="16"/>
      <c r="L23" s="16"/>
      <c r="M23" s="16"/>
      <c r="N23" s="16"/>
      <c r="O23" s="16"/>
      <c r="P23" s="16"/>
      <c r="Q23" s="19">
        <f>SUM(E23:P23)</f>
        <v>0</v>
      </c>
      <c r="S23" s="16"/>
      <c r="T23" s="16"/>
      <c r="U23" s="16"/>
      <c r="V23" s="16"/>
      <c r="W23" s="16"/>
      <c r="X23" s="16"/>
      <c r="Y23" s="16"/>
      <c r="Z23" s="16"/>
      <c r="AA23" s="16"/>
      <c r="AB23" s="16"/>
      <c r="AC23" s="16"/>
      <c r="AD23" s="16"/>
      <c r="AE23" s="19">
        <f>SUM(S23:AD23)</f>
        <v>0</v>
      </c>
      <c r="AG23" s="16"/>
      <c r="AH23" s="16"/>
      <c r="AI23" s="16"/>
      <c r="AJ23" s="16"/>
      <c r="AK23" s="16"/>
      <c r="AL23" s="16"/>
      <c r="AM23" s="16"/>
      <c r="AN23" s="16"/>
      <c r="AO23" s="16"/>
      <c r="AP23" s="16"/>
      <c r="AQ23" s="16"/>
      <c r="AR23" s="16"/>
      <c r="AS23" s="19">
        <f>SUM(AG23:AR23)</f>
        <v>0</v>
      </c>
      <c r="AU23" s="16"/>
      <c r="AV23" s="16"/>
      <c r="AW23" s="16"/>
      <c r="AX23" s="16"/>
      <c r="AY23" s="16"/>
      <c r="AZ23" s="16"/>
      <c r="BA23" s="16"/>
      <c r="BB23" s="16"/>
      <c r="BC23" s="16"/>
      <c r="BD23" s="16"/>
      <c r="BE23" s="16"/>
      <c r="BF23" s="16"/>
      <c r="BG23" s="19">
        <f>SUM(AU23:BF23)</f>
        <v>0</v>
      </c>
      <c r="BI23" s="16"/>
      <c r="BJ23" s="16"/>
      <c r="BK23" s="16"/>
      <c r="BL23" s="16"/>
      <c r="BM23" s="16"/>
      <c r="BN23" s="16"/>
      <c r="BO23" s="16"/>
      <c r="BP23" s="16"/>
      <c r="BQ23" s="16"/>
      <c r="BR23" s="16"/>
      <c r="BS23" s="16"/>
      <c r="BT23" s="16"/>
      <c r="BU23" s="19">
        <f>SUM(BI23:BT23)</f>
        <v>0</v>
      </c>
      <c r="BW23" s="16"/>
      <c r="BX23" s="16"/>
      <c r="BY23" s="16"/>
      <c r="BZ23" s="16"/>
      <c r="CA23" s="16"/>
      <c r="CB23" s="16"/>
      <c r="CC23" s="16"/>
      <c r="CD23" s="16"/>
      <c r="CE23" s="16"/>
      <c r="CF23" s="16"/>
      <c r="CG23" s="16"/>
      <c r="CH23" s="16"/>
      <c r="CI23" s="19">
        <f>SUM(BW23:CH23)</f>
        <v>0</v>
      </c>
      <c r="CK23" s="16"/>
      <c r="CL23" s="16"/>
      <c r="CM23" s="16"/>
      <c r="CN23" s="16"/>
      <c r="CO23" s="16"/>
      <c r="CP23" s="16"/>
      <c r="CQ23" s="16"/>
      <c r="CR23" s="16"/>
      <c r="CS23" s="16"/>
      <c r="CT23" s="16"/>
      <c r="CU23" s="16"/>
      <c r="CV23" s="16"/>
      <c r="CW23" s="19">
        <f>SUM(CK23:CV23)</f>
        <v>0</v>
      </c>
      <c r="CY23" s="16"/>
      <c r="CZ23" s="16"/>
      <c r="DA23" s="16"/>
      <c r="DB23" s="16"/>
      <c r="DC23" s="16"/>
      <c r="DD23" s="16"/>
      <c r="DE23" s="16"/>
      <c r="DF23" s="16"/>
      <c r="DG23" s="16"/>
      <c r="DH23" s="16"/>
      <c r="DI23" s="16"/>
      <c r="DJ23" s="16"/>
      <c r="DK23" s="19">
        <f>SUM(CY23:DJ23)</f>
        <v>0</v>
      </c>
      <c r="DM23" s="16"/>
      <c r="DN23" s="16"/>
      <c r="DO23" s="16"/>
      <c r="DP23" s="16"/>
      <c r="DQ23" s="16"/>
      <c r="DR23" s="16"/>
      <c r="DS23" s="16"/>
      <c r="DT23" s="16"/>
      <c r="DU23" s="16"/>
      <c r="DV23" s="16"/>
      <c r="DW23" s="16"/>
      <c r="DX23" s="16"/>
      <c r="DY23" s="19">
        <f>SUM(DM23:DX23)</f>
        <v>0</v>
      </c>
      <c r="EA23" s="16"/>
      <c r="EB23" s="16"/>
      <c r="EC23" s="16"/>
      <c r="ED23" s="16"/>
      <c r="EE23" s="16"/>
      <c r="EF23" s="16"/>
      <c r="EG23" s="16"/>
      <c r="EH23" s="16"/>
      <c r="EI23" s="16"/>
      <c r="EJ23" s="16"/>
      <c r="EK23" s="16"/>
      <c r="EL23" s="16"/>
      <c r="EM23" s="19">
        <f>SUM(EA23:EL23)</f>
        <v>0</v>
      </c>
      <c r="EO23" s="16"/>
      <c r="EP23" s="16"/>
      <c r="EQ23" s="16"/>
      <c r="ER23" s="16"/>
      <c r="ES23" s="16"/>
      <c r="ET23" s="16"/>
      <c r="EU23" s="16"/>
      <c r="EV23" s="16"/>
      <c r="EW23" s="16"/>
      <c r="EX23" s="16"/>
      <c r="EY23" s="16"/>
      <c r="EZ23" s="16"/>
      <c r="FA23" s="19">
        <f>SUM(EO23:EZ23)</f>
        <v>0</v>
      </c>
      <c r="FC23" s="16"/>
      <c r="FD23" s="16"/>
      <c r="FE23" s="16"/>
      <c r="FF23" s="16"/>
      <c r="FG23" s="16"/>
      <c r="FH23" s="16"/>
      <c r="FI23" s="16"/>
      <c r="FJ23" s="16"/>
      <c r="FK23" s="16"/>
      <c r="FL23" s="16"/>
      <c r="FM23" s="16"/>
      <c r="FN23" s="16"/>
      <c r="FO23" s="19">
        <f>SUM(FC23:FN23)</f>
        <v>0</v>
      </c>
      <c r="FQ23" s="16"/>
      <c r="FR23" s="16"/>
      <c r="FS23" s="16"/>
      <c r="FT23" s="16"/>
      <c r="FU23" s="16"/>
      <c r="FV23" s="16"/>
      <c r="FW23" s="16"/>
      <c r="FX23" s="16"/>
      <c r="FY23" s="16"/>
      <c r="FZ23" s="16"/>
      <c r="GA23" s="16"/>
      <c r="GB23" s="16"/>
      <c r="GC23" s="19">
        <f>SUM(FQ23:GB23)</f>
        <v>0</v>
      </c>
      <c r="GE23" s="16"/>
      <c r="GF23" s="16"/>
      <c r="GG23" s="16"/>
      <c r="GH23" s="16"/>
      <c r="GI23" s="16"/>
      <c r="GJ23" s="16"/>
      <c r="GK23" s="16"/>
      <c r="GL23" s="16"/>
      <c r="GM23" s="16"/>
      <c r="GN23" s="16"/>
      <c r="GO23" s="16"/>
      <c r="GP23" s="16"/>
      <c r="GQ23" s="19">
        <f>SUM(GE23:GP23)</f>
        <v>0</v>
      </c>
      <c r="GS23" s="16"/>
      <c r="GT23" s="16"/>
      <c r="GU23" s="16"/>
      <c r="GV23" s="16"/>
      <c r="GW23" s="16"/>
      <c r="GX23" s="16"/>
      <c r="GY23" s="16"/>
      <c r="GZ23" s="16"/>
      <c r="HA23" s="16"/>
      <c r="HB23" s="16"/>
      <c r="HC23" s="16"/>
      <c r="HD23" s="16"/>
      <c r="HE23" s="19">
        <f>SUM(GS23:HD23)</f>
        <v>0</v>
      </c>
      <c r="HG23" s="16"/>
      <c r="HH23" s="16"/>
      <c r="HI23" s="16"/>
      <c r="HJ23" s="16"/>
      <c r="HK23" s="16"/>
      <c r="HL23" s="16"/>
      <c r="HM23" s="16"/>
      <c r="HN23" s="16"/>
      <c r="HO23" s="16"/>
      <c r="HP23" s="16"/>
      <c r="HQ23" s="16"/>
      <c r="HR23" s="16"/>
      <c r="HS23" s="19">
        <f>SUM(HG23:HR23)</f>
        <v>0</v>
      </c>
      <c r="HU23" s="16"/>
      <c r="HV23" s="16"/>
      <c r="HW23" s="16"/>
      <c r="HX23" s="16"/>
      <c r="HY23" s="16"/>
      <c r="HZ23" s="16"/>
      <c r="IA23" s="16"/>
      <c r="IB23" s="16"/>
      <c r="IC23" s="16"/>
      <c r="ID23" s="16"/>
      <c r="IE23" s="16"/>
      <c r="IF23" s="16"/>
      <c r="IG23" s="19">
        <f>SUM(HU23:IF23)</f>
        <v>0</v>
      </c>
    </row>
    <row r="24" spans="3:241" x14ac:dyDescent="0.2">
      <c r="C24" s="12" t="s">
        <v>12</v>
      </c>
      <c r="E24" s="18" cm="1">
        <f t="array" aca="1" ref="E24" ca="1">SUM(INDIRECT(ADDRESS(income_min_row, COLUMN()) &amp; ":" &amp; ADDRESS(income_max_row, COLUMN())))</f>
        <v>0</v>
      </c>
      <c r="F24" s="18" cm="1">
        <f t="array" aca="1" ref="F24" ca="1">SUM(INDIRECT(ADDRESS(income_min_row, COLUMN()) &amp; ":" &amp; ADDRESS(income_max_row, COLUMN())))</f>
        <v>0</v>
      </c>
      <c r="G24" s="18" cm="1">
        <f t="array" aca="1" ref="G24" ca="1">SUM(INDIRECT(ADDRESS(income_min_row, COLUMN()) &amp; ":" &amp; ADDRESS(income_max_row, COLUMN())))</f>
        <v>0</v>
      </c>
      <c r="H24" s="18" cm="1">
        <f t="array" aca="1" ref="H24" ca="1">SUM(INDIRECT(ADDRESS(income_min_row, COLUMN()) &amp; ":" &amp; ADDRESS(income_max_row, COLUMN())))</f>
        <v>0</v>
      </c>
      <c r="I24" s="18" cm="1">
        <f t="array" aca="1" ref="I24" ca="1">SUM(INDIRECT(ADDRESS(income_min_row, COLUMN()) &amp; ":" &amp; ADDRESS(income_max_row, COLUMN())))</f>
        <v>0</v>
      </c>
      <c r="J24" s="18" cm="1">
        <f t="array" aca="1" ref="J24" ca="1">SUM(INDIRECT(ADDRESS(income_min_row, COLUMN()) &amp; ":" &amp; ADDRESS(income_max_row, COLUMN())))</f>
        <v>0</v>
      </c>
      <c r="K24" s="18" cm="1">
        <f t="array" aca="1" ref="K24" ca="1">SUM(INDIRECT(ADDRESS(income_min_row, COLUMN()) &amp; ":" &amp; ADDRESS(income_max_row, COLUMN())))</f>
        <v>0</v>
      </c>
      <c r="L24" s="18" cm="1">
        <f t="array" aca="1" ref="L24" ca="1">SUM(INDIRECT(ADDRESS(income_min_row, COLUMN()) &amp; ":" &amp; ADDRESS(income_max_row, COLUMN())))</f>
        <v>8095.95</v>
      </c>
      <c r="M24" s="18" cm="1">
        <f t="array" aca="1" ref="M24" ca="1">SUM(INDIRECT(ADDRESS(income_min_row, COLUMN()) &amp; ":" &amp; ADDRESS(income_max_row, COLUMN())))</f>
        <v>9942.75</v>
      </c>
      <c r="N24" s="18" cm="1">
        <f t="array" aca="1" ref="N24" ca="1">SUM(INDIRECT(ADDRESS(income_min_row, COLUMN()) &amp; ":" &amp; ADDRESS(income_max_row, COLUMN())))</f>
        <v>8276.0500000000011</v>
      </c>
      <c r="O24" s="18" cm="1">
        <f t="array" aca="1" ref="O24" ca="1">SUM(INDIRECT(ADDRESS(income_min_row, COLUMN()) &amp; ":" &amp; ADDRESS(income_max_row, COLUMN())))</f>
        <v>12529.35</v>
      </c>
      <c r="P24" s="18" cm="1">
        <f t="array" aca="1" ref="P24" ca="1">SUM(INDIRECT(ADDRESS(income_min_row, COLUMN()) &amp; ":" &amp; ADDRESS(income_max_row, COLUMN())))</f>
        <v>8735.85</v>
      </c>
      <c r="Q24" s="18" cm="1">
        <f t="array" aca="1" ref="Q24" ca="1">SUM(INDIRECT(ADDRESS(income_min_row, COLUMN()) &amp; ":" &amp; ADDRESS(income_max_row, COLUMN())))</f>
        <v>47579.95</v>
      </c>
      <c r="S24" s="18" cm="1">
        <f t="array" aca="1" ref="S24" ca="1">SUM(INDIRECT(ADDRESS(income_min_row, COLUMN()) &amp; ":" &amp; ADDRESS(income_max_row, COLUMN())))</f>
        <v>8205</v>
      </c>
      <c r="T24" s="18" cm="1">
        <f t="array" aca="1" ref="T24" ca="1">SUM(INDIRECT(ADDRESS(income_min_row, COLUMN()) &amp; ":" &amp; ADDRESS(income_max_row, COLUMN())))</f>
        <v>8205</v>
      </c>
      <c r="U24" s="18" cm="1">
        <f t="array" aca="1" ref="U24" ca="1">SUM(INDIRECT(ADDRESS(income_min_row, COLUMN()) &amp; ":" &amp; ADDRESS(income_max_row, COLUMN())))</f>
        <v>8205</v>
      </c>
      <c r="V24" s="18" cm="1">
        <f t="array" aca="1" ref="V24" ca="1">SUM(INDIRECT(ADDRESS(income_min_row, COLUMN()) &amp; ":" &amp; ADDRESS(income_max_row, COLUMN())))</f>
        <v>8205</v>
      </c>
      <c r="W24" s="18" cm="1">
        <f t="array" aca="1" ref="W24" ca="1">SUM(INDIRECT(ADDRESS(income_min_row, COLUMN()) &amp; ":" &amp; ADDRESS(income_max_row, COLUMN())))</f>
        <v>8205</v>
      </c>
      <c r="X24" s="18" cm="1">
        <f t="array" aca="1" ref="X24" ca="1">SUM(INDIRECT(ADDRESS(income_min_row, COLUMN()) &amp; ":" &amp; ADDRESS(income_max_row, COLUMN())))</f>
        <v>8205</v>
      </c>
      <c r="Y24" s="18" cm="1">
        <f t="array" aca="1" ref="Y24" ca="1">SUM(INDIRECT(ADDRESS(income_min_row, COLUMN()) &amp; ":" &amp; ADDRESS(income_max_row, COLUMN())))</f>
        <v>8205</v>
      </c>
      <c r="Z24" s="18" cm="1">
        <f t="array" aca="1" ref="Z24" ca="1">SUM(INDIRECT(ADDRESS(income_min_row, COLUMN()) &amp; ":" &amp; ADDRESS(income_max_row, COLUMN())))</f>
        <v>8205</v>
      </c>
      <c r="AA24" s="18" cm="1">
        <f t="array" aca="1" ref="AA24" ca="1">SUM(INDIRECT(ADDRESS(income_min_row, COLUMN()) &amp; ":" &amp; ADDRESS(income_max_row, COLUMN())))</f>
        <v>8205</v>
      </c>
      <c r="AB24" s="18" cm="1">
        <f t="array" aca="1" ref="AB24" ca="1">SUM(INDIRECT(ADDRESS(income_min_row, COLUMN()) &amp; ":" &amp; ADDRESS(income_max_row, COLUMN())))</f>
        <v>8205</v>
      </c>
      <c r="AC24" s="18" cm="1">
        <f t="array" aca="1" ref="AC24" ca="1">SUM(INDIRECT(ADDRESS(income_min_row, COLUMN()) &amp; ":" &amp; ADDRESS(income_max_row, COLUMN())))</f>
        <v>8205</v>
      </c>
      <c r="AD24" s="18" cm="1">
        <f t="array" aca="1" ref="AD24" ca="1">SUM(INDIRECT(ADDRESS(income_min_row, COLUMN()) &amp; ":" &amp; ADDRESS(income_max_row, COLUMN())))</f>
        <v>8205</v>
      </c>
      <c r="AE24" s="18" cm="1">
        <f t="array" aca="1" ref="AE24" ca="1">SUM(INDIRECT(ADDRESS(income_min_row, COLUMN()) &amp; ":" &amp; ADDRESS(income_max_row, COLUMN())))</f>
        <v>98460</v>
      </c>
      <c r="AG24" s="18" cm="1">
        <f t="array" aca="1" ref="AG24" ca="1">SUM(INDIRECT(ADDRESS(income_min_row, COLUMN()) &amp; ":" &amp; ADDRESS(income_max_row, COLUMN())))</f>
        <v>0</v>
      </c>
      <c r="AH24" s="18" cm="1">
        <f t="array" aca="1" ref="AH24" ca="1">SUM(INDIRECT(ADDRESS(income_min_row, COLUMN()) &amp; ":" &amp; ADDRESS(income_max_row, COLUMN())))</f>
        <v>0</v>
      </c>
      <c r="AI24" s="18" cm="1">
        <f t="array" aca="1" ref="AI24" ca="1">SUM(INDIRECT(ADDRESS(income_min_row, COLUMN()) &amp; ":" &amp; ADDRESS(income_max_row, COLUMN())))</f>
        <v>0</v>
      </c>
      <c r="AJ24" s="18" cm="1">
        <f t="array" aca="1" ref="AJ24" ca="1">SUM(INDIRECT(ADDRESS(income_min_row, COLUMN()) &amp; ":" &amp; ADDRESS(income_max_row, COLUMN())))</f>
        <v>0</v>
      </c>
      <c r="AK24" s="18" cm="1">
        <f t="array" aca="1" ref="AK24" ca="1">SUM(INDIRECT(ADDRESS(income_min_row, COLUMN()) &amp; ":" &amp; ADDRESS(income_max_row, COLUMN())))</f>
        <v>0</v>
      </c>
      <c r="AL24" s="18" cm="1">
        <f t="array" aca="1" ref="AL24" ca="1">SUM(INDIRECT(ADDRESS(income_min_row, COLUMN()) &amp; ":" &amp; ADDRESS(income_max_row, COLUMN())))</f>
        <v>0</v>
      </c>
      <c r="AM24" s="18" cm="1">
        <f t="array" aca="1" ref="AM24" ca="1">SUM(INDIRECT(ADDRESS(income_min_row, COLUMN()) &amp; ":" &amp; ADDRESS(income_max_row, COLUMN())))</f>
        <v>0</v>
      </c>
      <c r="AN24" s="18" cm="1">
        <f t="array" aca="1" ref="AN24" ca="1">SUM(INDIRECT(ADDRESS(income_min_row, COLUMN()) &amp; ":" &amp; ADDRESS(income_max_row, COLUMN())))</f>
        <v>0</v>
      </c>
      <c r="AO24" s="18" cm="1">
        <f t="array" aca="1" ref="AO24" ca="1">SUM(INDIRECT(ADDRESS(income_min_row, COLUMN()) &amp; ":" &amp; ADDRESS(income_max_row, COLUMN())))</f>
        <v>0</v>
      </c>
      <c r="AP24" s="18" cm="1">
        <f t="array" aca="1" ref="AP24" ca="1">SUM(INDIRECT(ADDRESS(income_min_row, COLUMN()) &amp; ":" &amp; ADDRESS(income_max_row, COLUMN())))</f>
        <v>0</v>
      </c>
      <c r="AQ24" s="18" cm="1">
        <f t="array" aca="1" ref="AQ24" ca="1">SUM(INDIRECT(ADDRESS(income_min_row, COLUMN()) &amp; ":" &amp; ADDRESS(income_max_row, COLUMN())))</f>
        <v>0</v>
      </c>
      <c r="AR24" s="18" cm="1">
        <f t="array" aca="1" ref="AR24" ca="1">SUM(INDIRECT(ADDRESS(income_min_row, COLUMN()) &amp; ":" &amp; ADDRESS(income_max_row, COLUMN())))</f>
        <v>0</v>
      </c>
      <c r="AS24" s="18" cm="1">
        <f t="array" aca="1" ref="AS24" ca="1">SUM(INDIRECT(ADDRESS(income_min_row, COLUMN()) &amp; ":" &amp; ADDRESS(income_max_row, COLUMN())))</f>
        <v>0</v>
      </c>
      <c r="AU24" s="18" cm="1">
        <f t="array" aca="1" ref="AU24" ca="1">SUM(INDIRECT(ADDRESS(income_min_row, COLUMN()) &amp; ":" &amp; ADDRESS(income_max_row, COLUMN())))</f>
        <v>0</v>
      </c>
      <c r="AV24" s="18" cm="1">
        <f t="array" aca="1" ref="AV24" ca="1">SUM(INDIRECT(ADDRESS(income_min_row, COLUMN()) &amp; ":" &amp; ADDRESS(income_max_row, COLUMN())))</f>
        <v>0</v>
      </c>
      <c r="AW24" s="18" cm="1">
        <f t="array" aca="1" ref="AW24" ca="1">SUM(INDIRECT(ADDRESS(income_min_row, COLUMN()) &amp; ":" &amp; ADDRESS(income_max_row, COLUMN())))</f>
        <v>0</v>
      </c>
      <c r="AX24" s="18" cm="1">
        <f t="array" aca="1" ref="AX24" ca="1">SUM(INDIRECT(ADDRESS(income_min_row, COLUMN()) &amp; ":" &amp; ADDRESS(income_max_row, COLUMN())))</f>
        <v>0</v>
      </c>
      <c r="AY24" s="18" cm="1">
        <f t="array" aca="1" ref="AY24" ca="1">SUM(INDIRECT(ADDRESS(income_min_row, COLUMN()) &amp; ":" &amp; ADDRESS(income_max_row, COLUMN())))</f>
        <v>0</v>
      </c>
      <c r="AZ24" s="18" cm="1">
        <f t="array" aca="1" ref="AZ24" ca="1">SUM(INDIRECT(ADDRESS(income_min_row, COLUMN()) &amp; ":" &amp; ADDRESS(income_max_row, COLUMN())))</f>
        <v>0</v>
      </c>
      <c r="BA24" s="18" cm="1">
        <f t="array" aca="1" ref="BA24" ca="1">SUM(INDIRECT(ADDRESS(income_min_row, COLUMN()) &amp; ":" &amp; ADDRESS(income_max_row, COLUMN())))</f>
        <v>0</v>
      </c>
      <c r="BB24" s="18" cm="1">
        <f t="array" aca="1" ref="BB24" ca="1">SUM(INDIRECT(ADDRESS(income_min_row, COLUMN()) &amp; ":" &amp; ADDRESS(income_max_row, COLUMN())))</f>
        <v>0</v>
      </c>
      <c r="BC24" s="18" cm="1">
        <f t="array" aca="1" ref="BC24" ca="1">SUM(INDIRECT(ADDRESS(income_min_row, COLUMN()) &amp; ":" &amp; ADDRESS(income_max_row, COLUMN())))</f>
        <v>0</v>
      </c>
      <c r="BD24" s="18" cm="1">
        <f t="array" aca="1" ref="BD24" ca="1">SUM(INDIRECT(ADDRESS(income_min_row, COLUMN()) &amp; ":" &amp; ADDRESS(income_max_row, COLUMN())))</f>
        <v>0</v>
      </c>
      <c r="BE24" s="18" cm="1">
        <f t="array" aca="1" ref="BE24" ca="1">SUM(INDIRECT(ADDRESS(income_min_row, COLUMN()) &amp; ":" &amp; ADDRESS(income_max_row, COLUMN())))</f>
        <v>0</v>
      </c>
      <c r="BF24" s="18" cm="1">
        <f t="array" aca="1" ref="BF24" ca="1">SUM(INDIRECT(ADDRESS(income_min_row, COLUMN()) &amp; ":" &amp; ADDRESS(income_max_row, COLUMN())))</f>
        <v>0</v>
      </c>
      <c r="BG24" s="18" cm="1">
        <f t="array" aca="1" ref="BG24" ca="1">SUM(INDIRECT(ADDRESS(income_min_row, COLUMN()) &amp; ":" &amp; ADDRESS(income_max_row, COLUMN())))</f>
        <v>0</v>
      </c>
      <c r="BI24" s="18" cm="1">
        <f t="array" aca="1" ref="BI24" ca="1">SUM(INDIRECT(ADDRESS(income_min_row, COLUMN()) &amp; ":" &amp; ADDRESS(income_max_row, COLUMN())))</f>
        <v>0</v>
      </c>
      <c r="BJ24" s="18" cm="1">
        <f t="array" aca="1" ref="BJ24" ca="1">SUM(INDIRECT(ADDRESS(income_min_row, COLUMN()) &amp; ":" &amp; ADDRESS(income_max_row, COLUMN())))</f>
        <v>0</v>
      </c>
      <c r="BK24" s="18" cm="1">
        <f t="array" aca="1" ref="BK24" ca="1">SUM(INDIRECT(ADDRESS(income_min_row, COLUMN()) &amp; ":" &amp; ADDRESS(income_max_row, COLUMN())))</f>
        <v>0</v>
      </c>
      <c r="BL24" s="18" cm="1">
        <f t="array" aca="1" ref="BL24" ca="1">SUM(INDIRECT(ADDRESS(income_min_row, COLUMN()) &amp; ":" &amp; ADDRESS(income_max_row, COLUMN())))</f>
        <v>0</v>
      </c>
      <c r="BM24" s="18" cm="1">
        <f t="array" aca="1" ref="BM24" ca="1">SUM(INDIRECT(ADDRESS(income_min_row, COLUMN()) &amp; ":" &amp; ADDRESS(income_max_row, COLUMN())))</f>
        <v>0</v>
      </c>
      <c r="BN24" s="18" cm="1">
        <f t="array" aca="1" ref="BN24" ca="1">SUM(INDIRECT(ADDRESS(income_min_row, COLUMN()) &amp; ":" &amp; ADDRESS(income_max_row, COLUMN())))</f>
        <v>0</v>
      </c>
      <c r="BO24" s="18" cm="1">
        <f t="array" aca="1" ref="BO24" ca="1">SUM(INDIRECT(ADDRESS(income_min_row, COLUMN()) &amp; ":" &amp; ADDRESS(income_max_row, COLUMN())))</f>
        <v>0</v>
      </c>
      <c r="BP24" s="18" cm="1">
        <f t="array" aca="1" ref="BP24" ca="1">SUM(INDIRECT(ADDRESS(income_min_row, COLUMN()) &amp; ":" &amp; ADDRESS(income_max_row, COLUMN())))</f>
        <v>0</v>
      </c>
      <c r="BQ24" s="18" cm="1">
        <f t="array" aca="1" ref="BQ24" ca="1">SUM(INDIRECT(ADDRESS(income_min_row, COLUMN()) &amp; ":" &amp; ADDRESS(income_max_row, COLUMN())))</f>
        <v>0</v>
      </c>
      <c r="BR24" s="18" cm="1">
        <f t="array" aca="1" ref="BR24" ca="1">SUM(INDIRECT(ADDRESS(income_min_row, COLUMN()) &amp; ":" &amp; ADDRESS(income_max_row, COLUMN())))</f>
        <v>0</v>
      </c>
      <c r="BS24" s="18" cm="1">
        <f t="array" aca="1" ref="BS24" ca="1">SUM(INDIRECT(ADDRESS(income_min_row, COLUMN()) &amp; ":" &amp; ADDRESS(income_max_row, COLUMN())))</f>
        <v>0</v>
      </c>
      <c r="BT24" s="18" cm="1">
        <f t="array" aca="1" ref="BT24" ca="1">SUM(INDIRECT(ADDRESS(income_min_row, COLUMN()) &amp; ":" &amp; ADDRESS(income_max_row, COLUMN())))</f>
        <v>0</v>
      </c>
      <c r="BU24" s="18" cm="1">
        <f t="array" aca="1" ref="BU24" ca="1">SUM(INDIRECT(ADDRESS(income_min_row, COLUMN()) &amp; ":" &amp; ADDRESS(income_max_row, COLUMN())))</f>
        <v>0</v>
      </c>
      <c r="BW24" s="18" cm="1">
        <f t="array" aca="1" ref="BW24" ca="1">SUM(INDIRECT(ADDRESS(income_min_row, COLUMN()) &amp; ":" &amp; ADDRESS(income_max_row, COLUMN())))</f>
        <v>0</v>
      </c>
      <c r="BX24" s="18" cm="1">
        <f t="array" aca="1" ref="BX24" ca="1">SUM(INDIRECT(ADDRESS(income_min_row, COLUMN()) &amp; ":" &amp; ADDRESS(income_max_row, COLUMN())))</f>
        <v>0</v>
      </c>
      <c r="BY24" s="18" cm="1">
        <f t="array" aca="1" ref="BY24" ca="1">SUM(INDIRECT(ADDRESS(income_min_row, COLUMN()) &amp; ":" &amp; ADDRESS(income_max_row, COLUMN())))</f>
        <v>0</v>
      </c>
      <c r="BZ24" s="18" cm="1">
        <f t="array" aca="1" ref="BZ24" ca="1">SUM(INDIRECT(ADDRESS(income_min_row, COLUMN()) &amp; ":" &amp; ADDRESS(income_max_row, COLUMN())))</f>
        <v>0</v>
      </c>
      <c r="CA24" s="18" cm="1">
        <f t="array" aca="1" ref="CA24" ca="1">SUM(INDIRECT(ADDRESS(income_min_row, COLUMN()) &amp; ":" &amp; ADDRESS(income_max_row, COLUMN())))</f>
        <v>0</v>
      </c>
      <c r="CB24" s="18" cm="1">
        <f t="array" aca="1" ref="CB24" ca="1">SUM(INDIRECT(ADDRESS(income_min_row, COLUMN()) &amp; ":" &amp; ADDRESS(income_max_row, COLUMN())))</f>
        <v>0</v>
      </c>
      <c r="CC24" s="18" cm="1">
        <f t="array" aca="1" ref="CC24" ca="1">SUM(INDIRECT(ADDRESS(income_min_row, COLUMN()) &amp; ":" &amp; ADDRESS(income_max_row, COLUMN())))</f>
        <v>0</v>
      </c>
      <c r="CD24" s="18" cm="1">
        <f t="array" aca="1" ref="CD24" ca="1">SUM(INDIRECT(ADDRESS(income_min_row, COLUMN()) &amp; ":" &amp; ADDRESS(income_max_row, COLUMN())))</f>
        <v>0</v>
      </c>
      <c r="CE24" s="18" cm="1">
        <f t="array" aca="1" ref="CE24" ca="1">SUM(INDIRECT(ADDRESS(income_min_row, COLUMN()) &amp; ":" &amp; ADDRESS(income_max_row, COLUMN())))</f>
        <v>0</v>
      </c>
      <c r="CF24" s="18" cm="1">
        <f t="array" aca="1" ref="CF24" ca="1">SUM(INDIRECT(ADDRESS(income_min_row, COLUMN()) &amp; ":" &amp; ADDRESS(income_max_row, COLUMN())))</f>
        <v>0</v>
      </c>
      <c r="CG24" s="18" cm="1">
        <f t="array" aca="1" ref="CG24" ca="1">SUM(INDIRECT(ADDRESS(income_min_row, COLUMN()) &amp; ":" &amp; ADDRESS(income_max_row, COLUMN())))</f>
        <v>0</v>
      </c>
      <c r="CH24" s="18" cm="1">
        <f t="array" aca="1" ref="CH24" ca="1">SUM(INDIRECT(ADDRESS(income_min_row, COLUMN()) &amp; ":" &amp; ADDRESS(income_max_row, COLUMN())))</f>
        <v>0</v>
      </c>
      <c r="CI24" s="18" cm="1">
        <f t="array" aca="1" ref="CI24" ca="1">SUM(INDIRECT(ADDRESS(income_min_row, COLUMN()) &amp; ":" &amp; ADDRESS(income_max_row, COLUMN())))</f>
        <v>0</v>
      </c>
      <c r="CK24" s="18" cm="1">
        <f t="array" aca="1" ref="CK24" ca="1">SUM(INDIRECT(ADDRESS(income_min_row, COLUMN()) &amp; ":" &amp; ADDRESS(income_max_row, COLUMN())))</f>
        <v>0</v>
      </c>
      <c r="CL24" s="18" cm="1">
        <f t="array" aca="1" ref="CL24" ca="1">SUM(INDIRECT(ADDRESS(income_min_row, COLUMN()) &amp; ":" &amp; ADDRESS(income_max_row, COLUMN())))</f>
        <v>0</v>
      </c>
      <c r="CM24" s="18" cm="1">
        <f t="array" aca="1" ref="CM24" ca="1">SUM(INDIRECT(ADDRESS(income_min_row, COLUMN()) &amp; ":" &amp; ADDRESS(income_max_row, COLUMN())))</f>
        <v>0</v>
      </c>
      <c r="CN24" s="18" cm="1">
        <f t="array" aca="1" ref="CN24" ca="1">SUM(INDIRECT(ADDRESS(income_min_row, COLUMN()) &amp; ":" &amp; ADDRESS(income_max_row, COLUMN())))</f>
        <v>0</v>
      </c>
      <c r="CO24" s="18" cm="1">
        <f t="array" aca="1" ref="CO24" ca="1">SUM(INDIRECT(ADDRESS(income_min_row, COLUMN()) &amp; ":" &amp; ADDRESS(income_max_row, COLUMN())))</f>
        <v>0</v>
      </c>
      <c r="CP24" s="18" cm="1">
        <f t="array" aca="1" ref="CP24" ca="1">SUM(INDIRECT(ADDRESS(income_min_row, COLUMN()) &amp; ":" &amp; ADDRESS(income_max_row, COLUMN())))</f>
        <v>0</v>
      </c>
      <c r="CQ24" s="18" cm="1">
        <f t="array" aca="1" ref="CQ24" ca="1">SUM(INDIRECT(ADDRESS(income_min_row, COLUMN()) &amp; ":" &amp; ADDRESS(income_max_row, COLUMN())))</f>
        <v>0</v>
      </c>
      <c r="CR24" s="18" cm="1">
        <f t="array" aca="1" ref="CR24" ca="1">SUM(INDIRECT(ADDRESS(income_min_row, COLUMN()) &amp; ":" &amp; ADDRESS(income_max_row, COLUMN())))</f>
        <v>0</v>
      </c>
      <c r="CS24" s="18" cm="1">
        <f t="array" aca="1" ref="CS24" ca="1">SUM(INDIRECT(ADDRESS(income_min_row, COLUMN()) &amp; ":" &amp; ADDRESS(income_max_row, COLUMN())))</f>
        <v>0</v>
      </c>
      <c r="CT24" s="18" cm="1">
        <f t="array" aca="1" ref="CT24" ca="1">SUM(INDIRECT(ADDRESS(income_min_row, COLUMN()) &amp; ":" &amp; ADDRESS(income_max_row, COLUMN())))</f>
        <v>0</v>
      </c>
      <c r="CU24" s="18" cm="1">
        <f t="array" aca="1" ref="CU24" ca="1">SUM(INDIRECT(ADDRESS(income_min_row, COLUMN()) &amp; ":" &amp; ADDRESS(income_max_row, COLUMN())))</f>
        <v>0</v>
      </c>
      <c r="CV24" s="18" cm="1">
        <f t="array" aca="1" ref="CV24" ca="1">SUM(INDIRECT(ADDRESS(income_min_row, COLUMN()) &amp; ":" &amp; ADDRESS(income_max_row, COLUMN())))</f>
        <v>0</v>
      </c>
      <c r="CW24" s="18" cm="1">
        <f t="array" aca="1" ref="CW24" ca="1">SUM(INDIRECT(ADDRESS(income_min_row, COLUMN()) &amp; ":" &amp; ADDRESS(income_max_row, COLUMN())))</f>
        <v>0</v>
      </c>
      <c r="CY24" s="18" cm="1">
        <f t="array" aca="1" ref="CY24" ca="1">SUM(INDIRECT(ADDRESS(income_min_row, COLUMN()) &amp; ":" &amp; ADDRESS(income_max_row, COLUMN())))</f>
        <v>0</v>
      </c>
      <c r="CZ24" s="18" cm="1">
        <f t="array" aca="1" ref="CZ24" ca="1">SUM(INDIRECT(ADDRESS(income_min_row, COLUMN()) &amp; ":" &amp; ADDRESS(income_max_row, COLUMN())))</f>
        <v>0</v>
      </c>
      <c r="DA24" s="18" cm="1">
        <f t="array" aca="1" ref="DA24" ca="1">SUM(INDIRECT(ADDRESS(income_min_row, COLUMN()) &amp; ":" &amp; ADDRESS(income_max_row, COLUMN())))</f>
        <v>0</v>
      </c>
      <c r="DB24" s="18" cm="1">
        <f t="array" aca="1" ref="DB24" ca="1">SUM(INDIRECT(ADDRESS(income_min_row, COLUMN()) &amp; ":" &amp; ADDRESS(income_max_row, COLUMN())))</f>
        <v>0</v>
      </c>
      <c r="DC24" s="18" cm="1">
        <f t="array" aca="1" ref="DC24" ca="1">SUM(INDIRECT(ADDRESS(income_min_row, COLUMN()) &amp; ":" &amp; ADDRESS(income_max_row, COLUMN())))</f>
        <v>0</v>
      </c>
      <c r="DD24" s="18" cm="1">
        <f t="array" aca="1" ref="DD24" ca="1">SUM(INDIRECT(ADDRESS(income_min_row, COLUMN()) &amp; ":" &amp; ADDRESS(income_max_row, COLUMN())))</f>
        <v>0</v>
      </c>
      <c r="DE24" s="18" cm="1">
        <f t="array" aca="1" ref="DE24" ca="1">SUM(INDIRECT(ADDRESS(income_min_row, COLUMN()) &amp; ":" &amp; ADDRESS(income_max_row, COLUMN())))</f>
        <v>0</v>
      </c>
      <c r="DF24" s="18" cm="1">
        <f t="array" aca="1" ref="DF24" ca="1">SUM(INDIRECT(ADDRESS(income_min_row, COLUMN()) &amp; ":" &amp; ADDRESS(income_max_row, COLUMN())))</f>
        <v>0</v>
      </c>
      <c r="DG24" s="18" cm="1">
        <f t="array" aca="1" ref="DG24" ca="1">SUM(INDIRECT(ADDRESS(income_min_row, COLUMN()) &amp; ":" &amp; ADDRESS(income_max_row, COLUMN())))</f>
        <v>0</v>
      </c>
      <c r="DH24" s="18" cm="1">
        <f t="array" aca="1" ref="DH24" ca="1">SUM(INDIRECT(ADDRESS(income_min_row, COLUMN()) &amp; ":" &amp; ADDRESS(income_max_row, COLUMN())))</f>
        <v>0</v>
      </c>
      <c r="DI24" s="18" cm="1">
        <f t="array" aca="1" ref="DI24" ca="1">SUM(INDIRECT(ADDRESS(income_min_row, COLUMN()) &amp; ":" &amp; ADDRESS(income_max_row, COLUMN())))</f>
        <v>0</v>
      </c>
      <c r="DJ24" s="18" cm="1">
        <f t="array" aca="1" ref="DJ24" ca="1">SUM(INDIRECT(ADDRESS(income_min_row, COLUMN()) &amp; ":" &amp; ADDRESS(income_max_row, COLUMN())))</f>
        <v>0</v>
      </c>
      <c r="DK24" s="18" cm="1">
        <f t="array" aca="1" ref="DK24" ca="1">SUM(INDIRECT(ADDRESS(income_min_row, COLUMN()) &amp; ":" &amp; ADDRESS(income_max_row, COLUMN())))</f>
        <v>0</v>
      </c>
      <c r="DM24" s="18" cm="1">
        <f t="array" aca="1" ref="DM24" ca="1">SUM(INDIRECT(ADDRESS(income_min_row, COLUMN()) &amp; ":" &amp; ADDRESS(income_max_row, COLUMN())))</f>
        <v>0</v>
      </c>
      <c r="DN24" s="18" cm="1">
        <f t="array" aca="1" ref="DN24" ca="1">SUM(INDIRECT(ADDRESS(income_min_row, COLUMN()) &amp; ":" &amp; ADDRESS(income_max_row, COLUMN())))</f>
        <v>0</v>
      </c>
      <c r="DO24" s="18" cm="1">
        <f t="array" aca="1" ref="DO24" ca="1">SUM(INDIRECT(ADDRESS(income_min_row, COLUMN()) &amp; ":" &amp; ADDRESS(income_max_row, COLUMN())))</f>
        <v>0</v>
      </c>
      <c r="DP24" s="18" cm="1">
        <f t="array" aca="1" ref="DP24" ca="1">SUM(INDIRECT(ADDRESS(income_min_row, COLUMN()) &amp; ":" &amp; ADDRESS(income_max_row, COLUMN())))</f>
        <v>0</v>
      </c>
      <c r="DQ24" s="18" cm="1">
        <f t="array" aca="1" ref="DQ24" ca="1">SUM(INDIRECT(ADDRESS(income_min_row, COLUMN()) &amp; ":" &amp; ADDRESS(income_max_row, COLUMN())))</f>
        <v>0</v>
      </c>
      <c r="DR24" s="18" cm="1">
        <f t="array" aca="1" ref="DR24" ca="1">SUM(INDIRECT(ADDRESS(income_min_row, COLUMN()) &amp; ":" &amp; ADDRESS(income_max_row, COLUMN())))</f>
        <v>0</v>
      </c>
      <c r="DS24" s="18" cm="1">
        <f t="array" aca="1" ref="DS24" ca="1">SUM(INDIRECT(ADDRESS(income_min_row, COLUMN()) &amp; ":" &amp; ADDRESS(income_max_row, COLUMN())))</f>
        <v>0</v>
      </c>
      <c r="DT24" s="18" cm="1">
        <f t="array" aca="1" ref="DT24" ca="1">SUM(INDIRECT(ADDRESS(income_min_row, COLUMN()) &amp; ":" &amp; ADDRESS(income_max_row, COLUMN())))</f>
        <v>0</v>
      </c>
      <c r="DU24" s="18" cm="1">
        <f t="array" aca="1" ref="DU24" ca="1">SUM(INDIRECT(ADDRESS(income_min_row, COLUMN()) &amp; ":" &amp; ADDRESS(income_max_row, COLUMN())))</f>
        <v>0</v>
      </c>
      <c r="DV24" s="18" cm="1">
        <f t="array" aca="1" ref="DV24" ca="1">SUM(INDIRECT(ADDRESS(income_min_row, COLUMN()) &amp; ":" &amp; ADDRESS(income_max_row, COLUMN())))</f>
        <v>0</v>
      </c>
      <c r="DW24" s="18" cm="1">
        <f t="array" aca="1" ref="DW24" ca="1">SUM(INDIRECT(ADDRESS(income_min_row, COLUMN()) &amp; ":" &amp; ADDRESS(income_max_row, COLUMN())))</f>
        <v>0</v>
      </c>
      <c r="DX24" s="18" cm="1">
        <f t="array" aca="1" ref="DX24" ca="1">SUM(INDIRECT(ADDRESS(income_min_row, COLUMN()) &amp; ":" &amp; ADDRESS(income_max_row, COLUMN())))</f>
        <v>0</v>
      </c>
      <c r="DY24" s="18" cm="1">
        <f t="array" aca="1" ref="DY24" ca="1">SUM(INDIRECT(ADDRESS(income_min_row, COLUMN()) &amp; ":" &amp; ADDRESS(income_max_row, COLUMN())))</f>
        <v>0</v>
      </c>
      <c r="EA24" s="18" cm="1">
        <f t="array" aca="1" ref="EA24" ca="1">SUM(INDIRECT(ADDRESS(income_min_row, COLUMN()) &amp; ":" &amp; ADDRESS(income_max_row, COLUMN())))</f>
        <v>0</v>
      </c>
      <c r="EB24" s="18" cm="1">
        <f t="array" aca="1" ref="EB24" ca="1">SUM(INDIRECT(ADDRESS(income_min_row, COLUMN()) &amp; ":" &amp; ADDRESS(income_max_row, COLUMN())))</f>
        <v>0</v>
      </c>
      <c r="EC24" s="18" cm="1">
        <f t="array" aca="1" ref="EC24" ca="1">SUM(INDIRECT(ADDRESS(income_min_row, COLUMN()) &amp; ":" &amp; ADDRESS(income_max_row, COLUMN())))</f>
        <v>0</v>
      </c>
      <c r="ED24" s="18" cm="1">
        <f t="array" aca="1" ref="ED24" ca="1">SUM(INDIRECT(ADDRESS(income_min_row, COLUMN()) &amp; ":" &amp; ADDRESS(income_max_row, COLUMN())))</f>
        <v>0</v>
      </c>
      <c r="EE24" s="18" cm="1">
        <f t="array" aca="1" ref="EE24" ca="1">SUM(INDIRECT(ADDRESS(income_min_row, COLUMN()) &amp; ":" &amp; ADDRESS(income_max_row, COLUMN())))</f>
        <v>0</v>
      </c>
      <c r="EF24" s="18" cm="1">
        <f t="array" aca="1" ref="EF24" ca="1">SUM(INDIRECT(ADDRESS(income_min_row, COLUMN()) &amp; ":" &amp; ADDRESS(income_max_row, COLUMN())))</f>
        <v>0</v>
      </c>
      <c r="EG24" s="18" cm="1">
        <f t="array" aca="1" ref="EG24" ca="1">SUM(INDIRECT(ADDRESS(income_min_row, COLUMN()) &amp; ":" &amp; ADDRESS(income_max_row, COLUMN())))</f>
        <v>0</v>
      </c>
      <c r="EH24" s="18" cm="1">
        <f t="array" aca="1" ref="EH24" ca="1">SUM(INDIRECT(ADDRESS(income_min_row, COLUMN()) &amp; ":" &amp; ADDRESS(income_max_row, COLUMN())))</f>
        <v>0</v>
      </c>
      <c r="EI24" s="18" cm="1">
        <f t="array" aca="1" ref="EI24" ca="1">SUM(INDIRECT(ADDRESS(income_min_row, COLUMN()) &amp; ":" &amp; ADDRESS(income_max_row, COLUMN())))</f>
        <v>0</v>
      </c>
      <c r="EJ24" s="18" cm="1">
        <f t="array" aca="1" ref="EJ24" ca="1">SUM(INDIRECT(ADDRESS(income_min_row, COLUMN()) &amp; ":" &amp; ADDRESS(income_max_row, COLUMN())))</f>
        <v>0</v>
      </c>
      <c r="EK24" s="18" cm="1">
        <f t="array" aca="1" ref="EK24" ca="1">SUM(INDIRECT(ADDRESS(income_min_row, COLUMN()) &amp; ":" &amp; ADDRESS(income_max_row, COLUMN())))</f>
        <v>0</v>
      </c>
      <c r="EL24" s="18" cm="1">
        <f t="array" aca="1" ref="EL24" ca="1">SUM(INDIRECT(ADDRESS(income_min_row, COLUMN()) &amp; ":" &amp; ADDRESS(income_max_row, COLUMN())))</f>
        <v>0</v>
      </c>
      <c r="EM24" s="18" cm="1">
        <f t="array" aca="1" ref="EM24" ca="1">SUM(INDIRECT(ADDRESS(income_min_row, COLUMN()) &amp; ":" &amp; ADDRESS(income_max_row, COLUMN())))</f>
        <v>0</v>
      </c>
      <c r="EO24" s="18" cm="1">
        <f t="array" aca="1" ref="EO24" ca="1">SUM(INDIRECT(ADDRESS(income_min_row, COLUMN()) &amp; ":" &amp; ADDRESS(income_max_row, COLUMN())))</f>
        <v>0</v>
      </c>
      <c r="EP24" s="18" cm="1">
        <f t="array" aca="1" ref="EP24" ca="1">SUM(INDIRECT(ADDRESS(income_min_row, COLUMN()) &amp; ":" &amp; ADDRESS(income_max_row, COLUMN())))</f>
        <v>0</v>
      </c>
      <c r="EQ24" s="18" cm="1">
        <f t="array" aca="1" ref="EQ24" ca="1">SUM(INDIRECT(ADDRESS(income_min_row, COLUMN()) &amp; ":" &amp; ADDRESS(income_max_row, COLUMN())))</f>
        <v>0</v>
      </c>
      <c r="ER24" s="18" cm="1">
        <f t="array" aca="1" ref="ER24" ca="1">SUM(INDIRECT(ADDRESS(income_min_row, COLUMN()) &amp; ":" &amp; ADDRESS(income_max_row, COLUMN())))</f>
        <v>0</v>
      </c>
      <c r="ES24" s="18" cm="1">
        <f t="array" aca="1" ref="ES24" ca="1">SUM(INDIRECT(ADDRESS(income_min_row, COLUMN()) &amp; ":" &amp; ADDRESS(income_max_row, COLUMN())))</f>
        <v>0</v>
      </c>
      <c r="ET24" s="18" cm="1">
        <f t="array" aca="1" ref="ET24" ca="1">SUM(INDIRECT(ADDRESS(income_min_row, COLUMN()) &amp; ":" &amp; ADDRESS(income_max_row, COLUMN())))</f>
        <v>0</v>
      </c>
      <c r="EU24" s="18" cm="1">
        <f t="array" aca="1" ref="EU24" ca="1">SUM(INDIRECT(ADDRESS(income_min_row, COLUMN()) &amp; ":" &amp; ADDRESS(income_max_row, COLUMN())))</f>
        <v>0</v>
      </c>
      <c r="EV24" s="18" cm="1">
        <f t="array" aca="1" ref="EV24" ca="1">SUM(INDIRECT(ADDRESS(income_min_row, COLUMN()) &amp; ":" &amp; ADDRESS(income_max_row, COLUMN())))</f>
        <v>0</v>
      </c>
      <c r="EW24" s="18" cm="1">
        <f t="array" aca="1" ref="EW24" ca="1">SUM(INDIRECT(ADDRESS(income_min_row, COLUMN()) &amp; ":" &amp; ADDRESS(income_max_row, COLUMN())))</f>
        <v>0</v>
      </c>
      <c r="EX24" s="18" cm="1">
        <f t="array" aca="1" ref="EX24" ca="1">SUM(INDIRECT(ADDRESS(income_min_row, COLUMN()) &amp; ":" &amp; ADDRESS(income_max_row, COLUMN())))</f>
        <v>0</v>
      </c>
      <c r="EY24" s="18" cm="1">
        <f t="array" aca="1" ref="EY24" ca="1">SUM(INDIRECT(ADDRESS(income_min_row, COLUMN()) &amp; ":" &amp; ADDRESS(income_max_row, COLUMN())))</f>
        <v>0</v>
      </c>
      <c r="EZ24" s="18" cm="1">
        <f t="array" aca="1" ref="EZ24" ca="1">SUM(INDIRECT(ADDRESS(income_min_row, COLUMN()) &amp; ":" &amp; ADDRESS(income_max_row, COLUMN())))</f>
        <v>0</v>
      </c>
      <c r="FA24" s="18" cm="1">
        <f t="array" aca="1" ref="FA24" ca="1">SUM(INDIRECT(ADDRESS(income_min_row, COLUMN()) &amp; ":" &amp; ADDRESS(income_max_row, COLUMN())))</f>
        <v>0</v>
      </c>
      <c r="FC24" s="18" cm="1">
        <f t="array" aca="1" ref="FC24" ca="1">SUM(INDIRECT(ADDRESS(income_min_row, COLUMN()) &amp; ":" &amp; ADDRESS(income_max_row, COLUMN())))</f>
        <v>0</v>
      </c>
      <c r="FD24" s="18" cm="1">
        <f t="array" aca="1" ref="FD24" ca="1">SUM(INDIRECT(ADDRESS(income_min_row, COLUMN()) &amp; ":" &amp; ADDRESS(income_max_row, COLUMN())))</f>
        <v>0</v>
      </c>
      <c r="FE24" s="18" cm="1">
        <f t="array" aca="1" ref="FE24" ca="1">SUM(INDIRECT(ADDRESS(income_min_row, COLUMN()) &amp; ":" &amp; ADDRESS(income_max_row, COLUMN())))</f>
        <v>0</v>
      </c>
      <c r="FF24" s="18" cm="1">
        <f t="array" aca="1" ref="FF24" ca="1">SUM(INDIRECT(ADDRESS(income_min_row, COLUMN()) &amp; ":" &amp; ADDRESS(income_max_row, COLUMN())))</f>
        <v>0</v>
      </c>
      <c r="FG24" s="18" cm="1">
        <f t="array" aca="1" ref="FG24" ca="1">SUM(INDIRECT(ADDRESS(income_min_row, COLUMN()) &amp; ":" &amp; ADDRESS(income_max_row, COLUMN())))</f>
        <v>0</v>
      </c>
      <c r="FH24" s="18" cm="1">
        <f t="array" aca="1" ref="FH24" ca="1">SUM(INDIRECT(ADDRESS(income_min_row, COLUMN()) &amp; ":" &amp; ADDRESS(income_max_row, COLUMN())))</f>
        <v>0</v>
      </c>
      <c r="FI24" s="18" cm="1">
        <f t="array" aca="1" ref="FI24" ca="1">SUM(INDIRECT(ADDRESS(income_min_row, COLUMN()) &amp; ":" &amp; ADDRESS(income_max_row, COLUMN())))</f>
        <v>0</v>
      </c>
      <c r="FJ24" s="18" cm="1">
        <f t="array" aca="1" ref="FJ24" ca="1">SUM(INDIRECT(ADDRESS(income_min_row, COLUMN()) &amp; ":" &amp; ADDRESS(income_max_row, COLUMN())))</f>
        <v>0</v>
      </c>
      <c r="FK24" s="18" cm="1">
        <f t="array" aca="1" ref="FK24" ca="1">SUM(INDIRECT(ADDRESS(income_min_row, COLUMN()) &amp; ":" &amp; ADDRESS(income_max_row, COLUMN())))</f>
        <v>0</v>
      </c>
      <c r="FL24" s="18" cm="1">
        <f t="array" aca="1" ref="FL24" ca="1">SUM(INDIRECT(ADDRESS(income_min_row, COLUMN()) &amp; ":" &amp; ADDRESS(income_max_row, COLUMN())))</f>
        <v>0</v>
      </c>
      <c r="FM24" s="18" cm="1">
        <f t="array" aca="1" ref="FM24" ca="1">SUM(INDIRECT(ADDRESS(income_min_row, COLUMN()) &amp; ":" &amp; ADDRESS(income_max_row, COLUMN())))</f>
        <v>0</v>
      </c>
      <c r="FN24" s="18" cm="1">
        <f t="array" aca="1" ref="FN24" ca="1">SUM(INDIRECT(ADDRESS(income_min_row, COLUMN()) &amp; ":" &amp; ADDRESS(income_max_row, COLUMN())))</f>
        <v>0</v>
      </c>
      <c r="FO24" s="18" cm="1">
        <f t="array" aca="1" ref="FO24" ca="1">SUM(INDIRECT(ADDRESS(income_min_row, COLUMN()) &amp; ":" &amp; ADDRESS(income_max_row, COLUMN())))</f>
        <v>0</v>
      </c>
      <c r="FQ24" s="18" cm="1">
        <f t="array" aca="1" ref="FQ24" ca="1">SUM(INDIRECT(ADDRESS(income_min_row, COLUMN()) &amp; ":" &amp; ADDRESS(income_max_row, COLUMN())))</f>
        <v>0</v>
      </c>
      <c r="FR24" s="18" cm="1">
        <f t="array" aca="1" ref="FR24" ca="1">SUM(INDIRECT(ADDRESS(income_min_row, COLUMN()) &amp; ":" &amp; ADDRESS(income_max_row, COLUMN())))</f>
        <v>0</v>
      </c>
      <c r="FS24" s="18" cm="1">
        <f t="array" aca="1" ref="FS24" ca="1">SUM(INDIRECT(ADDRESS(income_min_row, COLUMN()) &amp; ":" &amp; ADDRESS(income_max_row, COLUMN())))</f>
        <v>0</v>
      </c>
      <c r="FT24" s="18" cm="1">
        <f t="array" aca="1" ref="FT24" ca="1">SUM(INDIRECT(ADDRESS(income_min_row, COLUMN()) &amp; ":" &amp; ADDRESS(income_max_row, COLUMN())))</f>
        <v>0</v>
      </c>
      <c r="FU24" s="18" cm="1">
        <f t="array" aca="1" ref="FU24" ca="1">SUM(INDIRECT(ADDRESS(income_min_row, COLUMN()) &amp; ":" &amp; ADDRESS(income_max_row, COLUMN())))</f>
        <v>0</v>
      </c>
      <c r="FV24" s="18" cm="1">
        <f t="array" aca="1" ref="FV24" ca="1">SUM(INDIRECT(ADDRESS(income_min_row, COLUMN()) &amp; ":" &amp; ADDRESS(income_max_row, COLUMN())))</f>
        <v>0</v>
      </c>
      <c r="FW24" s="18" cm="1">
        <f t="array" aca="1" ref="FW24" ca="1">SUM(INDIRECT(ADDRESS(income_min_row, COLUMN()) &amp; ":" &amp; ADDRESS(income_max_row, COLUMN())))</f>
        <v>0</v>
      </c>
      <c r="FX24" s="18" cm="1">
        <f t="array" aca="1" ref="FX24" ca="1">SUM(INDIRECT(ADDRESS(income_min_row, COLUMN()) &amp; ":" &amp; ADDRESS(income_max_row, COLUMN())))</f>
        <v>0</v>
      </c>
      <c r="FY24" s="18" cm="1">
        <f t="array" aca="1" ref="FY24" ca="1">SUM(INDIRECT(ADDRESS(income_min_row, COLUMN()) &amp; ":" &amp; ADDRESS(income_max_row, COLUMN())))</f>
        <v>0</v>
      </c>
      <c r="FZ24" s="18" cm="1">
        <f t="array" aca="1" ref="FZ24" ca="1">SUM(INDIRECT(ADDRESS(income_min_row, COLUMN()) &amp; ":" &amp; ADDRESS(income_max_row, COLUMN())))</f>
        <v>0</v>
      </c>
      <c r="GA24" s="18" cm="1">
        <f t="array" aca="1" ref="GA24" ca="1">SUM(INDIRECT(ADDRESS(income_min_row, COLUMN()) &amp; ":" &amp; ADDRESS(income_max_row, COLUMN())))</f>
        <v>0</v>
      </c>
      <c r="GB24" s="18" cm="1">
        <f t="array" aca="1" ref="GB24" ca="1">SUM(INDIRECT(ADDRESS(income_min_row, COLUMN()) &amp; ":" &amp; ADDRESS(income_max_row, COLUMN())))</f>
        <v>0</v>
      </c>
      <c r="GC24" s="18" cm="1">
        <f t="array" aca="1" ref="GC24" ca="1">SUM(INDIRECT(ADDRESS(income_min_row, COLUMN()) &amp; ":" &amp; ADDRESS(income_max_row, COLUMN())))</f>
        <v>0</v>
      </c>
      <c r="GE24" s="18" cm="1">
        <f t="array" aca="1" ref="GE24" ca="1">SUM(INDIRECT(ADDRESS(income_min_row, COLUMN()) &amp; ":" &amp; ADDRESS(income_max_row, COLUMN())))</f>
        <v>0</v>
      </c>
      <c r="GF24" s="18" cm="1">
        <f t="array" aca="1" ref="GF24" ca="1">SUM(INDIRECT(ADDRESS(income_min_row, COLUMN()) &amp; ":" &amp; ADDRESS(income_max_row, COLUMN())))</f>
        <v>0</v>
      </c>
      <c r="GG24" s="18" cm="1">
        <f t="array" aca="1" ref="GG24" ca="1">SUM(INDIRECT(ADDRESS(income_min_row, COLUMN()) &amp; ":" &amp; ADDRESS(income_max_row, COLUMN())))</f>
        <v>0</v>
      </c>
      <c r="GH24" s="18" cm="1">
        <f t="array" aca="1" ref="GH24" ca="1">SUM(INDIRECT(ADDRESS(income_min_row, COLUMN()) &amp; ":" &amp; ADDRESS(income_max_row, COLUMN())))</f>
        <v>0</v>
      </c>
      <c r="GI24" s="18" cm="1">
        <f t="array" aca="1" ref="GI24" ca="1">SUM(INDIRECT(ADDRESS(income_min_row, COLUMN()) &amp; ":" &amp; ADDRESS(income_max_row, COLUMN())))</f>
        <v>0</v>
      </c>
      <c r="GJ24" s="18" cm="1">
        <f t="array" aca="1" ref="GJ24" ca="1">SUM(INDIRECT(ADDRESS(income_min_row, COLUMN()) &amp; ":" &amp; ADDRESS(income_max_row, COLUMN())))</f>
        <v>0</v>
      </c>
      <c r="GK24" s="18" cm="1">
        <f t="array" aca="1" ref="GK24" ca="1">SUM(INDIRECT(ADDRESS(income_min_row, COLUMN()) &amp; ":" &amp; ADDRESS(income_max_row, COLUMN())))</f>
        <v>0</v>
      </c>
      <c r="GL24" s="18" cm="1">
        <f t="array" aca="1" ref="GL24" ca="1">SUM(INDIRECT(ADDRESS(income_min_row, COLUMN()) &amp; ":" &amp; ADDRESS(income_max_row, COLUMN())))</f>
        <v>0</v>
      </c>
      <c r="GM24" s="18" cm="1">
        <f t="array" aca="1" ref="GM24" ca="1">SUM(INDIRECT(ADDRESS(income_min_row, COLUMN()) &amp; ":" &amp; ADDRESS(income_max_row, COLUMN())))</f>
        <v>0</v>
      </c>
      <c r="GN24" s="18" cm="1">
        <f t="array" aca="1" ref="GN24" ca="1">SUM(INDIRECT(ADDRESS(income_min_row, COLUMN()) &amp; ":" &amp; ADDRESS(income_max_row, COLUMN())))</f>
        <v>0</v>
      </c>
      <c r="GO24" s="18" cm="1">
        <f t="array" aca="1" ref="GO24" ca="1">SUM(INDIRECT(ADDRESS(income_min_row, COLUMN()) &amp; ":" &amp; ADDRESS(income_max_row, COLUMN())))</f>
        <v>0</v>
      </c>
      <c r="GP24" s="18" cm="1">
        <f t="array" aca="1" ref="GP24" ca="1">SUM(INDIRECT(ADDRESS(income_min_row, COLUMN()) &amp; ":" &amp; ADDRESS(income_max_row, COLUMN())))</f>
        <v>0</v>
      </c>
      <c r="GQ24" s="18" cm="1">
        <f t="array" aca="1" ref="GQ24" ca="1">SUM(INDIRECT(ADDRESS(income_min_row, COLUMN()) &amp; ":" &amp; ADDRESS(income_max_row, COLUMN())))</f>
        <v>0</v>
      </c>
      <c r="GS24" s="18" cm="1">
        <f t="array" aca="1" ref="GS24" ca="1">SUM(INDIRECT(ADDRESS(income_min_row, COLUMN()) &amp; ":" &amp; ADDRESS(income_max_row, COLUMN())))</f>
        <v>0</v>
      </c>
      <c r="GT24" s="18" cm="1">
        <f t="array" aca="1" ref="GT24" ca="1">SUM(INDIRECT(ADDRESS(income_min_row, COLUMN()) &amp; ":" &amp; ADDRESS(income_max_row, COLUMN())))</f>
        <v>0</v>
      </c>
      <c r="GU24" s="18" cm="1">
        <f t="array" aca="1" ref="GU24" ca="1">SUM(INDIRECT(ADDRESS(income_min_row, COLUMN()) &amp; ":" &amp; ADDRESS(income_max_row, COLUMN())))</f>
        <v>0</v>
      </c>
      <c r="GV24" s="18" cm="1">
        <f t="array" aca="1" ref="GV24" ca="1">SUM(INDIRECT(ADDRESS(income_min_row, COLUMN()) &amp; ":" &amp; ADDRESS(income_max_row, COLUMN())))</f>
        <v>0</v>
      </c>
      <c r="GW24" s="18" cm="1">
        <f t="array" aca="1" ref="GW24" ca="1">SUM(INDIRECT(ADDRESS(income_min_row, COLUMN()) &amp; ":" &amp; ADDRESS(income_max_row, COLUMN())))</f>
        <v>0</v>
      </c>
      <c r="GX24" s="18" cm="1">
        <f t="array" aca="1" ref="GX24" ca="1">SUM(INDIRECT(ADDRESS(income_min_row, COLUMN()) &amp; ":" &amp; ADDRESS(income_max_row, COLUMN())))</f>
        <v>0</v>
      </c>
      <c r="GY24" s="18" cm="1">
        <f t="array" aca="1" ref="GY24" ca="1">SUM(INDIRECT(ADDRESS(income_min_row, COLUMN()) &amp; ":" &amp; ADDRESS(income_max_row, COLUMN())))</f>
        <v>0</v>
      </c>
      <c r="GZ24" s="18" cm="1">
        <f t="array" aca="1" ref="GZ24" ca="1">SUM(INDIRECT(ADDRESS(income_min_row, COLUMN()) &amp; ":" &amp; ADDRESS(income_max_row, COLUMN())))</f>
        <v>0</v>
      </c>
      <c r="HA24" s="18" cm="1">
        <f t="array" aca="1" ref="HA24" ca="1">SUM(INDIRECT(ADDRESS(income_min_row, COLUMN()) &amp; ":" &amp; ADDRESS(income_max_row, COLUMN())))</f>
        <v>0</v>
      </c>
      <c r="HB24" s="18" cm="1">
        <f t="array" aca="1" ref="HB24" ca="1">SUM(INDIRECT(ADDRESS(income_min_row, COLUMN()) &amp; ":" &amp; ADDRESS(income_max_row, COLUMN())))</f>
        <v>0</v>
      </c>
      <c r="HC24" s="18" cm="1">
        <f t="array" aca="1" ref="HC24" ca="1">SUM(INDIRECT(ADDRESS(income_min_row, COLUMN()) &amp; ":" &amp; ADDRESS(income_max_row, COLUMN())))</f>
        <v>0</v>
      </c>
      <c r="HD24" s="18" cm="1">
        <f t="array" aca="1" ref="HD24" ca="1">SUM(INDIRECT(ADDRESS(income_min_row, COLUMN()) &amp; ":" &amp; ADDRESS(income_max_row, COLUMN())))</f>
        <v>0</v>
      </c>
      <c r="HE24" s="18" cm="1">
        <f t="array" aca="1" ref="HE24" ca="1">SUM(INDIRECT(ADDRESS(income_min_row, COLUMN()) &amp; ":" &amp; ADDRESS(income_max_row, COLUMN())))</f>
        <v>0</v>
      </c>
      <c r="HG24" s="18" cm="1">
        <f t="array" aca="1" ref="HG24" ca="1">SUM(INDIRECT(ADDRESS(income_min_row, COLUMN()) &amp; ":" &amp; ADDRESS(income_max_row, COLUMN())))</f>
        <v>0</v>
      </c>
      <c r="HH24" s="18" cm="1">
        <f t="array" aca="1" ref="HH24" ca="1">SUM(INDIRECT(ADDRESS(income_min_row, COLUMN()) &amp; ":" &amp; ADDRESS(income_max_row, COLUMN())))</f>
        <v>0</v>
      </c>
      <c r="HI24" s="18" cm="1">
        <f t="array" aca="1" ref="HI24" ca="1">SUM(INDIRECT(ADDRESS(income_min_row, COLUMN()) &amp; ":" &amp; ADDRESS(income_max_row, COLUMN())))</f>
        <v>0</v>
      </c>
      <c r="HJ24" s="18" cm="1">
        <f t="array" aca="1" ref="HJ24" ca="1">SUM(INDIRECT(ADDRESS(income_min_row, COLUMN()) &amp; ":" &amp; ADDRESS(income_max_row, COLUMN())))</f>
        <v>0</v>
      </c>
      <c r="HK24" s="18" cm="1">
        <f t="array" aca="1" ref="HK24" ca="1">SUM(INDIRECT(ADDRESS(income_min_row, COLUMN()) &amp; ":" &amp; ADDRESS(income_max_row, COLUMN())))</f>
        <v>0</v>
      </c>
      <c r="HL24" s="18" cm="1">
        <f t="array" aca="1" ref="HL24" ca="1">SUM(INDIRECT(ADDRESS(income_min_row, COLUMN()) &amp; ":" &amp; ADDRESS(income_max_row, COLUMN())))</f>
        <v>0</v>
      </c>
      <c r="HM24" s="18" cm="1">
        <f t="array" aca="1" ref="HM24" ca="1">SUM(INDIRECT(ADDRESS(income_min_row, COLUMN()) &amp; ":" &amp; ADDRESS(income_max_row, COLUMN())))</f>
        <v>0</v>
      </c>
      <c r="HN24" s="18" cm="1">
        <f t="array" aca="1" ref="HN24" ca="1">SUM(INDIRECT(ADDRESS(income_min_row, COLUMN()) &amp; ":" &amp; ADDRESS(income_max_row, COLUMN())))</f>
        <v>0</v>
      </c>
      <c r="HO24" s="18" cm="1">
        <f t="array" aca="1" ref="HO24" ca="1">SUM(INDIRECT(ADDRESS(income_min_row, COLUMN()) &amp; ":" &amp; ADDRESS(income_max_row, COLUMN())))</f>
        <v>0</v>
      </c>
      <c r="HP24" s="18" cm="1">
        <f t="array" aca="1" ref="HP24" ca="1">SUM(INDIRECT(ADDRESS(income_min_row, COLUMN()) &amp; ":" &amp; ADDRESS(income_max_row, COLUMN())))</f>
        <v>0</v>
      </c>
      <c r="HQ24" s="18" cm="1">
        <f t="array" aca="1" ref="HQ24" ca="1">SUM(INDIRECT(ADDRESS(income_min_row, COLUMN()) &amp; ":" &amp; ADDRESS(income_max_row, COLUMN())))</f>
        <v>0</v>
      </c>
      <c r="HR24" s="18" cm="1">
        <f t="array" aca="1" ref="HR24" ca="1">SUM(INDIRECT(ADDRESS(income_min_row, COLUMN()) &amp; ":" &amp; ADDRESS(income_max_row, COLUMN())))</f>
        <v>0</v>
      </c>
      <c r="HS24" s="18" cm="1">
        <f t="array" aca="1" ref="HS24" ca="1">SUM(INDIRECT(ADDRESS(income_min_row, COLUMN()) &amp; ":" &amp; ADDRESS(income_max_row, COLUMN())))</f>
        <v>0</v>
      </c>
      <c r="HU24" s="18" cm="1">
        <f t="array" aca="1" ref="HU24" ca="1">SUM(INDIRECT(ADDRESS(income_min_row, COLUMN()) &amp; ":" &amp; ADDRESS(income_max_row, COLUMN())))</f>
        <v>0</v>
      </c>
      <c r="HV24" s="18" cm="1">
        <f t="array" aca="1" ref="HV24" ca="1">SUM(INDIRECT(ADDRESS(income_min_row, COLUMN()) &amp; ":" &amp; ADDRESS(income_max_row, COLUMN())))</f>
        <v>0</v>
      </c>
      <c r="HW24" s="18" cm="1">
        <f t="array" aca="1" ref="HW24" ca="1">SUM(INDIRECT(ADDRESS(income_min_row, COLUMN()) &amp; ":" &amp; ADDRESS(income_max_row, COLUMN())))</f>
        <v>0</v>
      </c>
      <c r="HX24" s="18" cm="1">
        <f t="array" aca="1" ref="HX24" ca="1">SUM(INDIRECT(ADDRESS(income_min_row, COLUMN()) &amp; ":" &amp; ADDRESS(income_max_row, COLUMN())))</f>
        <v>0</v>
      </c>
      <c r="HY24" s="18" cm="1">
        <f t="array" aca="1" ref="HY24" ca="1">SUM(INDIRECT(ADDRESS(income_min_row, COLUMN()) &amp; ":" &amp; ADDRESS(income_max_row, COLUMN())))</f>
        <v>0</v>
      </c>
      <c r="HZ24" s="18" cm="1">
        <f t="array" aca="1" ref="HZ24" ca="1">SUM(INDIRECT(ADDRESS(income_min_row, COLUMN()) &amp; ":" &amp; ADDRESS(income_max_row, COLUMN())))</f>
        <v>0</v>
      </c>
      <c r="IA24" s="18" cm="1">
        <f t="array" aca="1" ref="IA24" ca="1">SUM(INDIRECT(ADDRESS(income_min_row, COLUMN()) &amp; ":" &amp; ADDRESS(income_max_row, COLUMN())))</f>
        <v>0</v>
      </c>
      <c r="IB24" s="18" cm="1">
        <f t="array" aca="1" ref="IB24" ca="1">SUM(INDIRECT(ADDRESS(income_min_row, COLUMN()) &amp; ":" &amp; ADDRESS(income_max_row, COLUMN())))</f>
        <v>0</v>
      </c>
      <c r="IC24" s="18" cm="1">
        <f t="array" aca="1" ref="IC24" ca="1">SUM(INDIRECT(ADDRESS(income_min_row, COLUMN()) &amp; ":" &amp; ADDRESS(income_max_row, COLUMN())))</f>
        <v>0</v>
      </c>
      <c r="ID24" s="18" cm="1">
        <f t="array" aca="1" ref="ID24" ca="1">SUM(INDIRECT(ADDRESS(income_min_row, COLUMN()) &amp; ":" &amp; ADDRESS(income_max_row, COLUMN())))</f>
        <v>0</v>
      </c>
      <c r="IE24" s="18" cm="1">
        <f t="array" aca="1" ref="IE24" ca="1">SUM(INDIRECT(ADDRESS(income_min_row, COLUMN()) &amp; ":" &amp; ADDRESS(income_max_row, COLUMN())))</f>
        <v>0</v>
      </c>
      <c r="IF24" s="18" cm="1">
        <f t="array" aca="1" ref="IF24" ca="1">SUM(INDIRECT(ADDRESS(income_min_row, COLUMN()) &amp; ":" &amp; ADDRESS(income_max_row, COLUMN())))</f>
        <v>0</v>
      </c>
      <c r="IG24" s="18" cm="1">
        <f t="array" aca="1" ref="IG24" ca="1">SUM(INDIRECT(ADDRESS(income_min_row, COLUMN()) &amp; ":" &amp; ADDRESS(income_max_row, COLUMN())))</f>
        <v>0</v>
      </c>
    </row>
    <row r="26" spans="3:241" x14ac:dyDescent="0.2">
      <c r="C26" s="13" t="s">
        <v>13</v>
      </c>
      <c r="E26" s="21">
        <f>DATE(E$6,1,1)</f>
        <v>45658</v>
      </c>
      <c r="F26" s="21">
        <f>DATE(E$6,2,1)</f>
        <v>45689</v>
      </c>
      <c r="G26" s="21">
        <f>DATE(E$6,3,1)</f>
        <v>45717</v>
      </c>
      <c r="H26" s="21">
        <f>DATE(E$6,4,1)</f>
        <v>45748</v>
      </c>
      <c r="I26" s="21">
        <f>DATE(E$6,5,1)</f>
        <v>45778</v>
      </c>
      <c r="J26" s="21">
        <f>DATE(E$6,6,1)</f>
        <v>45809</v>
      </c>
      <c r="K26" s="21">
        <f>DATE(E$6,7,1)</f>
        <v>45839</v>
      </c>
      <c r="L26" s="21">
        <f>DATE(E$6,8,1)</f>
        <v>45870</v>
      </c>
      <c r="M26" s="21">
        <f>DATE(E$6,9,1)</f>
        <v>45901</v>
      </c>
      <c r="N26" s="21">
        <f>DATE(E$6,10,1)</f>
        <v>45931</v>
      </c>
      <c r="O26" s="21">
        <f>DATE(E$6,11,1)</f>
        <v>45962</v>
      </c>
      <c r="P26" s="21">
        <f>DATE(E$6,12,1)</f>
        <v>45992</v>
      </c>
      <c r="Q26" s="22">
        <f>E$6</f>
        <v>2025</v>
      </c>
      <c r="S26" s="21">
        <f>DATE(S$6,1,1)</f>
        <v>46023</v>
      </c>
      <c r="T26" s="21">
        <f>DATE(S$6,2,1)</f>
        <v>46054</v>
      </c>
      <c r="U26" s="21">
        <f>DATE(S$6,3,1)</f>
        <v>46082</v>
      </c>
      <c r="V26" s="21">
        <f>DATE(S$6,4,1)</f>
        <v>46113</v>
      </c>
      <c r="W26" s="21">
        <f>DATE(S$6,5,1)</f>
        <v>46143</v>
      </c>
      <c r="X26" s="21">
        <f>DATE(S$6,6,1)</f>
        <v>46174</v>
      </c>
      <c r="Y26" s="21">
        <f>DATE(S$6,7,1)</f>
        <v>46204</v>
      </c>
      <c r="Z26" s="21">
        <f>DATE(S$6,8,1)</f>
        <v>46235</v>
      </c>
      <c r="AA26" s="21">
        <f>DATE(S$6,9,1)</f>
        <v>46266</v>
      </c>
      <c r="AB26" s="21">
        <f>DATE(S$6,10,1)</f>
        <v>46296</v>
      </c>
      <c r="AC26" s="21">
        <f>DATE(S$6,11,1)</f>
        <v>46327</v>
      </c>
      <c r="AD26" s="21">
        <f>DATE(S$6,12,1)</f>
        <v>46357</v>
      </c>
      <c r="AE26" s="22">
        <f>S$6</f>
        <v>2026</v>
      </c>
      <c r="AG26" s="21">
        <f>DATE(AG$6,1,1)</f>
        <v>46388</v>
      </c>
      <c r="AH26" s="21">
        <f>DATE(AG$6,2,1)</f>
        <v>46419</v>
      </c>
      <c r="AI26" s="21">
        <f>DATE(AG$6,3,1)</f>
        <v>46447</v>
      </c>
      <c r="AJ26" s="21">
        <f>DATE(AG$6,4,1)</f>
        <v>46478</v>
      </c>
      <c r="AK26" s="21">
        <f>DATE(AG$6,5,1)</f>
        <v>46508</v>
      </c>
      <c r="AL26" s="21">
        <f>DATE(AG$6,6,1)</f>
        <v>46539</v>
      </c>
      <c r="AM26" s="21">
        <f>DATE(AG$6,7,1)</f>
        <v>46569</v>
      </c>
      <c r="AN26" s="21">
        <f>DATE(AG$6,8,1)</f>
        <v>46600</v>
      </c>
      <c r="AO26" s="21">
        <f>DATE(AG$6,9,1)</f>
        <v>46631</v>
      </c>
      <c r="AP26" s="21">
        <f>DATE(AG$6,10,1)</f>
        <v>46661</v>
      </c>
      <c r="AQ26" s="21">
        <f>DATE(AG$6,11,1)</f>
        <v>46692</v>
      </c>
      <c r="AR26" s="21">
        <f>DATE(AG$6,12,1)</f>
        <v>46722</v>
      </c>
      <c r="AS26" s="22">
        <f>AG$6</f>
        <v>2027</v>
      </c>
      <c r="AU26" s="21">
        <f>DATE(AU$6,1,1)</f>
        <v>46753</v>
      </c>
      <c r="AV26" s="21">
        <f>DATE(AU$6,2,1)</f>
        <v>46784</v>
      </c>
      <c r="AW26" s="21">
        <f>DATE(AU$6,3,1)</f>
        <v>46813</v>
      </c>
      <c r="AX26" s="21">
        <f>DATE(AU$6,4,1)</f>
        <v>46844</v>
      </c>
      <c r="AY26" s="21">
        <f>DATE(AU$6,5,1)</f>
        <v>46874</v>
      </c>
      <c r="AZ26" s="21">
        <f>DATE(AU$6,6,1)</f>
        <v>46905</v>
      </c>
      <c r="BA26" s="21">
        <f>DATE(AU$6,7,1)</f>
        <v>46935</v>
      </c>
      <c r="BB26" s="21">
        <f>DATE(AU$6,8,1)</f>
        <v>46966</v>
      </c>
      <c r="BC26" s="21">
        <f>DATE(AU$6,9,1)</f>
        <v>46997</v>
      </c>
      <c r="BD26" s="21">
        <f>DATE(AU$6,10,1)</f>
        <v>47027</v>
      </c>
      <c r="BE26" s="21">
        <f>DATE(AU$6,11,1)</f>
        <v>47058</v>
      </c>
      <c r="BF26" s="21">
        <f>DATE(AU$6,12,1)</f>
        <v>47088</v>
      </c>
      <c r="BG26" s="22">
        <f>AU$6</f>
        <v>2028</v>
      </c>
      <c r="BI26" s="21">
        <f>DATE(BI$6,1,1)</f>
        <v>47119</v>
      </c>
      <c r="BJ26" s="21">
        <f>DATE(BI$6,2,1)</f>
        <v>47150</v>
      </c>
      <c r="BK26" s="21">
        <f>DATE(BI$6,3,1)</f>
        <v>47178</v>
      </c>
      <c r="BL26" s="21">
        <f>DATE(BI$6,4,1)</f>
        <v>47209</v>
      </c>
      <c r="BM26" s="21">
        <f>DATE(BI$6,5,1)</f>
        <v>47239</v>
      </c>
      <c r="BN26" s="21">
        <f>DATE(BI$6,6,1)</f>
        <v>47270</v>
      </c>
      <c r="BO26" s="21">
        <f>DATE(BI$6,7,1)</f>
        <v>47300</v>
      </c>
      <c r="BP26" s="21">
        <f>DATE(BI$6,8,1)</f>
        <v>47331</v>
      </c>
      <c r="BQ26" s="21">
        <f>DATE(BI$6,9,1)</f>
        <v>47362</v>
      </c>
      <c r="BR26" s="21">
        <f>DATE(BI$6,10,1)</f>
        <v>47392</v>
      </c>
      <c r="BS26" s="21">
        <f>DATE(BI$6,11,1)</f>
        <v>47423</v>
      </c>
      <c r="BT26" s="21">
        <f>DATE(BI$6,12,1)</f>
        <v>47453</v>
      </c>
      <c r="BU26" s="22">
        <f>BI$6</f>
        <v>2029</v>
      </c>
      <c r="BW26" s="21">
        <f>DATE(BW$6,1,1)</f>
        <v>47484</v>
      </c>
      <c r="BX26" s="21">
        <f>DATE(BW$6,2,1)</f>
        <v>47515</v>
      </c>
      <c r="BY26" s="21">
        <f>DATE(BW$6,3,1)</f>
        <v>47543</v>
      </c>
      <c r="BZ26" s="21">
        <f>DATE(BW$6,4,1)</f>
        <v>47574</v>
      </c>
      <c r="CA26" s="21">
        <f>DATE(BW$6,5,1)</f>
        <v>47604</v>
      </c>
      <c r="CB26" s="21">
        <f>DATE(BW$6,6,1)</f>
        <v>47635</v>
      </c>
      <c r="CC26" s="21">
        <f>DATE(BW$6,7,1)</f>
        <v>47665</v>
      </c>
      <c r="CD26" s="21">
        <f>DATE(BW$6,8,1)</f>
        <v>47696</v>
      </c>
      <c r="CE26" s="21">
        <f>DATE(BW$6,9,1)</f>
        <v>47727</v>
      </c>
      <c r="CF26" s="21">
        <f>DATE(BW$6,10,1)</f>
        <v>47757</v>
      </c>
      <c r="CG26" s="21">
        <f>DATE(BW$6,11,1)</f>
        <v>47788</v>
      </c>
      <c r="CH26" s="21">
        <f>DATE(BW$6,12,1)</f>
        <v>47818</v>
      </c>
      <c r="CI26" s="22">
        <f>BW$6</f>
        <v>2030</v>
      </c>
      <c r="CK26" s="21">
        <f>DATE(CK$6,1,1)</f>
        <v>47849</v>
      </c>
      <c r="CL26" s="21">
        <f>DATE(CK$6,2,1)</f>
        <v>47880</v>
      </c>
      <c r="CM26" s="21">
        <f>DATE(CK$6,3,1)</f>
        <v>47908</v>
      </c>
      <c r="CN26" s="21">
        <f>DATE(CK$6,4,1)</f>
        <v>47939</v>
      </c>
      <c r="CO26" s="21">
        <f>DATE(CK$6,5,1)</f>
        <v>47969</v>
      </c>
      <c r="CP26" s="21">
        <f>DATE(CK$6,6,1)</f>
        <v>48000</v>
      </c>
      <c r="CQ26" s="21">
        <f>DATE(CK$6,7,1)</f>
        <v>48030</v>
      </c>
      <c r="CR26" s="21">
        <f>DATE(CK$6,8,1)</f>
        <v>48061</v>
      </c>
      <c r="CS26" s="21">
        <f>DATE(CK$6,9,1)</f>
        <v>48092</v>
      </c>
      <c r="CT26" s="21">
        <f>DATE(CK$6,10,1)</f>
        <v>48122</v>
      </c>
      <c r="CU26" s="21">
        <f>DATE(CK$6,11,1)</f>
        <v>48153</v>
      </c>
      <c r="CV26" s="21">
        <f>DATE(CK$6,12,1)</f>
        <v>48183</v>
      </c>
      <c r="CW26" s="22">
        <f>CK$6</f>
        <v>2031</v>
      </c>
      <c r="CY26" s="21">
        <f>DATE(CY$6,1,1)</f>
        <v>48214</v>
      </c>
      <c r="CZ26" s="21">
        <f>DATE(CY$6,2,1)</f>
        <v>48245</v>
      </c>
      <c r="DA26" s="21">
        <f>DATE(CY$6,3,1)</f>
        <v>48274</v>
      </c>
      <c r="DB26" s="21">
        <f>DATE(CY$6,4,1)</f>
        <v>48305</v>
      </c>
      <c r="DC26" s="21">
        <f>DATE(CY$6,5,1)</f>
        <v>48335</v>
      </c>
      <c r="DD26" s="21">
        <f>DATE(CY$6,6,1)</f>
        <v>48366</v>
      </c>
      <c r="DE26" s="21">
        <f>DATE(CY$6,7,1)</f>
        <v>48396</v>
      </c>
      <c r="DF26" s="21">
        <f>DATE(CY$6,8,1)</f>
        <v>48427</v>
      </c>
      <c r="DG26" s="21">
        <f>DATE(CY$6,9,1)</f>
        <v>48458</v>
      </c>
      <c r="DH26" s="21">
        <f>DATE(CY$6,10,1)</f>
        <v>48488</v>
      </c>
      <c r="DI26" s="21">
        <f>DATE(CY$6,11,1)</f>
        <v>48519</v>
      </c>
      <c r="DJ26" s="21">
        <f>DATE(CY$6,12,1)</f>
        <v>48549</v>
      </c>
      <c r="DK26" s="22">
        <f>CY$6</f>
        <v>2032</v>
      </c>
      <c r="DM26" s="21">
        <f>DATE(DM$6,1,1)</f>
        <v>48580</v>
      </c>
      <c r="DN26" s="21">
        <f>DATE(DM$6,2,1)</f>
        <v>48611</v>
      </c>
      <c r="DO26" s="21">
        <f>DATE(DM$6,3,1)</f>
        <v>48639</v>
      </c>
      <c r="DP26" s="21">
        <f>DATE(DM$6,4,1)</f>
        <v>48670</v>
      </c>
      <c r="DQ26" s="21">
        <f>DATE(DM$6,5,1)</f>
        <v>48700</v>
      </c>
      <c r="DR26" s="21">
        <f>DATE(DM$6,6,1)</f>
        <v>48731</v>
      </c>
      <c r="DS26" s="21">
        <f>DATE(DM$6,7,1)</f>
        <v>48761</v>
      </c>
      <c r="DT26" s="21">
        <f>DATE(DM$6,8,1)</f>
        <v>48792</v>
      </c>
      <c r="DU26" s="21">
        <f>DATE(DM$6,9,1)</f>
        <v>48823</v>
      </c>
      <c r="DV26" s="21">
        <f>DATE(DM$6,10,1)</f>
        <v>48853</v>
      </c>
      <c r="DW26" s="21">
        <f>DATE(DM$6,11,1)</f>
        <v>48884</v>
      </c>
      <c r="DX26" s="21">
        <f>DATE(DM$6,12,1)</f>
        <v>48914</v>
      </c>
      <c r="DY26" s="22">
        <f>DM$6</f>
        <v>2033</v>
      </c>
      <c r="EA26" s="21">
        <f>DATE(EA$6,1,1)</f>
        <v>48945</v>
      </c>
      <c r="EB26" s="21">
        <f>DATE(EA$6,2,1)</f>
        <v>48976</v>
      </c>
      <c r="EC26" s="21">
        <f>DATE(EA$6,3,1)</f>
        <v>49004</v>
      </c>
      <c r="ED26" s="21">
        <f>DATE(EA$6,4,1)</f>
        <v>49035</v>
      </c>
      <c r="EE26" s="21">
        <f>DATE(EA$6,5,1)</f>
        <v>49065</v>
      </c>
      <c r="EF26" s="21">
        <f>DATE(EA$6,6,1)</f>
        <v>49096</v>
      </c>
      <c r="EG26" s="21">
        <f>DATE(EA$6,7,1)</f>
        <v>49126</v>
      </c>
      <c r="EH26" s="21">
        <f>DATE(EA$6,8,1)</f>
        <v>49157</v>
      </c>
      <c r="EI26" s="21">
        <f>DATE(EA$6,9,1)</f>
        <v>49188</v>
      </c>
      <c r="EJ26" s="21">
        <f>DATE(EA$6,10,1)</f>
        <v>49218</v>
      </c>
      <c r="EK26" s="21">
        <f>DATE(EA$6,11,1)</f>
        <v>49249</v>
      </c>
      <c r="EL26" s="21">
        <f>DATE(EA$6,12,1)</f>
        <v>49279</v>
      </c>
      <c r="EM26" s="22">
        <f>EA$6</f>
        <v>2034</v>
      </c>
      <c r="EO26" s="21">
        <f>DATE(EO$6,1,1)</f>
        <v>49310</v>
      </c>
      <c r="EP26" s="21">
        <f>DATE(EO$6,2,1)</f>
        <v>49341</v>
      </c>
      <c r="EQ26" s="21">
        <f>DATE(EO$6,3,1)</f>
        <v>49369</v>
      </c>
      <c r="ER26" s="21">
        <f>DATE(EO$6,4,1)</f>
        <v>49400</v>
      </c>
      <c r="ES26" s="21">
        <f>DATE(EO$6,5,1)</f>
        <v>49430</v>
      </c>
      <c r="ET26" s="21">
        <f>DATE(EO$6,6,1)</f>
        <v>49461</v>
      </c>
      <c r="EU26" s="21">
        <f>DATE(EO$6,7,1)</f>
        <v>49491</v>
      </c>
      <c r="EV26" s="21">
        <f>DATE(EO$6,8,1)</f>
        <v>49522</v>
      </c>
      <c r="EW26" s="21">
        <f>DATE(EO$6,9,1)</f>
        <v>49553</v>
      </c>
      <c r="EX26" s="21">
        <f>DATE(EO$6,10,1)</f>
        <v>49583</v>
      </c>
      <c r="EY26" s="21">
        <f>DATE(EO$6,11,1)</f>
        <v>49614</v>
      </c>
      <c r="EZ26" s="21">
        <f>DATE(EO$6,12,1)</f>
        <v>49644</v>
      </c>
      <c r="FA26" s="22">
        <f>EO$6</f>
        <v>2035</v>
      </c>
      <c r="FC26" s="21">
        <f>DATE(FC$6,1,1)</f>
        <v>49675</v>
      </c>
      <c r="FD26" s="21">
        <f>DATE(FC$6,2,1)</f>
        <v>49706</v>
      </c>
      <c r="FE26" s="21">
        <f>DATE(FC$6,3,1)</f>
        <v>49735</v>
      </c>
      <c r="FF26" s="21">
        <f>DATE(FC$6,4,1)</f>
        <v>49766</v>
      </c>
      <c r="FG26" s="21">
        <f>DATE(FC$6,5,1)</f>
        <v>49796</v>
      </c>
      <c r="FH26" s="21">
        <f>DATE(FC$6,6,1)</f>
        <v>49827</v>
      </c>
      <c r="FI26" s="21">
        <f>DATE(FC$6,7,1)</f>
        <v>49857</v>
      </c>
      <c r="FJ26" s="21">
        <f>DATE(FC$6,8,1)</f>
        <v>49888</v>
      </c>
      <c r="FK26" s="21">
        <f>DATE(FC$6,9,1)</f>
        <v>49919</v>
      </c>
      <c r="FL26" s="21">
        <f>DATE(FC$6,10,1)</f>
        <v>49949</v>
      </c>
      <c r="FM26" s="21">
        <f>DATE(FC$6,11,1)</f>
        <v>49980</v>
      </c>
      <c r="FN26" s="21">
        <f>DATE(FC$6,12,1)</f>
        <v>50010</v>
      </c>
      <c r="FO26" s="22">
        <f>FC$6</f>
        <v>2036</v>
      </c>
      <c r="FQ26" s="21">
        <f>DATE(FQ$6,1,1)</f>
        <v>50041</v>
      </c>
      <c r="FR26" s="21">
        <f>DATE(FQ$6,2,1)</f>
        <v>50072</v>
      </c>
      <c r="FS26" s="21">
        <f>DATE(FQ$6,3,1)</f>
        <v>50100</v>
      </c>
      <c r="FT26" s="21">
        <f>DATE(FQ$6,4,1)</f>
        <v>50131</v>
      </c>
      <c r="FU26" s="21">
        <f>DATE(FQ$6,5,1)</f>
        <v>50161</v>
      </c>
      <c r="FV26" s="21">
        <f>DATE(FQ$6,6,1)</f>
        <v>50192</v>
      </c>
      <c r="FW26" s="21">
        <f>DATE(FQ$6,7,1)</f>
        <v>50222</v>
      </c>
      <c r="FX26" s="21">
        <f>DATE(FQ$6,8,1)</f>
        <v>50253</v>
      </c>
      <c r="FY26" s="21">
        <f>DATE(FQ$6,9,1)</f>
        <v>50284</v>
      </c>
      <c r="FZ26" s="21">
        <f>DATE(FQ$6,10,1)</f>
        <v>50314</v>
      </c>
      <c r="GA26" s="21">
        <f>DATE(FQ$6,11,1)</f>
        <v>50345</v>
      </c>
      <c r="GB26" s="21">
        <f>DATE(FQ$6,12,1)</f>
        <v>50375</v>
      </c>
      <c r="GC26" s="22">
        <f>FQ$6</f>
        <v>2037</v>
      </c>
      <c r="GE26" s="21">
        <f>DATE(GE$6,1,1)</f>
        <v>50406</v>
      </c>
      <c r="GF26" s="21">
        <f>DATE(GE$6,2,1)</f>
        <v>50437</v>
      </c>
      <c r="GG26" s="21">
        <f>DATE(GE$6,3,1)</f>
        <v>50465</v>
      </c>
      <c r="GH26" s="21">
        <f>DATE(GE$6,4,1)</f>
        <v>50496</v>
      </c>
      <c r="GI26" s="21">
        <f>DATE(GE$6,5,1)</f>
        <v>50526</v>
      </c>
      <c r="GJ26" s="21">
        <f>DATE(GE$6,6,1)</f>
        <v>50557</v>
      </c>
      <c r="GK26" s="21">
        <f>DATE(GE$6,7,1)</f>
        <v>50587</v>
      </c>
      <c r="GL26" s="21">
        <f>DATE(GE$6,8,1)</f>
        <v>50618</v>
      </c>
      <c r="GM26" s="21">
        <f>DATE(GE$6,9,1)</f>
        <v>50649</v>
      </c>
      <c r="GN26" s="21">
        <f>DATE(GE$6,10,1)</f>
        <v>50679</v>
      </c>
      <c r="GO26" s="21">
        <f>DATE(GE$6,11,1)</f>
        <v>50710</v>
      </c>
      <c r="GP26" s="21">
        <f>DATE(GE$6,12,1)</f>
        <v>50740</v>
      </c>
      <c r="GQ26" s="22">
        <f>GE$6</f>
        <v>2038</v>
      </c>
      <c r="GS26" s="21">
        <f>DATE(GS$6,1,1)</f>
        <v>50771</v>
      </c>
      <c r="GT26" s="21">
        <f>DATE(GS$6,2,1)</f>
        <v>50802</v>
      </c>
      <c r="GU26" s="21">
        <f>DATE(GS$6,3,1)</f>
        <v>50830</v>
      </c>
      <c r="GV26" s="21">
        <f>DATE(GS$6,4,1)</f>
        <v>50861</v>
      </c>
      <c r="GW26" s="21">
        <f>DATE(GS$6,5,1)</f>
        <v>50891</v>
      </c>
      <c r="GX26" s="21">
        <f>DATE(GS$6,6,1)</f>
        <v>50922</v>
      </c>
      <c r="GY26" s="21">
        <f>DATE(GS$6,7,1)</f>
        <v>50952</v>
      </c>
      <c r="GZ26" s="21">
        <f>DATE(GS$6,8,1)</f>
        <v>50983</v>
      </c>
      <c r="HA26" s="21">
        <f>DATE(GS$6,9,1)</f>
        <v>51014</v>
      </c>
      <c r="HB26" s="21">
        <f>DATE(GS$6,10,1)</f>
        <v>51044</v>
      </c>
      <c r="HC26" s="21">
        <f>DATE(GS$6,11,1)</f>
        <v>51075</v>
      </c>
      <c r="HD26" s="21">
        <f>DATE(GS$6,12,1)</f>
        <v>51105</v>
      </c>
      <c r="HE26" s="22">
        <f>GS$6</f>
        <v>2039</v>
      </c>
      <c r="HG26" s="21">
        <f>DATE(HG$6,1,1)</f>
        <v>51136</v>
      </c>
      <c r="HH26" s="21">
        <f>DATE(HG$6,2,1)</f>
        <v>51167</v>
      </c>
      <c r="HI26" s="21">
        <f>DATE(HG$6,3,1)</f>
        <v>51196</v>
      </c>
      <c r="HJ26" s="21">
        <f>DATE(HG$6,4,1)</f>
        <v>51227</v>
      </c>
      <c r="HK26" s="21">
        <f>DATE(HG$6,5,1)</f>
        <v>51257</v>
      </c>
      <c r="HL26" s="21">
        <f>DATE(HG$6,6,1)</f>
        <v>51288</v>
      </c>
      <c r="HM26" s="21">
        <f>DATE(HG$6,7,1)</f>
        <v>51318</v>
      </c>
      <c r="HN26" s="21">
        <f>DATE(HG$6,8,1)</f>
        <v>51349</v>
      </c>
      <c r="HO26" s="21">
        <f>DATE(HG$6,9,1)</f>
        <v>51380</v>
      </c>
      <c r="HP26" s="21">
        <f>DATE(HG$6,10,1)</f>
        <v>51410</v>
      </c>
      <c r="HQ26" s="21">
        <f>DATE(HG$6,11,1)</f>
        <v>51441</v>
      </c>
      <c r="HR26" s="21">
        <f>DATE(HG$6,12,1)</f>
        <v>51471</v>
      </c>
      <c r="HS26" s="22">
        <f>HG$6</f>
        <v>2040</v>
      </c>
      <c r="HU26" s="21">
        <f>DATE(HU$6,1,1)</f>
        <v>51502</v>
      </c>
      <c r="HV26" s="21">
        <f>DATE(HU$6,2,1)</f>
        <v>51533</v>
      </c>
      <c r="HW26" s="21">
        <f>DATE(HU$6,3,1)</f>
        <v>51561</v>
      </c>
      <c r="HX26" s="21">
        <f>DATE(HU$6,4,1)</f>
        <v>51592</v>
      </c>
      <c r="HY26" s="21">
        <f>DATE(HU$6,5,1)</f>
        <v>51622</v>
      </c>
      <c r="HZ26" s="21">
        <f>DATE(HU$6,6,1)</f>
        <v>51653</v>
      </c>
      <c r="IA26" s="21">
        <f>DATE(HU$6,7,1)</f>
        <v>51683</v>
      </c>
      <c r="IB26" s="21">
        <f>DATE(HU$6,8,1)</f>
        <v>51714</v>
      </c>
      <c r="IC26" s="21">
        <f>DATE(HU$6,9,1)</f>
        <v>51745</v>
      </c>
      <c r="ID26" s="21">
        <f>DATE(HU$6,10,1)</f>
        <v>51775</v>
      </c>
      <c r="IE26" s="21">
        <f>DATE(HU$6,11,1)</f>
        <v>51806</v>
      </c>
      <c r="IF26" s="21">
        <f>DATE(HU$6,12,1)</f>
        <v>51836</v>
      </c>
      <c r="IG26" s="22">
        <f>HU$6</f>
        <v>2041</v>
      </c>
    </row>
    <row r="27" spans="3:241" x14ac:dyDescent="0.2">
      <c r="C27" s="20" t="s">
        <v>14</v>
      </c>
      <c r="E27" s="16"/>
      <c r="F27" s="16"/>
      <c r="G27" s="16"/>
      <c r="H27" s="16"/>
      <c r="I27" s="16"/>
      <c r="J27" s="16"/>
      <c r="K27" s="16"/>
      <c r="L27" s="16" cm="1">
        <f t="array" ref="L27">SUMPRODUCT((Previsions[Type]="Expenses")*(Previsions[Cat]=Expenses[[#This Row],[Expenses]])*(Previsions[Final Budget])*1)</f>
        <v>1912</v>
      </c>
      <c r="M27" s="16" cm="1">
        <f t="array" ref="M27">SUMPRODUCT((Previsions[Type]="Expenses")*(Previsions[Cat]=Expenses[[#This Row],[Expenses]])*(Previsions[Final Budget])*1)</f>
        <v>1912</v>
      </c>
      <c r="N27" s="16" cm="1">
        <f t="array" ref="N27">SUMPRODUCT((Previsions[Type]="Expenses")*(Previsions[Cat]=Expenses[[#This Row],[Expenses]])*(Previsions[Final Budget])*1)</f>
        <v>1912</v>
      </c>
      <c r="O27" s="16" cm="1">
        <f t="array" ref="O27">SUMPRODUCT((Previsions[Type]="Expenses")*(Previsions[Cat]=Expenses[[#This Row],[Expenses]])*(Previsions[Final Budget])*1)</f>
        <v>1912</v>
      </c>
      <c r="P27" s="16">
        <v>1500</v>
      </c>
      <c r="Q27" s="19">
        <f t="shared" ref="Q27:Q46" si="1">SUM(E27:P27)</f>
        <v>9148</v>
      </c>
      <c r="S27" s="16">
        <v>1500</v>
      </c>
      <c r="T27" s="16">
        <v>1500</v>
      </c>
      <c r="U27" s="16">
        <v>1500</v>
      </c>
      <c r="V27" s="16">
        <v>1500</v>
      </c>
      <c r="W27" s="16">
        <v>1500</v>
      </c>
      <c r="X27" s="16">
        <v>1500</v>
      </c>
      <c r="Y27" s="16">
        <v>1500</v>
      </c>
      <c r="Z27" s="16">
        <v>1500</v>
      </c>
      <c r="AA27" s="16">
        <v>1500</v>
      </c>
      <c r="AB27" s="16">
        <v>1500</v>
      </c>
      <c r="AC27" s="16">
        <v>1500</v>
      </c>
      <c r="AD27" s="16">
        <v>1500</v>
      </c>
      <c r="AE27" s="19">
        <f t="shared" ref="AE27:AE51" si="2">SUM(S27:AD27)</f>
        <v>18000</v>
      </c>
      <c r="AG27" s="16"/>
      <c r="AH27" s="16"/>
      <c r="AI27" s="16"/>
      <c r="AJ27" s="16"/>
      <c r="AK27" s="16"/>
      <c r="AL27" s="16"/>
      <c r="AM27" s="16"/>
      <c r="AN27" s="16"/>
      <c r="AO27" s="16"/>
      <c r="AP27" s="16"/>
      <c r="AQ27" s="16"/>
      <c r="AR27" s="16"/>
      <c r="AS27" s="19">
        <f t="shared" ref="AS27:AS51" si="3">SUM(AG27:AR27)</f>
        <v>0</v>
      </c>
      <c r="AU27" s="16"/>
      <c r="AV27" s="16"/>
      <c r="AW27" s="16"/>
      <c r="AX27" s="16"/>
      <c r="AY27" s="16"/>
      <c r="AZ27" s="16"/>
      <c r="BA27" s="16"/>
      <c r="BB27" s="16"/>
      <c r="BC27" s="16"/>
      <c r="BD27" s="16"/>
      <c r="BE27" s="16"/>
      <c r="BF27" s="16"/>
      <c r="BG27" s="19">
        <f t="shared" ref="BG27:BG51" si="4">SUM(AU27:BF27)</f>
        <v>0</v>
      </c>
      <c r="BI27" s="16"/>
      <c r="BJ27" s="16"/>
      <c r="BK27" s="16"/>
      <c r="BL27" s="16"/>
      <c r="BM27" s="16"/>
      <c r="BN27" s="16"/>
      <c r="BO27" s="16"/>
      <c r="BP27" s="16"/>
      <c r="BQ27" s="16"/>
      <c r="BR27" s="16"/>
      <c r="BS27" s="16"/>
      <c r="BT27" s="16"/>
      <c r="BU27" s="19">
        <f t="shared" ref="BU27:BU51" si="5">SUM(BI27:BT27)</f>
        <v>0</v>
      </c>
      <c r="BW27" s="16"/>
      <c r="BX27" s="16"/>
      <c r="BY27" s="16"/>
      <c r="BZ27" s="16"/>
      <c r="CA27" s="16"/>
      <c r="CB27" s="16"/>
      <c r="CC27" s="16"/>
      <c r="CD27" s="16"/>
      <c r="CE27" s="16"/>
      <c r="CF27" s="16"/>
      <c r="CG27" s="16"/>
      <c r="CH27" s="16"/>
      <c r="CI27" s="19">
        <f t="shared" ref="CI27:CI51" si="6">SUM(BW27:CH27)</f>
        <v>0</v>
      </c>
      <c r="CK27" s="16"/>
      <c r="CL27" s="16"/>
      <c r="CM27" s="16"/>
      <c r="CN27" s="16"/>
      <c r="CO27" s="16"/>
      <c r="CP27" s="16"/>
      <c r="CQ27" s="16"/>
      <c r="CR27" s="16"/>
      <c r="CS27" s="16"/>
      <c r="CT27" s="16"/>
      <c r="CU27" s="16"/>
      <c r="CV27" s="16"/>
      <c r="CW27" s="19">
        <f t="shared" ref="CW27:CW51" si="7">SUM(CK27:CV27)</f>
        <v>0</v>
      </c>
      <c r="CY27" s="16"/>
      <c r="CZ27" s="16"/>
      <c r="DA27" s="16"/>
      <c r="DB27" s="16"/>
      <c r="DC27" s="16"/>
      <c r="DD27" s="16"/>
      <c r="DE27" s="16"/>
      <c r="DF27" s="16"/>
      <c r="DG27" s="16"/>
      <c r="DH27" s="16"/>
      <c r="DI27" s="16"/>
      <c r="DJ27" s="16"/>
      <c r="DK27" s="19">
        <f t="shared" ref="DK27:DK51" si="8">SUM(CY27:DJ27)</f>
        <v>0</v>
      </c>
      <c r="DM27" s="16"/>
      <c r="DN27" s="16"/>
      <c r="DO27" s="16"/>
      <c r="DP27" s="16"/>
      <c r="DQ27" s="16"/>
      <c r="DR27" s="16"/>
      <c r="DS27" s="16"/>
      <c r="DT27" s="16"/>
      <c r="DU27" s="16"/>
      <c r="DV27" s="16"/>
      <c r="DW27" s="16"/>
      <c r="DX27" s="16"/>
      <c r="DY27" s="19">
        <f t="shared" ref="DY27:DY51" si="9">SUM(DM27:DX27)</f>
        <v>0</v>
      </c>
      <c r="EA27" s="16"/>
      <c r="EB27" s="16"/>
      <c r="EC27" s="16"/>
      <c r="ED27" s="16"/>
      <c r="EE27" s="16"/>
      <c r="EF27" s="16"/>
      <c r="EG27" s="16"/>
      <c r="EH27" s="16"/>
      <c r="EI27" s="16"/>
      <c r="EJ27" s="16"/>
      <c r="EK27" s="16"/>
      <c r="EL27" s="16"/>
      <c r="EM27" s="19">
        <f t="shared" ref="EM27:EM51" si="10">SUM(EA27:EL27)</f>
        <v>0</v>
      </c>
      <c r="EO27" s="16"/>
      <c r="EP27" s="16"/>
      <c r="EQ27" s="16"/>
      <c r="ER27" s="16"/>
      <c r="ES27" s="16"/>
      <c r="ET27" s="16"/>
      <c r="EU27" s="16"/>
      <c r="EV27" s="16"/>
      <c r="EW27" s="16"/>
      <c r="EX27" s="16"/>
      <c r="EY27" s="16"/>
      <c r="EZ27" s="16"/>
      <c r="FA27" s="19">
        <f t="shared" ref="FA27:FA51" si="11">SUM(EO27:EZ27)</f>
        <v>0</v>
      </c>
      <c r="FC27" s="16"/>
      <c r="FD27" s="16"/>
      <c r="FE27" s="16"/>
      <c r="FF27" s="16"/>
      <c r="FG27" s="16"/>
      <c r="FH27" s="16"/>
      <c r="FI27" s="16"/>
      <c r="FJ27" s="16"/>
      <c r="FK27" s="16"/>
      <c r="FL27" s="16"/>
      <c r="FM27" s="16"/>
      <c r="FN27" s="16"/>
      <c r="FO27" s="19">
        <f t="shared" ref="FO27:FO51" si="12">SUM(FC27:FN27)</f>
        <v>0</v>
      </c>
      <c r="FQ27" s="16"/>
      <c r="FR27" s="16"/>
      <c r="FS27" s="16"/>
      <c r="FT27" s="16"/>
      <c r="FU27" s="16"/>
      <c r="FV27" s="16"/>
      <c r="FW27" s="16"/>
      <c r="FX27" s="16"/>
      <c r="FY27" s="16"/>
      <c r="FZ27" s="16"/>
      <c r="GA27" s="16"/>
      <c r="GB27" s="16"/>
      <c r="GC27" s="19">
        <f t="shared" ref="GC27:GC51" si="13">SUM(FQ27:GB27)</f>
        <v>0</v>
      </c>
      <c r="GE27" s="16"/>
      <c r="GF27" s="16"/>
      <c r="GG27" s="16"/>
      <c r="GH27" s="16"/>
      <c r="GI27" s="16"/>
      <c r="GJ27" s="16"/>
      <c r="GK27" s="16"/>
      <c r="GL27" s="16"/>
      <c r="GM27" s="16"/>
      <c r="GN27" s="16"/>
      <c r="GO27" s="16"/>
      <c r="GP27" s="16"/>
      <c r="GQ27" s="19">
        <f t="shared" ref="GQ27:GQ51" si="14">SUM(GE27:GP27)</f>
        <v>0</v>
      </c>
      <c r="GS27" s="16"/>
      <c r="GT27" s="16"/>
      <c r="GU27" s="16"/>
      <c r="GV27" s="16"/>
      <c r="GW27" s="16"/>
      <c r="GX27" s="16"/>
      <c r="GY27" s="16"/>
      <c r="GZ27" s="16"/>
      <c r="HA27" s="16"/>
      <c r="HB27" s="16"/>
      <c r="HC27" s="16"/>
      <c r="HD27" s="16"/>
      <c r="HE27" s="19">
        <f t="shared" ref="HE27:HE51" si="15">SUM(GS27:HD27)</f>
        <v>0</v>
      </c>
      <c r="HG27" s="16"/>
      <c r="HH27" s="16"/>
      <c r="HI27" s="16"/>
      <c r="HJ27" s="16"/>
      <c r="HK27" s="16"/>
      <c r="HL27" s="16"/>
      <c r="HM27" s="16"/>
      <c r="HN27" s="16"/>
      <c r="HO27" s="16"/>
      <c r="HP27" s="16"/>
      <c r="HQ27" s="16"/>
      <c r="HR27" s="16"/>
      <c r="HS27" s="19">
        <f t="shared" ref="HS27:HS51" si="16">SUM(HG27:HR27)</f>
        <v>0</v>
      </c>
      <c r="HU27" s="16"/>
      <c r="HV27" s="16"/>
      <c r="HW27" s="16"/>
      <c r="HX27" s="16"/>
      <c r="HY27" s="16"/>
      <c r="HZ27" s="16"/>
      <c r="IA27" s="16"/>
      <c r="IB27" s="16"/>
      <c r="IC27" s="16"/>
      <c r="ID27" s="16"/>
      <c r="IE27" s="16"/>
      <c r="IF27" s="16"/>
      <c r="IG27" s="19">
        <f t="shared" ref="IG27:IG51" si="17">SUM(HU27:IF27)</f>
        <v>0</v>
      </c>
    </row>
    <row r="28" spans="3:241" x14ac:dyDescent="0.2">
      <c r="C28" s="20" t="s">
        <v>162</v>
      </c>
      <c r="E28" s="16"/>
      <c r="F28" s="16"/>
      <c r="G28" s="16"/>
      <c r="H28" s="16"/>
      <c r="I28" s="16"/>
      <c r="J28" s="16"/>
      <c r="K28" s="16"/>
      <c r="L28" s="16" cm="1">
        <f t="array" ref="L28">SUMPRODUCT((Previsions[Type]="Expenses")*(Previsions[Cat]=Expenses[[#This Row],[Expenses]])*(Previsions[Final Budget])*1)</f>
        <v>35</v>
      </c>
      <c r="M28" s="16" cm="1">
        <f t="array" ref="M28">SUMPRODUCT((Previsions[Type]="Expenses")*(Previsions[Cat]=Expenses[[#This Row],[Expenses]])*(Previsions[Final Budget])*1)</f>
        <v>35</v>
      </c>
      <c r="N28" s="16" cm="1">
        <f t="array" ref="N28">SUMPRODUCT((Previsions[Type]="Expenses")*(Previsions[Cat]=Expenses[[#This Row],[Expenses]])*(Previsions[Final Budget])*1)</f>
        <v>35</v>
      </c>
      <c r="O28" s="16" cm="1">
        <f t="array" ref="O28">SUMPRODUCT((Previsions[Type]="Expenses")*(Previsions[Cat]=Expenses[[#This Row],[Expenses]])*(Previsions[Final Budget])*1)</f>
        <v>35</v>
      </c>
      <c r="P28" s="16" cm="1">
        <f t="array" ref="P28">SUMPRODUCT((Previsions[Type]="Expenses")*(Previsions[Cat]=Expenses[[#This Row],[Expenses]])*(Previsions[Final Budget])*1)</f>
        <v>35</v>
      </c>
      <c r="Q28" s="19">
        <f t="shared" si="1"/>
        <v>175</v>
      </c>
      <c r="S28" s="16"/>
      <c r="T28" s="16"/>
      <c r="U28" s="16"/>
      <c r="V28" s="16"/>
      <c r="W28" s="16"/>
      <c r="X28" s="16"/>
      <c r="Y28" s="16"/>
      <c r="Z28" s="16"/>
      <c r="AA28" s="16"/>
      <c r="AB28" s="16"/>
      <c r="AC28" s="16"/>
      <c r="AD28" s="16"/>
      <c r="AE28" s="19">
        <f t="shared" si="2"/>
        <v>0</v>
      </c>
      <c r="AG28" s="16"/>
      <c r="AH28" s="16"/>
      <c r="AI28" s="16"/>
      <c r="AJ28" s="16"/>
      <c r="AK28" s="16"/>
      <c r="AL28" s="16"/>
      <c r="AM28" s="16"/>
      <c r="AN28" s="16"/>
      <c r="AO28" s="16"/>
      <c r="AP28" s="16"/>
      <c r="AQ28" s="16"/>
      <c r="AR28" s="16"/>
      <c r="AS28" s="19">
        <f t="shared" si="3"/>
        <v>0</v>
      </c>
      <c r="AU28" s="16"/>
      <c r="AV28" s="16"/>
      <c r="AW28" s="16"/>
      <c r="AX28" s="16"/>
      <c r="AY28" s="16"/>
      <c r="AZ28" s="16"/>
      <c r="BA28" s="16"/>
      <c r="BB28" s="16"/>
      <c r="BC28" s="16"/>
      <c r="BD28" s="16"/>
      <c r="BE28" s="16"/>
      <c r="BF28" s="16"/>
      <c r="BG28" s="19">
        <f t="shared" si="4"/>
        <v>0</v>
      </c>
      <c r="BI28" s="16"/>
      <c r="BJ28" s="16"/>
      <c r="BK28" s="16"/>
      <c r="BL28" s="16"/>
      <c r="BM28" s="16"/>
      <c r="BN28" s="16"/>
      <c r="BO28" s="16"/>
      <c r="BP28" s="16"/>
      <c r="BQ28" s="16"/>
      <c r="BR28" s="16"/>
      <c r="BS28" s="16"/>
      <c r="BT28" s="16"/>
      <c r="BU28" s="19">
        <f t="shared" si="5"/>
        <v>0</v>
      </c>
      <c r="BW28" s="16"/>
      <c r="BX28" s="16"/>
      <c r="BY28" s="16"/>
      <c r="BZ28" s="16"/>
      <c r="CA28" s="16"/>
      <c r="CB28" s="16"/>
      <c r="CC28" s="16"/>
      <c r="CD28" s="16"/>
      <c r="CE28" s="16"/>
      <c r="CF28" s="16"/>
      <c r="CG28" s="16"/>
      <c r="CH28" s="16"/>
      <c r="CI28" s="19">
        <f t="shared" si="6"/>
        <v>0</v>
      </c>
      <c r="CK28" s="16"/>
      <c r="CL28" s="16"/>
      <c r="CM28" s="16"/>
      <c r="CN28" s="16"/>
      <c r="CO28" s="16"/>
      <c r="CP28" s="16"/>
      <c r="CQ28" s="16"/>
      <c r="CR28" s="16"/>
      <c r="CS28" s="16"/>
      <c r="CT28" s="16"/>
      <c r="CU28" s="16"/>
      <c r="CV28" s="16"/>
      <c r="CW28" s="19">
        <f t="shared" si="7"/>
        <v>0</v>
      </c>
      <c r="CY28" s="16"/>
      <c r="CZ28" s="16"/>
      <c r="DA28" s="16"/>
      <c r="DB28" s="16"/>
      <c r="DC28" s="16"/>
      <c r="DD28" s="16"/>
      <c r="DE28" s="16"/>
      <c r="DF28" s="16"/>
      <c r="DG28" s="16"/>
      <c r="DH28" s="16"/>
      <c r="DI28" s="16"/>
      <c r="DJ28" s="16"/>
      <c r="DK28" s="19">
        <f t="shared" si="8"/>
        <v>0</v>
      </c>
      <c r="DM28" s="16"/>
      <c r="DN28" s="16"/>
      <c r="DO28" s="16"/>
      <c r="DP28" s="16"/>
      <c r="DQ28" s="16"/>
      <c r="DR28" s="16"/>
      <c r="DS28" s="16"/>
      <c r="DT28" s="16"/>
      <c r="DU28" s="16"/>
      <c r="DV28" s="16"/>
      <c r="DW28" s="16"/>
      <c r="DX28" s="16"/>
      <c r="DY28" s="19">
        <f t="shared" si="9"/>
        <v>0</v>
      </c>
      <c r="EA28" s="16"/>
      <c r="EB28" s="16"/>
      <c r="EC28" s="16"/>
      <c r="ED28" s="16"/>
      <c r="EE28" s="16"/>
      <c r="EF28" s="16"/>
      <c r="EG28" s="16"/>
      <c r="EH28" s="16"/>
      <c r="EI28" s="16"/>
      <c r="EJ28" s="16"/>
      <c r="EK28" s="16"/>
      <c r="EL28" s="16"/>
      <c r="EM28" s="19">
        <f t="shared" si="10"/>
        <v>0</v>
      </c>
      <c r="EO28" s="16"/>
      <c r="EP28" s="16"/>
      <c r="EQ28" s="16"/>
      <c r="ER28" s="16"/>
      <c r="ES28" s="16"/>
      <c r="ET28" s="16"/>
      <c r="EU28" s="16"/>
      <c r="EV28" s="16"/>
      <c r="EW28" s="16"/>
      <c r="EX28" s="16"/>
      <c r="EY28" s="16"/>
      <c r="EZ28" s="16"/>
      <c r="FA28" s="19">
        <f t="shared" si="11"/>
        <v>0</v>
      </c>
      <c r="FC28" s="16"/>
      <c r="FD28" s="16"/>
      <c r="FE28" s="16"/>
      <c r="FF28" s="16"/>
      <c r="FG28" s="16"/>
      <c r="FH28" s="16"/>
      <c r="FI28" s="16"/>
      <c r="FJ28" s="16"/>
      <c r="FK28" s="16"/>
      <c r="FL28" s="16"/>
      <c r="FM28" s="16"/>
      <c r="FN28" s="16"/>
      <c r="FO28" s="19">
        <f t="shared" si="12"/>
        <v>0</v>
      </c>
      <c r="FQ28" s="16"/>
      <c r="FR28" s="16"/>
      <c r="FS28" s="16"/>
      <c r="FT28" s="16"/>
      <c r="FU28" s="16"/>
      <c r="FV28" s="16"/>
      <c r="FW28" s="16"/>
      <c r="FX28" s="16"/>
      <c r="FY28" s="16"/>
      <c r="FZ28" s="16"/>
      <c r="GA28" s="16"/>
      <c r="GB28" s="16"/>
      <c r="GC28" s="19">
        <f t="shared" si="13"/>
        <v>0</v>
      </c>
      <c r="GE28" s="16"/>
      <c r="GF28" s="16"/>
      <c r="GG28" s="16"/>
      <c r="GH28" s="16"/>
      <c r="GI28" s="16"/>
      <c r="GJ28" s="16"/>
      <c r="GK28" s="16"/>
      <c r="GL28" s="16"/>
      <c r="GM28" s="16"/>
      <c r="GN28" s="16"/>
      <c r="GO28" s="16"/>
      <c r="GP28" s="16"/>
      <c r="GQ28" s="19">
        <f t="shared" si="14"/>
        <v>0</v>
      </c>
      <c r="GS28" s="16"/>
      <c r="GT28" s="16"/>
      <c r="GU28" s="16"/>
      <c r="GV28" s="16"/>
      <c r="GW28" s="16"/>
      <c r="GX28" s="16"/>
      <c r="GY28" s="16"/>
      <c r="GZ28" s="16"/>
      <c r="HA28" s="16"/>
      <c r="HB28" s="16"/>
      <c r="HC28" s="16"/>
      <c r="HD28" s="16"/>
      <c r="HE28" s="19">
        <f t="shared" si="15"/>
        <v>0</v>
      </c>
      <c r="HG28" s="16"/>
      <c r="HH28" s="16"/>
      <c r="HI28" s="16"/>
      <c r="HJ28" s="16"/>
      <c r="HK28" s="16"/>
      <c r="HL28" s="16"/>
      <c r="HM28" s="16"/>
      <c r="HN28" s="16"/>
      <c r="HO28" s="16"/>
      <c r="HP28" s="16"/>
      <c r="HQ28" s="16"/>
      <c r="HR28" s="16"/>
      <c r="HS28" s="19">
        <f t="shared" si="16"/>
        <v>0</v>
      </c>
      <c r="HU28" s="16"/>
      <c r="HV28" s="16"/>
      <c r="HW28" s="16"/>
      <c r="HX28" s="16"/>
      <c r="HY28" s="16"/>
      <c r="HZ28" s="16"/>
      <c r="IA28" s="16"/>
      <c r="IB28" s="16"/>
      <c r="IC28" s="16"/>
      <c r="ID28" s="16"/>
      <c r="IE28" s="16"/>
      <c r="IF28" s="16"/>
      <c r="IG28" s="19">
        <f t="shared" si="17"/>
        <v>0</v>
      </c>
    </row>
    <row r="29" spans="3:241" x14ac:dyDescent="0.2">
      <c r="C29" s="20" t="s">
        <v>218</v>
      </c>
      <c r="E29" s="16"/>
      <c r="F29" s="16"/>
      <c r="G29" s="16"/>
      <c r="H29" s="16"/>
      <c r="I29" s="16"/>
      <c r="J29" s="16"/>
      <c r="K29" s="16"/>
      <c r="L29" s="16"/>
      <c r="M29" s="16"/>
      <c r="N29" s="16"/>
      <c r="O29" s="16"/>
      <c r="P29" s="16">
        <v>1510</v>
      </c>
      <c r="Q29" s="19">
        <v>1509.6</v>
      </c>
      <c r="S29" s="16"/>
      <c r="T29" s="16"/>
      <c r="U29" s="16"/>
      <c r="V29" s="16"/>
      <c r="W29" s="16"/>
      <c r="X29" s="16"/>
      <c r="Y29" s="16"/>
      <c r="Z29" s="16"/>
      <c r="AA29" s="16"/>
      <c r="AB29" s="16"/>
      <c r="AC29" s="16"/>
      <c r="AD29" s="16"/>
      <c r="AE29" s="19">
        <f t="shared" si="2"/>
        <v>0</v>
      </c>
      <c r="AG29" s="16"/>
      <c r="AH29" s="16"/>
      <c r="AI29" s="16"/>
      <c r="AJ29" s="16"/>
      <c r="AK29" s="16"/>
      <c r="AL29" s="16"/>
      <c r="AM29" s="16"/>
      <c r="AN29" s="16"/>
      <c r="AO29" s="16"/>
      <c r="AP29" s="16"/>
      <c r="AQ29" s="16"/>
      <c r="AR29" s="16"/>
      <c r="AS29" s="19"/>
      <c r="AU29" s="16"/>
      <c r="AV29" s="16"/>
      <c r="AW29" s="16"/>
      <c r="AX29" s="16"/>
      <c r="AY29" s="16"/>
      <c r="AZ29" s="16"/>
      <c r="BA29" s="16"/>
      <c r="BB29" s="16"/>
      <c r="BC29" s="16"/>
      <c r="BD29" s="16"/>
      <c r="BE29" s="16"/>
      <c r="BF29" s="16"/>
      <c r="BG29" s="19"/>
      <c r="BI29" s="16"/>
      <c r="BJ29" s="16"/>
      <c r="BK29" s="16"/>
      <c r="BL29" s="16"/>
      <c r="BM29" s="16"/>
      <c r="BN29" s="16"/>
      <c r="BO29" s="16"/>
      <c r="BP29" s="16"/>
      <c r="BQ29" s="16"/>
      <c r="BR29" s="16"/>
      <c r="BS29" s="16"/>
      <c r="BT29" s="16"/>
      <c r="BU29" s="19"/>
      <c r="BW29" s="16"/>
      <c r="BX29" s="16"/>
      <c r="BY29" s="16"/>
      <c r="BZ29" s="16"/>
      <c r="CA29" s="16"/>
      <c r="CB29" s="16"/>
      <c r="CC29" s="16"/>
      <c r="CD29" s="16"/>
      <c r="CE29" s="16"/>
      <c r="CF29" s="16"/>
      <c r="CG29" s="16"/>
      <c r="CH29" s="16"/>
      <c r="CI29" s="19"/>
      <c r="CK29" s="16"/>
      <c r="CL29" s="16"/>
      <c r="CM29" s="16"/>
      <c r="CN29" s="16"/>
      <c r="CO29" s="16"/>
      <c r="CP29" s="16"/>
      <c r="CQ29" s="16"/>
      <c r="CR29" s="16"/>
      <c r="CS29" s="16"/>
      <c r="CT29" s="16"/>
      <c r="CU29" s="16"/>
      <c r="CV29" s="16"/>
      <c r="CW29" s="19"/>
      <c r="CY29" s="16"/>
      <c r="CZ29" s="16"/>
      <c r="DA29" s="16"/>
      <c r="DB29" s="16"/>
      <c r="DC29" s="16"/>
      <c r="DD29" s="16"/>
      <c r="DE29" s="16"/>
      <c r="DF29" s="16"/>
      <c r="DG29" s="16"/>
      <c r="DH29" s="16"/>
      <c r="DI29" s="16"/>
      <c r="DJ29" s="16"/>
      <c r="DK29" s="19"/>
      <c r="DM29" s="16"/>
      <c r="DN29" s="16"/>
      <c r="DO29" s="16"/>
      <c r="DP29" s="16"/>
      <c r="DQ29" s="16"/>
      <c r="DR29" s="16"/>
      <c r="DS29" s="16"/>
      <c r="DT29" s="16"/>
      <c r="DU29" s="16"/>
      <c r="DV29" s="16"/>
      <c r="DW29" s="16"/>
      <c r="DX29" s="16"/>
      <c r="DY29" s="19"/>
      <c r="EA29" s="16"/>
      <c r="EB29" s="16"/>
      <c r="EC29" s="16"/>
      <c r="ED29" s="16"/>
      <c r="EE29" s="16"/>
      <c r="EF29" s="16"/>
      <c r="EG29" s="16"/>
      <c r="EH29" s="16"/>
      <c r="EI29" s="16"/>
      <c r="EJ29" s="16"/>
      <c r="EK29" s="16"/>
      <c r="EL29" s="16"/>
      <c r="EM29" s="19"/>
      <c r="EO29" s="16"/>
      <c r="EP29" s="16"/>
      <c r="EQ29" s="16"/>
      <c r="ER29" s="16"/>
      <c r="ES29" s="16"/>
      <c r="ET29" s="16"/>
      <c r="EU29" s="16"/>
      <c r="EV29" s="16"/>
      <c r="EW29" s="16"/>
      <c r="EX29" s="16"/>
      <c r="EY29" s="16"/>
      <c r="EZ29" s="16"/>
      <c r="FA29" s="19"/>
      <c r="FC29" s="16"/>
      <c r="FD29" s="16"/>
      <c r="FE29" s="16"/>
      <c r="FF29" s="16"/>
      <c r="FG29" s="16"/>
      <c r="FH29" s="16"/>
      <c r="FI29" s="16"/>
      <c r="FJ29" s="16"/>
      <c r="FK29" s="16"/>
      <c r="FL29" s="16"/>
      <c r="FM29" s="16"/>
      <c r="FN29" s="16"/>
      <c r="FO29" s="19"/>
      <c r="FQ29" s="16"/>
      <c r="FR29" s="16"/>
      <c r="FS29" s="16"/>
      <c r="FT29" s="16"/>
      <c r="FU29" s="16"/>
      <c r="FV29" s="16"/>
      <c r="FW29" s="16"/>
      <c r="FX29" s="16"/>
      <c r="FY29" s="16"/>
      <c r="FZ29" s="16"/>
      <c r="GA29" s="16"/>
      <c r="GB29" s="16"/>
      <c r="GC29" s="19"/>
      <c r="GE29" s="16"/>
      <c r="GF29" s="16"/>
      <c r="GG29" s="16"/>
      <c r="GH29" s="16"/>
      <c r="GI29" s="16"/>
      <c r="GJ29" s="16"/>
      <c r="GK29" s="16"/>
      <c r="GL29" s="16"/>
      <c r="GM29" s="16"/>
      <c r="GN29" s="16"/>
      <c r="GO29" s="16"/>
      <c r="GP29" s="16"/>
      <c r="GQ29" s="19"/>
      <c r="GS29" s="16"/>
      <c r="GT29" s="16"/>
      <c r="GU29" s="16"/>
      <c r="GV29" s="16"/>
      <c r="GW29" s="16"/>
      <c r="GX29" s="16"/>
      <c r="GY29" s="16"/>
      <c r="GZ29" s="16"/>
      <c r="HA29" s="16"/>
      <c r="HB29" s="16"/>
      <c r="HC29" s="16"/>
      <c r="HD29" s="16"/>
      <c r="HE29" s="19"/>
      <c r="HG29" s="16"/>
      <c r="HH29" s="16"/>
      <c r="HI29" s="16"/>
      <c r="HJ29" s="16"/>
      <c r="HK29" s="16"/>
      <c r="HL29" s="16"/>
      <c r="HM29" s="16"/>
      <c r="HN29" s="16"/>
      <c r="HO29" s="16"/>
      <c r="HP29" s="16"/>
      <c r="HQ29" s="16"/>
      <c r="HR29" s="16"/>
      <c r="HS29" s="19"/>
      <c r="HU29" s="16"/>
      <c r="HV29" s="16"/>
      <c r="HW29" s="16"/>
      <c r="HX29" s="16"/>
      <c r="HY29" s="16"/>
      <c r="HZ29" s="16"/>
      <c r="IA29" s="16"/>
      <c r="IB29" s="16"/>
      <c r="IC29" s="16"/>
      <c r="ID29" s="16"/>
      <c r="IE29" s="16"/>
      <c r="IF29" s="16"/>
      <c r="IG29" s="19"/>
    </row>
    <row r="30" spans="3:241" x14ac:dyDescent="0.2">
      <c r="C30" s="20" t="s">
        <v>15</v>
      </c>
      <c r="E30" s="16"/>
      <c r="F30" s="16"/>
      <c r="G30" s="16"/>
      <c r="H30" s="16"/>
      <c r="I30" s="16"/>
      <c r="J30" s="16"/>
      <c r="K30" s="16"/>
      <c r="L30" s="16" cm="1">
        <f t="array" ref="L30">SUMPRODUCT((Previsions[Type]="Expenses")*(Previsions[Cat]=Expenses[[#This Row],[Expenses]])*(Previsions[Final Budget])*1)</f>
        <v>500</v>
      </c>
      <c r="M30" s="16" cm="1">
        <f t="array" ref="M30">SUMPRODUCT((Previsions[Type]="Expenses")*(Previsions[Cat]=Expenses[[#This Row],[Expenses]])*(Previsions[Final Budget])*1)</f>
        <v>500</v>
      </c>
      <c r="N30" s="16" cm="1">
        <f t="array" ref="N30">SUMPRODUCT((Previsions[Type]="Expenses")*(Previsions[Cat]=Expenses[[#This Row],[Expenses]])*(Previsions[Final Budget])*1)</f>
        <v>500</v>
      </c>
      <c r="O30" s="16" cm="1">
        <f t="array" ref="O30">SUMPRODUCT((Previsions[Type]="Expenses")*(Previsions[Cat]=Expenses[[#This Row],[Expenses]])*(Previsions[Final Budget])*1)</f>
        <v>500</v>
      </c>
      <c r="P30" s="16" cm="1">
        <f t="array" ref="P30">SUMPRODUCT((Previsions[Type]="Expenses")*(Previsions[Cat]=Expenses[[#This Row],[Expenses]])*(Previsions[Final Budget])*1)</f>
        <v>500</v>
      </c>
      <c r="Q30" s="19">
        <f t="shared" si="1"/>
        <v>2500</v>
      </c>
      <c r="S30" s="16">
        <v>500</v>
      </c>
      <c r="T30" s="16">
        <v>500</v>
      </c>
      <c r="U30" s="16">
        <v>500</v>
      </c>
      <c r="V30" s="16">
        <v>500</v>
      </c>
      <c r="W30" s="16">
        <v>500</v>
      </c>
      <c r="X30" s="16">
        <v>500</v>
      </c>
      <c r="Y30" s="16">
        <v>500</v>
      </c>
      <c r="Z30" s="16">
        <v>500</v>
      </c>
      <c r="AA30" s="16">
        <v>500</v>
      </c>
      <c r="AB30" s="16">
        <v>500</v>
      </c>
      <c r="AC30" s="16">
        <v>500</v>
      </c>
      <c r="AD30" s="16">
        <v>500</v>
      </c>
      <c r="AE30" s="19">
        <f t="shared" si="2"/>
        <v>6000</v>
      </c>
      <c r="AG30" s="16"/>
      <c r="AH30" s="16"/>
      <c r="AI30" s="16"/>
      <c r="AJ30" s="16"/>
      <c r="AK30" s="16"/>
      <c r="AL30" s="16"/>
      <c r="AM30" s="16"/>
      <c r="AN30" s="16"/>
      <c r="AO30" s="16"/>
      <c r="AP30" s="16"/>
      <c r="AQ30" s="16"/>
      <c r="AR30" s="16"/>
      <c r="AS30" s="19">
        <f t="shared" si="3"/>
        <v>0</v>
      </c>
      <c r="AU30" s="16"/>
      <c r="AV30" s="16"/>
      <c r="AW30" s="16"/>
      <c r="AX30" s="16"/>
      <c r="AY30" s="16"/>
      <c r="AZ30" s="16"/>
      <c r="BA30" s="16"/>
      <c r="BB30" s="16"/>
      <c r="BC30" s="16"/>
      <c r="BD30" s="16"/>
      <c r="BE30" s="16"/>
      <c r="BF30" s="16"/>
      <c r="BG30" s="19">
        <f t="shared" si="4"/>
        <v>0</v>
      </c>
      <c r="BI30" s="16"/>
      <c r="BJ30" s="16"/>
      <c r="BK30" s="16"/>
      <c r="BL30" s="16"/>
      <c r="BM30" s="16"/>
      <c r="BN30" s="16"/>
      <c r="BO30" s="16"/>
      <c r="BP30" s="16"/>
      <c r="BQ30" s="16"/>
      <c r="BR30" s="16"/>
      <c r="BS30" s="16"/>
      <c r="BT30" s="16"/>
      <c r="BU30" s="19">
        <f t="shared" si="5"/>
        <v>0</v>
      </c>
      <c r="BW30" s="16"/>
      <c r="BX30" s="16"/>
      <c r="BY30" s="16"/>
      <c r="BZ30" s="16"/>
      <c r="CA30" s="16"/>
      <c r="CB30" s="16"/>
      <c r="CC30" s="16"/>
      <c r="CD30" s="16"/>
      <c r="CE30" s="16"/>
      <c r="CF30" s="16"/>
      <c r="CG30" s="16"/>
      <c r="CH30" s="16"/>
      <c r="CI30" s="19">
        <f t="shared" si="6"/>
        <v>0</v>
      </c>
      <c r="CK30" s="16"/>
      <c r="CL30" s="16"/>
      <c r="CM30" s="16"/>
      <c r="CN30" s="16"/>
      <c r="CO30" s="16"/>
      <c r="CP30" s="16"/>
      <c r="CQ30" s="16"/>
      <c r="CR30" s="16"/>
      <c r="CS30" s="16"/>
      <c r="CT30" s="16"/>
      <c r="CU30" s="16"/>
      <c r="CV30" s="16"/>
      <c r="CW30" s="19">
        <f t="shared" si="7"/>
        <v>0</v>
      </c>
      <c r="CY30" s="16"/>
      <c r="CZ30" s="16"/>
      <c r="DA30" s="16"/>
      <c r="DB30" s="16"/>
      <c r="DC30" s="16"/>
      <c r="DD30" s="16"/>
      <c r="DE30" s="16"/>
      <c r="DF30" s="16"/>
      <c r="DG30" s="16"/>
      <c r="DH30" s="16"/>
      <c r="DI30" s="16"/>
      <c r="DJ30" s="16"/>
      <c r="DK30" s="19">
        <f t="shared" si="8"/>
        <v>0</v>
      </c>
      <c r="DM30" s="16"/>
      <c r="DN30" s="16"/>
      <c r="DO30" s="16"/>
      <c r="DP30" s="16"/>
      <c r="DQ30" s="16"/>
      <c r="DR30" s="16"/>
      <c r="DS30" s="16"/>
      <c r="DT30" s="16"/>
      <c r="DU30" s="16"/>
      <c r="DV30" s="16"/>
      <c r="DW30" s="16"/>
      <c r="DX30" s="16"/>
      <c r="DY30" s="19">
        <f t="shared" si="9"/>
        <v>0</v>
      </c>
      <c r="EA30" s="16"/>
      <c r="EB30" s="16"/>
      <c r="EC30" s="16"/>
      <c r="ED30" s="16"/>
      <c r="EE30" s="16"/>
      <c r="EF30" s="16"/>
      <c r="EG30" s="16"/>
      <c r="EH30" s="16"/>
      <c r="EI30" s="16"/>
      <c r="EJ30" s="16"/>
      <c r="EK30" s="16"/>
      <c r="EL30" s="16"/>
      <c r="EM30" s="19">
        <f t="shared" si="10"/>
        <v>0</v>
      </c>
      <c r="EO30" s="16"/>
      <c r="EP30" s="16"/>
      <c r="EQ30" s="16"/>
      <c r="ER30" s="16"/>
      <c r="ES30" s="16"/>
      <c r="ET30" s="16"/>
      <c r="EU30" s="16"/>
      <c r="EV30" s="16"/>
      <c r="EW30" s="16"/>
      <c r="EX30" s="16"/>
      <c r="EY30" s="16"/>
      <c r="EZ30" s="16"/>
      <c r="FA30" s="19">
        <f t="shared" si="11"/>
        <v>0</v>
      </c>
      <c r="FC30" s="16"/>
      <c r="FD30" s="16"/>
      <c r="FE30" s="16"/>
      <c r="FF30" s="16"/>
      <c r="FG30" s="16"/>
      <c r="FH30" s="16"/>
      <c r="FI30" s="16"/>
      <c r="FJ30" s="16"/>
      <c r="FK30" s="16"/>
      <c r="FL30" s="16"/>
      <c r="FM30" s="16"/>
      <c r="FN30" s="16"/>
      <c r="FO30" s="19">
        <f t="shared" si="12"/>
        <v>0</v>
      </c>
      <c r="FQ30" s="16"/>
      <c r="FR30" s="16"/>
      <c r="FS30" s="16"/>
      <c r="FT30" s="16"/>
      <c r="FU30" s="16"/>
      <c r="FV30" s="16"/>
      <c r="FW30" s="16"/>
      <c r="FX30" s="16"/>
      <c r="FY30" s="16"/>
      <c r="FZ30" s="16"/>
      <c r="GA30" s="16"/>
      <c r="GB30" s="16"/>
      <c r="GC30" s="19">
        <f t="shared" si="13"/>
        <v>0</v>
      </c>
      <c r="GE30" s="16"/>
      <c r="GF30" s="16"/>
      <c r="GG30" s="16"/>
      <c r="GH30" s="16"/>
      <c r="GI30" s="16"/>
      <c r="GJ30" s="16"/>
      <c r="GK30" s="16"/>
      <c r="GL30" s="16"/>
      <c r="GM30" s="16"/>
      <c r="GN30" s="16"/>
      <c r="GO30" s="16"/>
      <c r="GP30" s="16"/>
      <c r="GQ30" s="19">
        <f t="shared" si="14"/>
        <v>0</v>
      </c>
      <c r="GS30" s="16"/>
      <c r="GT30" s="16"/>
      <c r="GU30" s="16"/>
      <c r="GV30" s="16"/>
      <c r="GW30" s="16"/>
      <c r="GX30" s="16"/>
      <c r="GY30" s="16"/>
      <c r="GZ30" s="16"/>
      <c r="HA30" s="16"/>
      <c r="HB30" s="16"/>
      <c r="HC30" s="16"/>
      <c r="HD30" s="16"/>
      <c r="HE30" s="19">
        <f t="shared" si="15"/>
        <v>0</v>
      </c>
      <c r="HG30" s="16"/>
      <c r="HH30" s="16"/>
      <c r="HI30" s="16"/>
      <c r="HJ30" s="16"/>
      <c r="HK30" s="16"/>
      <c r="HL30" s="16"/>
      <c r="HM30" s="16"/>
      <c r="HN30" s="16"/>
      <c r="HO30" s="16"/>
      <c r="HP30" s="16"/>
      <c r="HQ30" s="16"/>
      <c r="HR30" s="16"/>
      <c r="HS30" s="19">
        <f t="shared" si="16"/>
        <v>0</v>
      </c>
      <c r="HU30" s="16"/>
      <c r="HV30" s="16"/>
      <c r="HW30" s="16"/>
      <c r="HX30" s="16"/>
      <c r="HY30" s="16"/>
      <c r="HZ30" s="16"/>
      <c r="IA30" s="16"/>
      <c r="IB30" s="16"/>
      <c r="IC30" s="16"/>
      <c r="ID30" s="16"/>
      <c r="IE30" s="16"/>
      <c r="IF30" s="16"/>
      <c r="IG30" s="19">
        <f t="shared" si="17"/>
        <v>0</v>
      </c>
    </row>
    <row r="31" spans="3:241" x14ac:dyDescent="0.2">
      <c r="C31" s="20" t="s">
        <v>111</v>
      </c>
      <c r="E31" s="16"/>
      <c r="F31" s="16"/>
      <c r="G31" s="16"/>
      <c r="H31" s="16"/>
      <c r="I31" s="16"/>
      <c r="J31" s="16"/>
      <c r="K31" s="16"/>
      <c r="L31" s="16" cm="1">
        <f t="array" ref="L31">SUMPRODUCT((Previsions[Type]="Expenses")*(Previsions[Cat]=Expenses[[#This Row],[Expenses]])*(Previsions[Final Budget])*1)</f>
        <v>600</v>
      </c>
      <c r="M31" s="16" cm="1">
        <f t="array" ref="M31">SUMPRODUCT((Previsions[Type]="Expenses")*(Previsions[Cat]=Expenses[[#This Row],[Expenses]])*(Previsions[Final Budget])*1)</f>
        <v>600</v>
      </c>
      <c r="N31" s="16" cm="1">
        <f t="array" ref="N31">SUMPRODUCT((Previsions[Type]="Expenses")*(Previsions[Cat]=Expenses[[#This Row],[Expenses]])*(Previsions[Final Budget])*1)</f>
        <v>600</v>
      </c>
      <c r="O31" s="16" cm="1">
        <f t="array" ref="O31">SUMPRODUCT((Previsions[Type]="Expenses")*(Previsions[Cat]=Expenses[[#This Row],[Expenses]])*(Previsions[Final Budget])*1)</f>
        <v>600</v>
      </c>
      <c r="P31" s="16" cm="1">
        <f t="array" ref="P31">SUMPRODUCT((Previsions[Type]="Expenses")*(Previsions[Cat]=Expenses[[#This Row],[Expenses]])*(Previsions[Final Budget])*1)</f>
        <v>600</v>
      </c>
      <c r="Q31" s="19">
        <f t="shared" si="1"/>
        <v>3000</v>
      </c>
      <c r="S31" s="16">
        <v>600</v>
      </c>
      <c r="T31" s="16">
        <v>600</v>
      </c>
      <c r="U31" s="16">
        <v>600</v>
      </c>
      <c r="V31" s="16">
        <v>600</v>
      </c>
      <c r="W31" s="16">
        <v>600</v>
      </c>
      <c r="X31" s="16">
        <v>600</v>
      </c>
      <c r="Y31" s="16">
        <v>600</v>
      </c>
      <c r="Z31" s="16">
        <v>600</v>
      </c>
      <c r="AA31" s="16">
        <v>600</v>
      </c>
      <c r="AB31" s="16">
        <v>600</v>
      </c>
      <c r="AC31" s="16">
        <v>600</v>
      </c>
      <c r="AD31" s="16">
        <v>600</v>
      </c>
      <c r="AE31" s="19">
        <f t="shared" si="2"/>
        <v>7200</v>
      </c>
      <c r="AG31" s="16"/>
      <c r="AH31" s="16"/>
      <c r="AI31" s="16"/>
      <c r="AJ31" s="16"/>
      <c r="AK31" s="16"/>
      <c r="AL31" s="16"/>
      <c r="AM31" s="16"/>
      <c r="AN31" s="16"/>
      <c r="AO31" s="16"/>
      <c r="AP31" s="16"/>
      <c r="AQ31" s="16"/>
      <c r="AR31" s="16"/>
      <c r="AS31" s="19"/>
      <c r="AU31" s="16"/>
      <c r="AV31" s="16"/>
      <c r="AW31" s="16"/>
      <c r="AX31" s="16"/>
      <c r="AY31" s="16"/>
      <c r="AZ31" s="16"/>
      <c r="BA31" s="16"/>
      <c r="BB31" s="16"/>
      <c r="BC31" s="16"/>
      <c r="BD31" s="16"/>
      <c r="BE31" s="16"/>
      <c r="BF31" s="16"/>
      <c r="BG31" s="19"/>
      <c r="BI31" s="16"/>
      <c r="BJ31" s="16"/>
      <c r="BK31" s="16"/>
      <c r="BL31" s="16"/>
      <c r="BM31" s="16"/>
      <c r="BN31" s="16"/>
      <c r="BO31" s="16"/>
      <c r="BP31" s="16"/>
      <c r="BQ31" s="16"/>
      <c r="BR31" s="16"/>
      <c r="BS31" s="16"/>
      <c r="BT31" s="16"/>
      <c r="BU31" s="19"/>
      <c r="BW31" s="16"/>
      <c r="BX31" s="16"/>
      <c r="BY31" s="16"/>
      <c r="BZ31" s="16"/>
      <c r="CA31" s="16"/>
      <c r="CB31" s="16"/>
      <c r="CC31" s="16"/>
      <c r="CD31" s="16"/>
      <c r="CE31" s="16"/>
      <c r="CF31" s="16"/>
      <c r="CG31" s="16"/>
      <c r="CH31" s="16"/>
      <c r="CI31" s="19"/>
      <c r="CK31" s="16"/>
      <c r="CL31" s="16"/>
      <c r="CM31" s="16"/>
      <c r="CN31" s="16"/>
      <c r="CO31" s="16"/>
      <c r="CP31" s="16"/>
      <c r="CQ31" s="16"/>
      <c r="CR31" s="16"/>
      <c r="CS31" s="16"/>
      <c r="CT31" s="16"/>
      <c r="CU31" s="16"/>
      <c r="CV31" s="16"/>
      <c r="CW31" s="19"/>
      <c r="CY31" s="16"/>
      <c r="CZ31" s="16"/>
      <c r="DA31" s="16"/>
      <c r="DB31" s="16"/>
      <c r="DC31" s="16"/>
      <c r="DD31" s="16"/>
      <c r="DE31" s="16"/>
      <c r="DF31" s="16"/>
      <c r="DG31" s="16"/>
      <c r="DH31" s="16"/>
      <c r="DI31" s="16"/>
      <c r="DJ31" s="16"/>
      <c r="DK31" s="19"/>
      <c r="DM31" s="16"/>
      <c r="DN31" s="16"/>
      <c r="DO31" s="16"/>
      <c r="DP31" s="16"/>
      <c r="DQ31" s="16"/>
      <c r="DR31" s="16"/>
      <c r="DS31" s="16"/>
      <c r="DT31" s="16"/>
      <c r="DU31" s="16"/>
      <c r="DV31" s="16"/>
      <c r="DW31" s="16"/>
      <c r="DX31" s="16"/>
      <c r="DY31" s="19"/>
      <c r="EA31" s="16"/>
      <c r="EB31" s="16"/>
      <c r="EC31" s="16"/>
      <c r="ED31" s="16"/>
      <c r="EE31" s="16"/>
      <c r="EF31" s="16"/>
      <c r="EG31" s="16"/>
      <c r="EH31" s="16"/>
      <c r="EI31" s="16"/>
      <c r="EJ31" s="16"/>
      <c r="EK31" s="16"/>
      <c r="EL31" s="16"/>
      <c r="EM31" s="19"/>
      <c r="EO31" s="16"/>
      <c r="EP31" s="16"/>
      <c r="EQ31" s="16"/>
      <c r="ER31" s="16"/>
      <c r="ES31" s="16"/>
      <c r="ET31" s="16"/>
      <c r="EU31" s="16"/>
      <c r="EV31" s="16"/>
      <c r="EW31" s="16"/>
      <c r="EX31" s="16"/>
      <c r="EY31" s="16"/>
      <c r="EZ31" s="16"/>
      <c r="FA31" s="19"/>
      <c r="FC31" s="16"/>
      <c r="FD31" s="16"/>
      <c r="FE31" s="16"/>
      <c r="FF31" s="16"/>
      <c r="FG31" s="16"/>
      <c r="FH31" s="16"/>
      <c r="FI31" s="16"/>
      <c r="FJ31" s="16"/>
      <c r="FK31" s="16"/>
      <c r="FL31" s="16"/>
      <c r="FM31" s="16"/>
      <c r="FN31" s="16"/>
      <c r="FO31" s="19"/>
      <c r="FQ31" s="16"/>
      <c r="FR31" s="16"/>
      <c r="FS31" s="16"/>
      <c r="FT31" s="16"/>
      <c r="FU31" s="16"/>
      <c r="FV31" s="16"/>
      <c r="FW31" s="16"/>
      <c r="FX31" s="16"/>
      <c r="FY31" s="16"/>
      <c r="FZ31" s="16"/>
      <c r="GA31" s="16"/>
      <c r="GB31" s="16"/>
      <c r="GC31" s="19"/>
      <c r="GE31" s="16"/>
      <c r="GF31" s="16"/>
      <c r="GG31" s="16"/>
      <c r="GH31" s="16"/>
      <c r="GI31" s="16"/>
      <c r="GJ31" s="16"/>
      <c r="GK31" s="16"/>
      <c r="GL31" s="16"/>
      <c r="GM31" s="16"/>
      <c r="GN31" s="16"/>
      <c r="GO31" s="16"/>
      <c r="GP31" s="16"/>
      <c r="GQ31" s="19"/>
      <c r="GS31" s="16"/>
      <c r="GT31" s="16"/>
      <c r="GU31" s="16"/>
      <c r="GV31" s="16"/>
      <c r="GW31" s="16"/>
      <c r="GX31" s="16"/>
      <c r="GY31" s="16"/>
      <c r="GZ31" s="16"/>
      <c r="HA31" s="16"/>
      <c r="HB31" s="16"/>
      <c r="HC31" s="16"/>
      <c r="HD31" s="16"/>
      <c r="HE31" s="19"/>
      <c r="HG31" s="16"/>
      <c r="HH31" s="16"/>
      <c r="HI31" s="16"/>
      <c r="HJ31" s="16"/>
      <c r="HK31" s="16"/>
      <c r="HL31" s="16"/>
      <c r="HM31" s="16"/>
      <c r="HN31" s="16"/>
      <c r="HO31" s="16"/>
      <c r="HP31" s="16"/>
      <c r="HQ31" s="16"/>
      <c r="HR31" s="16"/>
      <c r="HS31" s="19"/>
      <c r="HU31" s="16"/>
      <c r="HV31" s="16"/>
      <c r="HW31" s="16"/>
      <c r="HX31" s="16"/>
      <c r="HY31" s="16"/>
      <c r="HZ31" s="16"/>
      <c r="IA31" s="16"/>
      <c r="IB31" s="16"/>
      <c r="IC31" s="16"/>
      <c r="ID31" s="16"/>
      <c r="IE31" s="16"/>
      <c r="IF31" s="16"/>
      <c r="IG31" s="19"/>
    </row>
    <row r="32" spans="3:241" x14ac:dyDescent="0.2">
      <c r="C32" s="20" t="s">
        <v>157</v>
      </c>
      <c r="E32" s="16"/>
      <c r="F32" s="16"/>
      <c r="G32" s="16"/>
      <c r="H32" s="16"/>
      <c r="I32" s="16"/>
      <c r="J32" s="16"/>
      <c r="K32" s="16"/>
      <c r="L32" s="16" cm="1">
        <f t="array" ref="L32">SUMPRODUCT((Previsions[Type]="Expenses")*(Previsions[Cat]=Expenses[[#This Row],[Expenses]])*(Previsions[Final Budget])*1)</f>
        <v>160</v>
      </c>
      <c r="M32" s="16" cm="1">
        <f t="array" ref="M32">SUMPRODUCT((Previsions[Type]="Expenses")*(Previsions[Cat]=Expenses[[#This Row],[Expenses]])*(Previsions[Final Budget])*1)</f>
        <v>160</v>
      </c>
      <c r="N32" s="16" cm="1">
        <f t="array" ref="N32">SUMPRODUCT((Previsions[Type]="Expenses")*(Previsions[Cat]=Expenses[[#This Row],[Expenses]])*(Previsions[Final Budget])*1)</f>
        <v>160</v>
      </c>
      <c r="O32" s="16" cm="1">
        <f t="array" ref="O32">SUMPRODUCT((Previsions[Type]="Expenses")*(Previsions[Cat]=Expenses[[#This Row],[Expenses]])*(Previsions[Final Budget])*1)</f>
        <v>160</v>
      </c>
      <c r="P32" s="16" cm="1">
        <f t="array" ref="P32">SUMPRODUCT((Previsions[Type]="Expenses")*(Previsions[Cat]=Expenses[[#This Row],[Expenses]])*(Previsions[Final Budget])*1)</f>
        <v>160</v>
      </c>
      <c r="Q32" s="19">
        <f>SUM(E32:P32)+500</f>
        <v>1300</v>
      </c>
      <c r="S32" s="16">
        <v>160</v>
      </c>
      <c r="T32" s="16">
        <v>160</v>
      </c>
      <c r="U32" s="16">
        <v>160</v>
      </c>
      <c r="V32" s="16">
        <v>160</v>
      </c>
      <c r="W32" s="16">
        <v>160</v>
      </c>
      <c r="X32" s="16">
        <v>160</v>
      </c>
      <c r="Y32" s="16">
        <v>160</v>
      </c>
      <c r="Z32" s="16">
        <v>160</v>
      </c>
      <c r="AA32" s="16">
        <v>160</v>
      </c>
      <c r="AB32" s="16">
        <v>160</v>
      </c>
      <c r="AC32" s="16">
        <v>160</v>
      </c>
      <c r="AD32" s="16">
        <v>160</v>
      </c>
      <c r="AE32" s="19">
        <f t="shared" si="2"/>
        <v>1920</v>
      </c>
      <c r="AG32" s="16"/>
      <c r="AH32" s="16"/>
      <c r="AI32" s="16"/>
      <c r="AJ32" s="16"/>
      <c r="AK32" s="16"/>
      <c r="AL32" s="16"/>
      <c r="AM32" s="16"/>
      <c r="AN32" s="16"/>
      <c r="AO32" s="16"/>
      <c r="AP32" s="16"/>
      <c r="AQ32" s="16"/>
      <c r="AR32" s="16"/>
      <c r="AS32" s="19">
        <f t="shared" si="3"/>
        <v>0</v>
      </c>
      <c r="AU32" s="16"/>
      <c r="AV32" s="16"/>
      <c r="AW32" s="16"/>
      <c r="AX32" s="16"/>
      <c r="AY32" s="16"/>
      <c r="AZ32" s="16"/>
      <c r="BA32" s="16"/>
      <c r="BB32" s="16"/>
      <c r="BC32" s="16"/>
      <c r="BD32" s="16"/>
      <c r="BE32" s="16"/>
      <c r="BF32" s="16"/>
      <c r="BG32" s="19">
        <f t="shared" si="4"/>
        <v>0</v>
      </c>
      <c r="BI32" s="16"/>
      <c r="BJ32" s="16"/>
      <c r="BK32" s="16"/>
      <c r="BL32" s="16"/>
      <c r="BM32" s="16"/>
      <c r="BN32" s="16"/>
      <c r="BO32" s="16"/>
      <c r="BP32" s="16"/>
      <c r="BQ32" s="16"/>
      <c r="BR32" s="16"/>
      <c r="BS32" s="16"/>
      <c r="BT32" s="16"/>
      <c r="BU32" s="19">
        <f t="shared" si="5"/>
        <v>0</v>
      </c>
      <c r="BW32" s="16"/>
      <c r="BX32" s="16"/>
      <c r="BY32" s="16"/>
      <c r="BZ32" s="16"/>
      <c r="CA32" s="16"/>
      <c r="CB32" s="16"/>
      <c r="CC32" s="16"/>
      <c r="CD32" s="16"/>
      <c r="CE32" s="16"/>
      <c r="CF32" s="16"/>
      <c r="CG32" s="16"/>
      <c r="CH32" s="16"/>
      <c r="CI32" s="19">
        <f t="shared" si="6"/>
        <v>0</v>
      </c>
      <c r="CK32" s="16"/>
      <c r="CL32" s="16"/>
      <c r="CM32" s="16"/>
      <c r="CN32" s="16"/>
      <c r="CO32" s="16"/>
      <c r="CP32" s="16"/>
      <c r="CQ32" s="16"/>
      <c r="CR32" s="16"/>
      <c r="CS32" s="16"/>
      <c r="CT32" s="16"/>
      <c r="CU32" s="16"/>
      <c r="CV32" s="16"/>
      <c r="CW32" s="19">
        <f t="shared" si="7"/>
        <v>0</v>
      </c>
      <c r="CY32" s="16"/>
      <c r="CZ32" s="16"/>
      <c r="DA32" s="16"/>
      <c r="DB32" s="16"/>
      <c r="DC32" s="16"/>
      <c r="DD32" s="16"/>
      <c r="DE32" s="16"/>
      <c r="DF32" s="16"/>
      <c r="DG32" s="16"/>
      <c r="DH32" s="16"/>
      <c r="DI32" s="16"/>
      <c r="DJ32" s="16"/>
      <c r="DK32" s="19">
        <f t="shared" si="8"/>
        <v>0</v>
      </c>
      <c r="DM32" s="16"/>
      <c r="DN32" s="16"/>
      <c r="DO32" s="16"/>
      <c r="DP32" s="16"/>
      <c r="DQ32" s="16"/>
      <c r="DR32" s="16"/>
      <c r="DS32" s="16"/>
      <c r="DT32" s="16"/>
      <c r="DU32" s="16"/>
      <c r="DV32" s="16"/>
      <c r="DW32" s="16"/>
      <c r="DX32" s="16"/>
      <c r="DY32" s="19">
        <f t="shared" si="9"/>
        <v>0</v>
      </c>
      <c r="EA32" s="16"/>
      <c r="EB32" s="16"/>
      <c r="EC32" s="16"/>
      <c r="ED32" s="16"/>
      <c r="EE32" s="16"/>
      <c r="EF32" s="16"/>
      <c r="EG32" s="16"/>
      <c r="EH32" s="16"/>
      <c r="EI32" s="16"/>
      <c r="EJ32" s="16"/>
      <c r="EK32" s="16"/>
      <c r="EL32" s="16"/>
      <c r="EM32" s="19">
        <f t="shared" si="10"/>
        <v>0</v>
      </c>
      <c r="EO32" s="16"/>
      <c r="EP32" s="16"/>
      <c r="EQ32" s="16"/>
      <c r="ER32" s="16"/>
      <c r="ES32" s="16"/>
      <c r="ET32" s="16"/>
      <c r="EU32" s="16"/>
      <c r="EV32" s="16"/>
      <c r="EW32" s="16"/>
      <c r="EX32" s="16"/>
      <c r="EY32" s="16"/>
      <c r="EZ32" s="16"/>
      <c r="FA32" s="19">
        <f t="shared" si="11"/>
        <v>0</v>
      </c>
      <c r="FC32" s="16"/>
      <c r="FD32" s="16"/>
      <c r="FE32" s="16"/>
      <c r="FF32" s="16"/>
      <c r="FG32" s="16"/>
      <c r="FH32" s="16"/>
      <c r="FI32" s="16"/>
      <c r="FJ32" s="16"/>
      <c r="FK32" s="16"/>
      <c r="FL32" s="16"/>
      <c r="FM32" s="16"/>
      <c r="FN32" s="16"/>
      <c r="FO32" s="19">
        <f t="shared" si="12"/>
        <v>0</v>
      </c>
      <c r="FQ32" s="16"/>
      <c r="FR32" s="16"/>
      <c r="FS32" s="16"/>
      <c r="FT32" s="16"/>
      <c r="FU32" s="16"/>
      <c r="FV32" s="16"/>
      <c r="FW32" s="16"/>
      <c r="FX32" s="16"/>
      <c r="FY32" s="16"/>
      <c r="FZ32" s="16"/>
      <c r="GA32" s="16"/>
      <c r="GB32" s="16"/>
      <c r="GC32" s="19">
        <f t="shared" si="13"/>
        <v>0</v>
      </c>
      <c r="GE32" s="16"/>
      <c r="GF32" s="16"/>
      <c r="GG32" s="16"/>
      <c r="GH32" s="16"/>
      <c r="GI32" s="16"/>
      <c r="GJ32" s="16"/>
      <c r="GK32" s="16"/>
      <c r="GL32" s="16"/>
      <c r="GM32" s="16"/>
      <c r="GN32" s="16"/>
      <c r="GO32" s="16"/>
      <c r="GP32" s="16"/>
      <c r="GQ32" s="19">
        <f t="shared" si="14"/>
        <v>0</v>
      </c>
      <c r="GS32" s="16"/>
      <c r="GT32" s="16"/>
      <c r="GU32" s="16"/>
      <c r="GV32" s="16"/>
      <c r="GW32" s="16"/>
      <c r="GX32" s="16"/>
      <c r="GY32" s="16"/>
      <c r="GZ32" s="16"/>
      <c r="HA32" s="16"/>
      <c r="HB32" s="16"/>
      <c r="HC32" s="16"/>
      <c r="HD32" s="16"/>
      <c r="HE32" s="19">
        <f t="shared" si="15"/>
        <v>0</v>
      </c>
      <c r="HG32" s="16"/>
      <c r="HH32" s="16"/>
      <c r="HI32" s="16"/>
      <c r="HJ32" s="16"/>
      <c r="HK32" s="16"/>
      <c r="HL32" s="16"/>
      <c r="HM32" s="16"/>
      <c r="HN32" s="16"/>
      <c r="HO32" s="16"/>
      <c r="HP32" s="16"/>
      <c r="HQ32" s="16"/>
      <c r="HR32" s="16"/>
      <c r="HS32" s="19">
        <f t="shared" si="16"/>
        <v>0</v>
      </c>
      <c r="HU32" s="16"/>
      <c r="HV32" s="16"/>
      <c r="HW32" s="16"/>
      <c r="HX32" s="16"/>
      <c r="HY32" s="16"/>
      <c r="HZ32" s="16"/>
      <c r="IA32" s="16"/>
      <c r="IB32" s="16"/>
      <c r="IC32" s="16"/>
      <c r="ID32" s="16"/>
      <c r="IE32" s="16"/>
      <c r="IF32" s="16"/>
      <c r="IG32" s="19">
        <f t="shared" si="17"/>
        <v>0</v>
      </c>
    </row>
    <row r="33" spans="3:241" x14ac:dyDescent="0.2">
      <c r="C33" s="20" t="s">
        <v>163</v>
      </c>
      <c r="E33" s="16"/>
      <c r="F33" s="16"/>
      <c r="G33" s="16"/>
      <c r="H33" s="16"/>
      <c r="I33" s="16"/>
      <c r="J33" s="16"/>
      <c r="K33" s="16"/>
      <c r="L33" s="16" cm="1">
        <f t="array" ref="L33">SUMPRODUCT((Previsions[Type]="Expenses")*(Previsions[Cat]=Expenses[[#This Row],[Expenses]])*(Previsions[Final Budget])*1)</f>
        <v>80</v>
      </c>
      <c r="M33" s="16" cm="1">
        <f t="array" ref="M33">SUMPRODUCT((Previsions[Type]="Expenses")*(Previsions[Cat]=Expenses[[#This Row],[Expenses]])*(Previsions[Final Budget])*1)</f>
        <v>80</v>
      </c>
      <c r="N33" s="16" cm="1">
        <f t="array" ref="N33">SUMPRODUCT((Previsions[Type]="Expenses")*(Previsions[Cat]=Expenses[[#This Row],[Expenses]])*(Previsions[Final Budget])*1)</f>
        <v>80</v>
      </c>
      <c r="O33" s="16" cm="1">
        <f t="array" ref="O33">SUMPRODUCT((Previsions[Type]="Expenses")*(Previsions[Cat]=Expenses[[#This Row],[Expenses]])*(Previsions[Final Budget])*1)</f>
        <v>80</v>
      </c>
      <c r="P33" s="16" cm="1">
        <f t="array" ref="P33">SUMPRODUCT((Previsions[Type]="Expenses")*(Previsions[Cat]=Expenses[[#This Row],[Expenses]])*(Previsions[Final Budget])*1)</f>
        <v>80</v>
      </c>
      <c r="Q33" s="19">
        <f t="shared" si="1"/>
        <v>400</v>
      </c>
      <c r="S33" s="16">
        <v>80</v>
      </c>
      <c r="T33" s="16">
        <v>80</v>
      </c>
      <c r="U33" s="16">
        <v>80</v>
      </c>
      <c r="V33" s="16">
        <v>80</v>
      </c>
      <c r="W33" s="16">
        <v>80</v>
      </c>
      <c r="X33" s="16">
        <v>80</v>
      </c>
      <c r="Y33" s="16">
        <v>80</v>
      </c>
      <c r="Z33" s="16">
        <v>80</v>
      </c>
      <c r="AA33" s="16">
        <v>80</v>
      </c>
      <c r="AB33" s="16">
        <v>80</v>
      </c>
      <c r="AC33" s="16">
        <v>80</v>
      </c>
      <c r="AD33" s="16">
        <v>80</v>
      </c>
      <c r="AE33" s="19">
        <f t="shared" si="2"/>
        <v>960</v>
      </c>
      <c r="AG33" s="16"/>
      <c r="AH33" s="16"/>
      <c r="AI33" s="16"/>
      <c r="AJ33" s="16"/>
      <c r="AK33" s="16"/>
      <c r="AL33" s="16"/>
      <c r="AM33" s="16"/>
      <c r="AN33" s="16"/>
      <c r="AO33" s="16"/>
      <c r="AP33" s="16"/>
      <c r="AQ33" s="16"/>
      <c r="AR33" s="16"/>
      <c r="AS33" s="19"/>
      <c r="AU33" s="16"/>
      <c r="AV33" s="16"/>
      <c r="AW33" s="16"/>
      <c r="AX33" s="16"/>
      <c r="AY33" s="16"/>
      <c r="AZ33" s="16"/>
      <c r="BA33" s="16"/>
      <c r="BB33" s="16"/>
      <c r="BC33" s="16"/>
      <c r="BD33" s="16"/>
      <c r="BE33" s="16"/>
      <c r="BF33" s="16"/>
      <c r="BG33" s="19"/>
      <c r="BI33" s="16"/>
      <c r="BJ33" s="16"/>
      <c r="BK33" s="16"/>
      <c r="BL33" s="16"/>
      <c r="BM33" s="16"/>
      <c r="BN33" s="16"/>
      <c r="BO33" s="16"/>
      <c r="BP33" s="16"/>
      <c r="BQ33" s="16"/>
      <c r="BR33" s="16"/>
      <c r="BS33" s="16"/>
      <c r="BT33" s="16"/>
      <c r="BU33" s="19"/>
      <c r="BW33" s="16"/>
      <c r="BX33" s="16"/>
      <c r="BY33" s="16"/>
      <c r="BZ33" s="16"/>
      <c r="CA33" s="16"/>
      <c r="CB33" s="16"/>
      <c r="CC33" s="16"/>
      <c r="CD33" s="16"/>
      <c r="CE33" s="16"/>
      <c r="CF33" s="16"/>
      <c r="CG33" s="16"/>
      <c r="CH33" s="16"/>
      <c r="CI33" s="19"/>
      <c r="CK33" s="16"/>
      <c r="CL33" s="16"/>
      <c r="CM33" s="16"/>
      <c r="CN33" s="16"/>
      <c r="CO33" s="16"/>
      <c r="CP33" s="16"/>
      <c r="CQ33" s="16"/>
      <c r="CR33" s="16"/>
      <c r="CS33" s="16"/>
      <c r="CT33" s="16"/>
      <c r="CU33" s="16"/>
      <c r="CV33" s="16"/>
      <c r="CW33" s="19"/>
      <c r="CY33" s="16"/>
      <c r="CZ33" s="16"/>
      <c r="DA33" s="16"/>
      <c r="DB33" s="16"/>
      <c r="DC33" s="16"/>
      <c r="DD33" s="16"/>
      <c r="DE33" s="16"/>
      <c r="DF33" s="16"/>
      <c r="DG33" s="16"/>
      <c r="DH33" s="16"/>
      <c r="DI33" s="16"/>
      <c r="DJ33" s="16"/>
      <c r="DK33" s="19"/>
      <c r="DM33" s="16"/>
      <c r="DN33" s="16"/>
      <c r="DO33" s="16"/>
      <c r="DP33" s="16"/>
      <c r="DQ33" s="16"/>
      <c r="DR33" s="16"/>
      <c r="DS33" s="16"/>
      <c r="DT33" s="16"/>
      <c r="DU33" s="16"/>
      <c r="DV33" s="16"/>
      <c r="DW33" s="16"/>
      <c r="DX33" s="16"/>
      <c r="DY33" s="19"/>
      <c r="EA33" s="16"/>
      <c r="EB33" s="16"/>
      <c r="EC33" s="16"/>
      <c r="ED33" s="16"/>
      <c r="EE33" s="16"/>
      <c r="EF33" s="16"/>
      <c r="EG33" s="16"/>
      <c r="EH33" s="16"/>
      <c r="EI33" s="16"/>
      <c r="EJ33" s="16"/>
      <c r="EK33" s="16"/>
      <c r="EL33" s="16"/>
      <c r="EM33" s="19"/>
      <c r="EO33" s="16"/>
      <c r="EP33" s="16"/>
      <c r="EQ33" s="16"/>
      <c r="ER33" s="16"/>
      <c r="ES33" s="16"/>
      <c r="ET33" s="16"/>
      <c r="EU33" s="16"/>
      <c r="EV33" s="16"/>
      <c r="EW33" s="16"/>
      <c r="EX33" s="16"/>
      <c r="EY33" s="16"/>
      <c r="EZ33" s="16"/>
      <c r="FA33" s="19"/>
      <c r="FC33" s="16"/>
      <c r="FD33" s="16"/>
      <c r="FE33" s="16"/>
      <c r="FF33" s="16"/>
      <c r="FG33" s="16"/>
      <c r="FH33" s="16"/>
      <c r="FI33" s="16"/>
      <c r="FJ33" s="16"/>
      <c r="FK33" s="16"/>
      <c r="FL33" s="16"/>
      <c r="FM33" s="16"/>
      <c r="FN33" s="16"/>
      <c r="FO33" s="19"/>
      <c r="FQ33" s="16"/>
      <c r="FR33" s="16"/>
      <c r="FS33" s="16"/>
      <c r="FT33" s="16"/>
      <c r="FU33" s="16"/>
      <c r="FV33" s="16"/>
      <c r="FW33" s="16"/>
      <c r="FX33" s="16"/>
      <c r="FY33" s="16"/>
      <c r="FZ33" s="16"/>
      <c r="GA33" s="16"/>
      <c r="GB33" s="16"/>
      <c r="GC33" s="19"/>
      <c r="GE33" s="16"/>
      <c r="GF33" s="16"/>
      <c r="GG33" s="16"/>
      <c r="GH33" s="16"/>
      <c r="GI33" s="16"/>
      <c r="GJ33" s="16"/>
      <c r="GK33" s="16"/>
      <c r="GL33" s="16"/>
      <c r="GM33" s="16"/>
      <c r="GN33" s="16"/>
      <c r="GO33" s="16"/>
      <c r="GP33" s="16"/>
      <c r="GQ33" s="19"/>
      <c r="GS33" s="16"/>
      <c r="GT33" s="16"/>
      <c r="GU33" s="16"/>
      <c r="GV33" s="16"/>
      <c r="GW33" s="16"/>
      <c r="GX33" s="16"/>
      <c r="GY33" s="16"/>
      <c r="GZ33" s="16"/>
      <c r="HA33" s="16"/>
      <c r="HB33" s="16"/>
      <c r="HC33" s="16"/>
      <c r="HD33" s="16"/>
      <c r="HE33" s="19"/>
      <c r="HG33" s="16"/>
      <c r="HH33" s="16"/>
      <c r="HI33" s="16"/>
      <c r="HJ33" s="16"/>
      <c r="HK33" s="16"/>
      <c r="HL33" s="16"/>
      <c r="HM33" s="16"/>
      <c r="HN33" s="16"/>
      <c r="HO33" s="16"/>
      <c r="HP33" s="16"/>
      <c r="HQ33" s="16"/>
      <c r="HR33" s="16"/>
      <c r="HS33" s="19"/>
      <c r="HU33" s="16"/>
      <c r="HV33" s="16"/>
      <c r="HW33" s="16"/>
      <c r="HX33" s="16"/>
      <c r="HY33" s="16"/>
      <c r="HZ33" s="16"/>
      <c r="IA33" s="16"/>
      <c r="IB33" s="16"/>
      <c r="IC33" s="16"/>
      <c r="ID33" s="16"/>
      <c r="IE33" s="16"/>
      <c r="IF33" s="16"/>
      <c r="IG33" s="19"/>
    </row>
    <row r="34" spans="3:241" x14ac:dyDescent="0.2">
      <c r="C34" s="20" t="s">
        <v>121</v>
      </c>
      <c r="E34" s="16"/>
      <c r="F34" s="16"/>
      <c r="G34" s="16"/>
      <c r="H34" s="16"/>
      <c r="I34" s="16"/>
      <c r="J34" s="16"/>
      <c r="K34" s="16"/>
      <c r="L34" s="16" cm="1">
        <f t="array" ref="L34">SUMPRODUCT((Previsions[Type]="Expenses")*(Previsions[Cat]=Expenses[[#This Row],[Expenses]])*(Previsions[Final Budget])*1)</f>
        <v>50</v>
      </c>
      <c r="M34" s="16" cm="1">
        <f t="array" ref="M34">SUMPRODUCT((Previsions[Type]="Expenses")*(Previsions[Cat]=Expenses[[#This Row],[Expenses]])*(Previsions[Final Budget])*1)</f>
        <v>50</v>
      </c>
      <c r="N34" s="16" cm="1">
        <f t="array" ref="N34">SUMPRODUCT((Previsions[Type]="Expenses")*(Previsions[Cat]=Expenses[[#This Row],[Expenses]])*(Previsions[Final Budget])*1)</f>
        <v>50</v>
      </c>
      <c r="O34" s="16" cm="1">
        <f t="array" ref="O34">SUMPRODUCT((Previsions[Type]="Expenses")*(Previsions[Cat]=Expenses[[#This Row],[Expenses]])*(Previsions[Final Budget])*1)</f>
        <v>50</v>
      </c>
      <c r="P34" s="16" cm="1">
        <f t="array" ref="P34">SUMPRODUCT((Previsions[Type]="Expenses")*(Previsions[Cat]=Expenses[[#This Row],[Expenses]])*(Previsions[Final Budget])*1)</f>
        <v>50</v>
      </c>
      <c r="Q34" s="19">
        <f t="shared" si="1"/>
        <v>250</v>
      </c>
      <c r="S34" s="16"/>
      <c r="T34" s="16"/>
      <c r="U34" s="16"/>
      <c r="V34" s="16"/>
      <c r="W34" s="16"/>
      <c r="X34" s="16"/>
      <c r="Y34" s="16"/>
      <c r="Z34" s="16"/>
      <c r="AA34" s="16"/>
      <c r="AB34" s="16"/>
      <c r="AC34" s="16"/>
      <c r="AD34" s="16"/>
      <c r="AE34" s="19">
        <f t="shared" si="2"/>
        <v>0</v>
      </c>
      <c r="AG34" s="16"/>
      <c r="AH34" s="16"/>
      <c r="AI34" s="16"/>
      <c r="AJ34" s="16"/>
      <c r="AK34" s="16"/>
      <c r="AL34" s="16"/>
      <c r="AM34" s="16"/>
      <c r="AN34" s="16"/>
      <c r="AO34" s="16"/>
      <c r="AP34" s="16"/>
      <c r="AQ34" s="16"/>
      <c r="AR34" s="16"/>
      <c r="AS34" s="19"/>
      <c r="AU34" s="16"/>
      <c r="AV34" s="16"/>
      <c r="AW34" s="16"/>
      <c r="AX34" s="16"/>
      <c r="AY34" s="16"/>
      <c r="AZ34" s="16"/>
      <c r="BA34" s="16"/>
      <c r="BB34" s="16"/>
      <c r="BC34" s="16"/>
      <c r="BD34" s="16"/>
      <c r="BE34" s="16"/>
      <c r="BF34" s="16"/>
      <c r="BG34" s="19"/>
      <c r="BI34" s="16"/>
      <c r="BJ34" s="16"/>
      <c r="BK34" s="16"/>
      <c r="BL34" s="16"/>
      <c r="BM34" s="16"/>
      <c r="BN34" s="16"/>
      <c r="BO34" s="16"/>
      <c r="BP34" s="16"/>
      <c r="BQ34" s="16"/>
      <c r="BR34" s="16"/>
      <c r="BS34" s="16"/>
      <c r="BT34" s="16"/>
      <c r="BU34" s="19"/>
      <c r="BW34" s="16"/>
      <c r="BX34" s="16"/>
      <c r="BY34" s="16"/>
      <c r="BZ34" s="16"/>
      <c r="CA34" s="16"/>
      <c r="CB34" s="16"/>
      <c r="CC34" s="16"/>
      <c r="CD34" s="16"/>
      <c r="CE34" s="16"/>
      <c r="CF34" s="16"/>
      <c r="CG34" s="16"/>
      <c r="CH34" s="16"/>
      <c r="CI34" s="19"/>
      <c r="CK34" s="16"/>
      <c r="CL34" s="16"/>
      <c r="CM34" s="16"/>
      <c r="CN34" s="16"/>
      <c r="CO34" s="16"/>
      <c r="CP34" s="16"/>
      <c r="CQ34" s="16"/>
      <c r="CR34" s="16"/>
      <c r="CS34" s="16"/>
      <c r="CT34" s="16"/>
      <c r="CU34" s="16"/>
      <c r="CV34" s="16"/>
      <c r="CW34" s="19"/>
      <c r="CY34" s="16"/>
      <c r="CZ34" s="16"/>
      <c r="DA34" s="16"/>
      <c r="DB34" s="16"/>
      <c r="DC34" s="16"/>
      <c r="DD34" s="16"/>
      <c r="DE34" s="16"/>
      <c r="DF34" s="16"/>
      <c r="DG34" s="16"/>
      <c r="DH34" s="16"/>
      <c r="DI34" s="16"/>
      <c r="DJ34" s="16"/>
      <c r="DK34" s="19"/>
      <c r="DM34" s="16"/>
      <c r="DN34" s="16"/>
      <c r="DO34" s="16"/>
      <c r="DP34" s="16"/>
      <c r="DQ34" s="16"/>
      <c r="DR34" s="16"/>
      <c r="DS34" s="16"/>
      <c r="DT34" s="16"/>
      <c r="DU34" s="16"/>
      <c r="DV34" s="16"/>
      <c r="DW34" s="16"/>
      <c r="DX34" s="16"/>
      <c r="DY34" s="19"/>
      <c r="EA34" s="16"/>
      <c r="EB34" s="16"/>
      <c r="EC34" s="16"/>
      <c r="ED34" s="16"/>
      <c r="EE34" s="16"/>
      <c r="EF34" s="16"/>
      <c r="EG34" s="16"/>
      <c r="EH34" s="16"/>
      <c r="EI34" s="16"/>
      <c r="EJ34" s="16"/>
      <c r="EK34" s="16"/>
      <c r="EL34" s="16"/>
      <c r="EM34" s="19"/>
      <c r="EO34" s="16"/>
      <c r="EP34" s="16"/>
      <c r="EQ34" s="16"/>
      <c r="ER34" s="16"/>
      <c r="ES34" s="16"/>
      <c r="ET34" s="16"/>
      <c r="EU34" s="16"/>
      <c r="EV34" s="16"/>
      <c r="EW34" s="16"/>
      <c r="EX34" s="16"/>
      <c r="EY34" s="16"/>
      <c r="EZ34" s="16"/>
      <c r="FA34" s="19"/>
      <c r="FC34" s="16"/>
      <c r="FD34" s="16"/>
      <c r="FE34" s="16"/>
      <c r="FF34" s="16"/>
      <c r="FG34" s="16"/>
      <c r="FH34" s="16"/>
      <c r="FI34" s="16"/>
      <c r="FJ34" s="16"/>
      <c r="FK34" s="16"/>
      <c r="FL34" s="16"/>
      <c r="FM34" s="16"/>
      <c r="FN34" s="16"/>
      <c r="FO34" s="19"/>
      <c r="FQ34" s="16"/>
      <c r="FR34" s="16"/>
      <c r="FS34" s="16"/>
      <c r="FT34" s="16"/>
      <c r="FU34" s="16"/>
      <c r="FV34" s="16"/>
      <c r="FW34" s="16"/>
      <c r="FX34" s="16"/>
      <c r="FY34" s="16"/>
      <c r="FZ34" s="16"/>
      <c r="GA34" s="16"/>
      <c r="GB34" s="16"/>
      <c r="GC34" s="19"/>
      <c r="GE34" s="16"/>
      <c r="GF34" s="16"/>
      <c r="GG34" s="16"/>
      <c r="GH34" s="16"/>
      <c r="GI34" s="16"/>
      <c r="GJ34" s="16"/>
      <c r="GK34" s="16"/>
      <c r="GL34" s="16"/>
      <c r="GM34" s="16"/>
      <c r="GN34" s="16"/>
      <c r="GO34" s="16"/>
      <c r="GP34" s="16"/>
      <c r="GQ34" s="19"/>
      <c r="GS34" s="16"/>
      <c r="GT34" s="16"/>
      <c r="GU34" s="16"/>
      <c r="GV34" s="16"/>
      <c r="GW34" s="16"/>
      <c r="GX34" s="16"/>
      <c r="GY34" s="16"/>
      <c r="GZ34" s="16"/>
      <c r="HA34" s="16"/>
      <c r="HB34" s="16"/>
      <c r="HC34" s="16"/>
      <c r="HD34" s="16"/>
      <c r="HE34" s="19"/>
      <c r="HG34" s="16"/>
      <c r="HH34" s="16"/>
      <c r="HI34" s="16"/>
      <c r="HJ34" s="16"/>
      <c r="HK34" s="16"/>
      <c r="HL34" s="16"/>
      <c r="HM34" s="16"/>
      <c r="HN34" s="16"/>
      <c r="HO34" s="16"/>
      <c r="HP34" s="16"/>
      <c r="HQ34" s="16"/>
      <c r="HR34" s="16"/>
      <c r="HS34" s="19"/>
      <c r="HU34" s="16"/>
      <c r="HV34" s="16"/>
      <c r="HW34" s="16"/>
      <c r="HX34" s="16"/>
      <c r="HY34" s="16"/>
      <c r="HZ34" s="16"/>
      <c r="IA34" s="16"/>
      <c r="IB34" s="16"/>
      <c r="IC34" s="16"/>
      <c r="ID34" s="16"/>
      <c r="IE34" s="16"/>
      <c r="IF34" s="16"/>
      <c r="IG34" s="19"/>
    </row>
    <row r="35" spans="3:241" x14ac:dyDescent="0.2">
      <c r="C35" s="20" t="s">
        <v>159</v>
      </c>
      <c r="E35" s="16"/>
      <c r="F35" s="16"/>
      <c r="G35" s="16"/>
      <c r="H35" s="16"/>
      <c r="I35" s="16"/>
      <c r="J35" s="16"/>
      <c r="K35" s="16"/>
      <c r="L35" s="16" cm="1">
        <f t="array" ref="L35">SUMPRODUCT((Previsions[Type]="Expenses")*(Previsions[Cat]=Expenses[[#This Row],[Expenses]])*(Previsions[Final Budget])*1)</f>
        <v>501.35</v>
      </c>
      <c r="M35" s="16" cm="1">
        <f t="array" ref="M35">SUMPRODUCT((Previsions[Type]="Expenses")*(Previsions[Cat]=Expenses[[#This Row],[Expenses]])*(Previsions[Final Budget])*1)</f>
        <v>501.35</v>
      </c>
      <c r="N35" s="16" cm="1">
        <f t="array" ref="N35">SUMPRODUCT((Previsions[Type]="Expenses")*(Previsions[Cat]=Expenses[[#This Row],[Expenses]])*(Previsions[Final Budget])*1)</f>
        <v>501.35</v>
      </c>
      <c r="O35" s="16" cm="1">
        <f t="array" ref="O35">SUMPRODUCT((Previsions[Type]="Expenses")*(Previsions[Cat]=Expenses[[#This Row],[Expenses]])*(Previsions[Final Budget])*1)</f>
        <v>501.35</v>
      </c>
      <c r="P35" s="16" cm="1">
        <f t="array" ref="P35">SUMPRODUCT((Previsions[Type]="Expenses")*(Previsions[Cat]=Expenses[[#This Row],[Expenses]])*(Previsions[Final Budget])*1)</f>
        <v>501.35</v>
      </c>
      <c r="Q35" s="19">
        <f t="shared" si="1"/>
        <v>2506.75</v>
      </c>
      <c r="S35" s="16">
        <v>520</v>
      </c>
      <c r="T35" s="16">
        <v>520</v>
      </c>
      <c r="U35" s="16">
        <v>520</v>
      </c>
      <c r="V35" s="16">
        <v>520</v>
      </c>
      <c r="W35" s="16">
        <v>520</v>
      </c>
      <c r="X35" s="16">
        <v>520</v>
      </c>
      <c r="Y35" s="16">
        <v>520</v>
      </c>
      <c r="Z35" s="16">
        <v>520</v>
      </c>
      <c r="AA35" s="16">
        <v>520</v>
      </c>
      <c r="AB35" s="16">
        <v>520</v>
      </c>
      <c r="AC35" s="16">
        <v>520</v>
      </c>
      <c r="AD35" s="16">
        <v>520</v>
      </c>
      <c r="AE35" s="19">
        <f t="shared" si="2"/>
        <v>6240</v>
      </c>
      <c r="AG35" s="16"/>
      <c r="AH35" s="16"/>
      <c r="AI35" s="16"/>
      <c r="AJ35" s="16"/>
      <c r="AK35" s="16"/>
      <c r="AL35" s="16"/>
      <c r="AM35" s="16"/>
      <c r="AN35" s="16"/>
      <c r="AO35" s="16"/>
      <c r="AP35" s="16"/>
      <c r="AQ35" s="16"/>
      <c r="AR35" s="16"/>
      <c r="AS35" s="19">
        <f t="shared" si="3"/>
        <v>0</v>
      </c>
      <c r="AU35" s="16"/>
      <c r="AV35" s="16"/>
      <c r="AW35" s="16"/>
      <c r="AX35" s="16"/>
      <c r="AY35" s="16"/>
      <c r="AZ35" s="16"/>
      <c r="BA35" s="16"/>
      <c r="BB35" s="16"/>
      <c r="BC35" s="16"/>
      <c r="BD35" s="16"/>
      <c r="BE35" s="16"/>
      <c r="BF35" s="16"/>
      <c r="BG35" s="19">
        <f t="shared" si="4"/>
        <v>0</v>
      </c>
      <c r="BI35" s="16"/>
      <c r="BJ35" s="16"/>
      <c r="BK35" s="16"/>
      <c r="BL35" s="16"/>
      <c r="BM35" s="16"/>
      <c r="BN35" s="16"/>
      <c r="BO35" s="16"/>
      <c r="BP35" s="16"/>
      <c r="BQ35" s="16"/>
      <c r="BR35" s="16"/>
      <c r="BS35" s="16"/>
      <c r="BT35" s="16"/>
      <c r="BU35" s="19">
        <f t="shared" si="5"/>
        <v>0</v>
      </c>
      <c r="BW35" s="16"/>
      <c r="BX35" s="16"/>
      <c r="BY35" s="16"/>
      <c r="BZ35" s="16"/>
      <c r="CA35" s="16"/>
      <c r="CB35" s="16"/>
      <c r="CC35" s="16"/>
      <c r="CD35" s="16"/>
      <c r="CE35" s="16"/>
      <c r="CF35" s="16"/>
      <c r="CG35" s="16"/>
      <c r="CH35" s="16"/>
      <c r="CI35" s="19">
        <f t="shared" si="6"/>
        <v>0</v>
      </c>
      <c r="CK35" s="16"/>
      <c r="CL35" s="16"/>
      <c r="CM35" s="16"/>
      <c r="CN35" s="16"/>
      <c r="CO35" s="16"/>
      <c r="CP35" s="16"/>
      <c r="CQ35" s="16"/>
      <c r="CR35" s="16"/>
      <c r="CS35" s="16"/>
      <c r="CT35" s="16"/>
      <c r="CU35" s="16"/>
      <c r="CV35" s="16"/>
      <c r="CW35" s="19">
        <f t="shared" si="7"/>
        <v>0</v>
      </c>
      <c r="CY35" s="16"/>
      <c r="CZ35" s="16"/>
      <c r="DA35" s="16"/>
      <c r="DB35" s="16"/>
      <c r="DC35" s="16"/>
      <c r="DD35" s="16"/>
      <c r="DE35" s="16"/>
      <c r="DF35" s="16"/>
      <c r="DG35" s="16"/>
      <c r="DH35" s="16"/>
      <c r="DI35" s="16"/>
      <c r="DJ35" s="16"/>
      <c r="DK35" s="19">
        <f t="shared" si="8"/>
        <v>0</v>
      </c>
      <c r="DM35" s="16"/>
      <c r="DN35" s="16"/>
      <c r="DO35" s="16"/>
      <c r="DP35" s="16"/>
      <c r="DQ35" s="16"/>
      <c r="DR35" s="16"/>
      <c r="DS35" s="16"/>
      <c r="DT35" s="16"/>
      <c r="DU35" s="16"/>
      <c r="DV35" s="16"/>
      <c r="DW35" s="16"/>
      <c r="DX35" s="16"/>
      <c r="DY35" s="19">
        <f t="shared" si="9"/>
        <v>0</v>
      </c>
      <c r="EA35" s="16"/>
      <c r="EB35" s="16"/>
      <c r="EC35" s="16"/>
      <c r="ED35" s="16"/>
      <c r="EE35" s="16"/>
      <c r="EF35" s="16"/>
      <c r="EG35" s="16"/>
      <c r="EH35" s="16"/>
      <c r="EI35" s="16"/>
      <c r="EJ35" s="16"/>
      <c r="EK35" s="16"/>
      <c r="EL35" s="16"/>
      <c r="EM35" s="19">
        <f t="shared" si="10"/>
        <v>0</v>
      </c>
      <c r="EO35" s="16"/>
      <c r="EP35" s="16"/>
      <c r="EQ35" s="16"/>
      <c r="ER35" s="16"/>
      <c r="ES35" s="16"/>
      <c r="ET35" s="16"/>
      <c r="EU35" s="16"/>
      <c r="EV35" s="16"/>
      <c r="EW35" s="16"/>
      <c r="EX35" s="16"/>
      <c r="EY35" s="16"/>
      <c r="EZ35" s="16"/>
      <c r="FA35" s="19">
        <f t="shared" si="11"/>
        <v>0</v>
      </c>
      <c r="FC35" s="16"/>
      <c r="FD35" s="16"/>
      <c r="FE35" s="16"/>
      <c r="FF35" s="16"/>
      <c r="FG35" s="16"/>
      <c r="FH35" s="16"/>
      <c r="FI35" s="16"/>
      <c r="FJ35" s="16"/>
      <c r="FK35" s="16"/>
      <c r="FL35" s="16"/>
      <c r="FM35" s="16"/>
      <c r="FN35" s="16"/>
      <c r="FO35" s="19">
        <f t="shared" si="12"/>
        <v>0</v>
      </c>
      <c r="FQ35" s="16"/>
      <c r="FR35" s="16"/>
      <c r="FS35" s="16"/>
      <c r="FT35" s="16"/>
      <c r="FU35" s="16"/>
      <c r="FV35" s="16"/>
      <c r="FW35" s="16"/>
      <c r="FX35" s="16"/>
      <c r="FY35" s="16"/>
      <c r="FZ35" s="16"/>
      <c r="GA35" s="16"/>
      <c r="GB35" s="16"/>
      <c r="GC35" s="19">
        <f t="shared" si="13"/>
        <v>0</v>
      </c>
      <c r="GE35" s="16"/>
      <c r="GF35" s="16"/>
      <c r="GG35" s="16"/>
      <c r="GH35" s="16"/>
      <c r="GI35" s="16"/>
      <c r="GJ35" s="16"/>
      <c r="GK35" s="16"/>
      <c r="GL35" s="16"/>
      <c r="GM35" s="16"/>
      <c r="GN35" s="16"/>
      <c r="GO35" s="16"/>
      <c r="GP35" s="16"/>
      <c r="GQ35" s="19">
        <f t="shared" si="14"/>
        <v>0</v>
      </c>
      <c r="GS35" s="16"/>
      <c r="GT35" s="16"/>
      <c r="GU35" s="16"/>
      <c r="GV35" s="16"/>
      <c r="GW35" s="16"/>
      <c r="GX35" s="16"/>
      <c r="GY35" s="16"/>
      <c r="GZ35" s="16"/>
      <c r="HA35" s="16"/>
      <c r="HB35" s="16"/>
      <c r="HC35" s="16"/>
      <c r="HD35" s="16"/>
      <c r="HE35" s="19">
        <f t="shared" si="15"/>
        <v>0</v>
      </c>
      <c r="HG35" s="16"/>
      <c r="HH35" s="16"/>
      <c r="HI35" s="16"/>
      <c r="HJ35" s="16"/>
      <c r="HK35" s="16"/>
      <c r="HL35" s="16"/>
      <c r="HM35" s="16"/>
      <c r="HN35" s="16"/>
      <c r="HO35" s="16"/>
      <c r="HP35" s="16"/>
      <c r="HQ35" s="16"/>
      <c r="HR35" s="16"/>
      <c r="HS35" s="19">
        <f t="shared" si="16"/>
        <v>0</v>
      </c>
      <c r="HU35" s="16"/>
      <c r="HV35" s="16"/>
      <c r="HW35" s="16"/>
      <c r="HX35" s="16"/>
      <c r="HY35" s="16"/>
      <c r="HZ35" s="16"/>
      <c r="IA35" s="16"/>
      <c r="IB35" s="16"/>
      <c r="IC35" s="16"/>
      <c r="ID35" s="16"/>
      <c r="IE35" s="16"/>
      <c r="IF35" s="16"/>
      <c r="IG35" s="19">
        <f t="shared" si="17"/>
        <v>0</v>
      </c>
    </row>
    <row r="36" spans="3:241" x14ac:dyDescent="0.2">
      <c r="C36" s="20" t="s">
        <v>113</v>
      </c>
      <c r="E36" s="16"/>
      <c r="F36" s="16"/>
      <c r="G36" s="16"/>
      <c r="H36" s="16"/>
      <c r="I36" s="16"/>
      <c r="J36" s="16"/>
      <c r="K36" s="16"/>
      <c r="L36" s="16" cm="1">
        <f t="array" ref="L36">SUMPRODUCT((Previsions[Type]="Expenses")*(Previsions[Cat]=Expenses[[#This Row],[Expenses]])*(Previsions[Final Budget])*1)</f>
        <v>100</v>
      </c>
      <c r="M36" s="16" cm="1">
        <f t="array" ref="M36">SUMPRODUCT((Previsions[Type]="Expenses")*(Previsions[Cat]=Expenses[[#This Row],[Expenses]])*(Previsions[Final Budget])*1)</f>
        <v>100</v>
      </c>
      <c r="N36" s="16" cm="1">
        <f t="array" ref="N36">SUMPRODUCT((Previsions[Type]="Expenses")*(Previsions[Cat]=Expenses[[#This Row],[Expenses]])*(Previsions[Final Budget])*1)</f>
        <v>100</v>
      </c>
      <c r="O36" s="16" cm="1">
        <f t="array" ref="O36">SUMPRODUCT((Previsions[Type]="Expenses")*(Previsions[Cat]=Expenses[[#This Row],[Expenses]])*(Previsions[Final Budget])*1)</f>
        <v>100</v>
      </c>
      <c r="P36" s="16" cm="1">
        <f t="array" ref="P36">SUMPRODUCT((Previsions[Type]="Expenses")*(Previsions[Cat]=Expenses[[#This Row],[Expenses]])*(Previsions[Final Budget])*1)</f>
        <v>100</v>
      </c>
      <c r="Q36" s="19">
        <f t="shared" si="1"/>
        <v>500</v>
      </c>
      <c r="S36" s="16">
        <v>41.66</v>
      </c>
      <c r="T36" s="16">
        <v>41.66</v>
      </c>
      <c r="U36" s="16">
        <v>41.66</v>
      </c>
      <c r="V36" s="16">
        <v>41.66</v>
      </c>
      <c r="W36" s="16">
        <v>41.66</v>
      </c>
      <c r="X36" s="16">
        <v>41.66</v>
      </c>
      <c r="Y36" s="16">
        <v>41.66</v>
      </c>
      <c r="Z36" s="16">
        <v>41.66</v>
      </c>
      <c r="AA36" s="16">
        <v>41.66</v>
      </c>
      <c r="AB36" s="16">
        <v>41.66</v>
      </c>
      <c r="AC36" s="16">
        <v>41.66</v>
      </c>
      <c r="AD36" s="16">
        <v>41.66</v>
      </c>
      <c r="AE36" s="19">
        <f t="shared" si="2"/>
        <v>499.91999999999985</v>
      </c>
      <c r="AG36" s="16"/>
      <c r="AH36" s="16"/>
      <c r="AI36" s="16"/>
      <c r="AJ36" s="16"/>
      <c r="AK36" s="16"/>
      <c r="AL36" s="16"/>
      <c r="AM36" s="16"/>
      <c r="AN36" s="16"/>
      <c r="AO36" s="16"/>
      <c r="AP36" s="16"/>
      <c r="AQ36" s="16"/>
      <c r="AR36" s="16"/>
      <c r="AS36" s="19"/>
      <c r="AU36" s="16"/>
      <c r="AV36" s="16"/>
      <c r="AW36" s="16"/>
      <c r="AX36" s="16"/>
      <c r="AY36" s="16"/>
      <c r="AZ36" s="16"/>
      <c r="BA36" s="16"/>
      <c r="BB36" s="16"/>
      <c r="BC36" s="16"/>
      <c r="BD36" s="16"/>
      <c r="BE36" s="16"/>
      <c r="BF36" s="16"/>
      <c r="BG36" s="19"/>
      <c r="BI36" s="16"/>
      <c r="BJ36" s="16"/>
      <c r="BK36" s="16"/>
      <c r="BL36" s="16"/>
      <c r="BM36" s="16"/>
      <c r="BN36" s="16"/>
      <c r="BO36" s="16"/>
      <c r="BP36" s="16"/>
      <c r="BQ36" s="16"/>
      <c r="BR36" s="16"/>
      <c r="BS36" s="16"/>
      <c r="BT36" s="16"/>
      <c r="BU36" s="19"/>
      <c r="BW36" s="16"/>
      <c r="BX36" s="16"/>
      <c r="BY36" s="16"/>
      <c r="BZ36" s="16"/>
      <c r="CA36" s="16"/>
      <c r="CB36" s="16"/>
      <c r="CC36" s="16"/>
      <c r="CD36" s="16"/>
      <c r="CE36" s="16"/>
      <c r="CF36" s="16"/>
      <c r="CG36" s="16"/>
      <c r="CH36" s="16"/>
      <c r="CI36" s="19"/>
      <c r="CK36" s="16"/>
      <c r="CL36" s="16"/>
      <c r="CM36" s="16"/>
      <c r="CN36" s="16"/>
      <c r="CO36" s="16"/>
      <c r="CP36" s="16"/>
      <c r="CQ36" s="16"/>
      <c r="CR36" s="16"/>
      <c r="CS36" s="16"/>
      <c r="CT36" s="16"/>
      <c r="CU36" s="16"/>
      <c r="CV36" s="16"/>
      <c r="CW36" s="19"/>
      <c r="CY36" s="16"/>
      <c r="CZ36" s="16"/>
      <c r="DA36" s="16"/>
      <c r="DB36" s="16"/>
      <c r="DC36" s="16"/>
      <c r="DD36" s="16"/>
      <c r="DE36" s="16"/>
      <c r="DF36" s="16"/>
      <c r="DG36" s="16"/>
      <c r="DH36" s="16"/>
      <c r="DI36" s="16"/>
      <c r="DJ36" s="16"/>
      <c r="DK36" s="19"/>
      <c r="DM36" s="16"/>
      <c r="DN36" s="16"/>
      <c r="DO36" s="16"/>
      <c r="DP36" s="16"/>
      <c r="DQ36" s="16"/>
      <c r="DR36" s="16"/>
      <c r="DS36" s="16"/>
      <c r="DT36" s="16"/>
      <c r="DU36" s="16"/>
      <c r="DV36" s="16"/>
      <c r="DW36" s="16"/>
      <c r="DX36" s="16"/>
      <c r="DY36" s="19"/>
      <c r="EA36" s="16"/>
      <c r="EB36" s="16"/>
      <c r="EC36" s="16"/>
      <c r="ED36" s="16"/>
      <c r="EE36" s="16"/>
      <c r="EF36" s="16"/>
      <c r="EG36" s="16"/>
      <c r="EH36" s="16"/>
      <c r="EI36" s="16"/>
      <c r="EJ36" s="16"/>
      <c r="EK36" s="16"/>
      <c r="EL36" s="16"/>
      <c r="EM36" s="19"/>
      <c r="EO36" s="16"/>
      <c r="EP36" s="16"/>
      <c r="EQ36" s="16"/>
      <c r="ER36" s="16"/>
      <c r="ES36" s="16"/>
      <c r="ET36" s="16"/>
      <c r="EU36" s="16"/>
      <c r="EV36" s="16"/>
      <c r="EW36" s="16"/>
      <c r="EX36" s="16"/>
      <c r="EY36" s="16"/>
      <c r="EZ36" s="16"/>
      <c r="FA36" s="19"/>
      <c r="FC36" s="16"/>
      <c r="FD36" s="16"/>
      <c r="FE36" s="16"/>
      <c r="FF36" s="16"/>
      <c r="FG36" s="16"/>
      <c r="FH36" s="16"/>
      <c r="FI36" s="16"/>
      <c r="FJ36" s="16"/>
      <c r="FK36" s="16"/>
      <c r="FL36" s="16"/>
      <c r="FM36" s="16"/>
      <c r="FN36" s="16"/>
      <c r="FO36" s="19"/>
      <c r="FQ36" s="16"/>
      <c r="FR36" s="16"/>
      <c r="FS36" s="16"/>
      <c r="FT36" s="16"/>
      <c r="FU36" s="16"/>
      <c r="FV36" s="16"/>
      <c r="FW36" s="16"/>
      <c r="FX36" s="16"/>
      <c r="FY36" s="16"/>
      <c r="FZ36" s="16"/>
      <c r="GA36" s="16"/>
      <c r="GB36" s="16"/>
      <c r="GC36" s="19"/>
      <c r="GE36" s="16"/>
      <c r="GF36" s="16"/>
      <c r="GG36" s="16"/>
      <c r="GH36" s="16"/>
      <c r="GI36" s="16"/>
      <c r="GJ36" s="16"/>
      <c r="GK36" s="16"/>
      <c r="GL36" s="16"/>
      <c r="GM36" s="16"/>
      <c r="GN36" s="16"/>
      <c r="GO36" s="16"/>
      <c r="GP36" s="16"/>
      <c r="GQ36" s="19"/>
      <c r="GS36" s="16"/>
      <c r="GT36" s="16"/>
      <c r="GU36" s="16"/>
      <c r="GV36" s="16"/>
      <c r="GW36" s="16"/>
      <c r="GX36" s="16"/>
      <c r="GY36" s="16"/>
      <c r="GZ36" s="16"/>
      <c r="HA36" s="16"/>
      <c r="HB36" s="16"/>
      <c r="HC36" s="16"/>
      <c r="HD36" s="16"/>
      <c r="HE36" s="19"/>
      <c r="HG36" s="16"/>
      <c r="HH36" s="16"/>
      <c r="HI36" s="16"/>
      <c r="HJ36" s="16"/>
      <c r="HK36" s="16"/>
      <c r="HL36" s="16"/>
      <c r="HM36" s="16"/>
      <c r="HN36" s="16"/>
      <c r="HO36" s="16"/>
      <c r="HP36" s="16"/>
      <c r="HQ36" s="16"/>
      <c r="HR36" s="16"/>
      <c r="HS36" s="19"/>
      <c r="HU36" s="16"/>
      <c r="HV36" s="16"/>
      <c r="HW36" s="16"/>
      <c r="HX36" s="16"/>
      <c r="HY36" s="16"/>
      <c r="HZ36" s="16"/>
      <c r="IA36" s="16"/>
      <c r="IB36" s="16"/>
      <c r="IC36" s="16"/>
      <c r="ID36" s="16"/>
      <c r="IE36" s="16"/>
      <c r="IF36" s="16"/>
      <c r="IG36" s="19"/>
    </row>
    <row r="37" spans="3:241" x14ac:dyDescent="0.2">
      <c r="C37" s="17" t="s">
        <v>24</v>
      </c>
      <c r="E37" s="16"/>
      <c r="F37" s="16"/>
      <c r="G37" s="16"/>
      <c r="H37" s="16"/>
      <c r="I37" s="16"/>
      <c r="J37" s="16"/>
      <c r="K37" s="16"/>
      <c r="L37" s="16">
        <v>100</v>
      </c>
      <c r="M37" s="16">
        <v>100</v>
      </c>
      <c r="N37" s="16">
        <v>100</v>
      </c>
      <c r="O37" s="16">
        <v>100</v>
      </c>
      <c r="P37" s="16">
        <v>100</v>
      </c>
      <c r="Q37" s="19">
        <f t="shared" si="1"/>
        <v>500</v>
      </c>
      <c r="S37" s="16">
        <v>41.66</v>
      </c>
      <c r="T37" s="16">
        <v>41.66</v>
      </c>
      <c r="U37" s="16">
        <v>41.66</v>
      </c>
      <c r="V37" s="16">
        <v>41.66</v>
      </c>
      <c r="W37" s="16">
        <v>41.66</v>
      </c>
      <c r="X37" s="16">
        <v>41.66</v>
      </c>
      <c r="Y37" s="16">
        <v>41.66</v>
      </c>
      <c r="Z37" s="16">
        <v>41.66</v>
      </c>
      <c r="AA37" s="16">
        <v>41.66</v>
      </c>
      <c r="AB37" s="16">
        <v>41.66</v>
      </c>
      <c r="AC37" s="16">
        <v>41.66</v>
      </c>
      <c r="AD37" s="16">
        <v>41.66</v>
      </c>
      <c r="AE37" s="19">
        <v>500</v>
      </c>
      <c r="AG37" s="16"/>
      <c r="AH37" s="16"/>
      <c r="AI37" s="16"/>
      <c r="AJ37" s="16"/>
      <c r="AK37" s="16"/>
      <c r="AL37" s="16"/>
      <c r="AM37" s="16"/>
      <c r="AN37" s="16"/>
      <c r="AO37" s="16"/>
      <c r="AP37" s="16"/>
      <c r="AQ37" s="16"/>
      <c r="AR37" s="16"/>
      <c r="AS37" s="19">
        <f t="shared" si="3"/>
        <v>0</v>
      </c>
      <c r="AU37" s="16"/>
      <c r="AV37" s="16"/>
      <c r="AW37" s="16"/>
      <c r="AX37" s="16"/>
      <c r="AY37" s="16"/>
      <c r="AZ37" s="16"/>
      <c r="BA37" s="16"/>
      <c r="BB37" s="16"/>
      <c r="BC37" s="16"/>
      <c r="BD37" s="16"/>
      <c r="BE37" s="16"/>
      <c r="BF37" s="16"/>
      <c r="BG37" s="19">
        <f t="shared" si="4"/>
        <v>0</v>
      </c>
      <c r="BI37" s="16"/>
      <c r="BJ37" s="16"/>
      <c r="BK37" s="16"/>
      <c r="BL37" s="16"/>
      <c r="BM37" s="16"/>
      <c r="BN37" s="16"/>
      <c r="BO37" s="16"/>
      <c r="BP37" s="16"/>
      <c r="BQ37" s="16"/>
      <c r="BR37" s="16"/>
      <c r="BS37" s="16"/>
      <c r="BT37" s="16"/>
      <c r="BU37" s="19">
        <f t="shared" si="5"/>
        <v>0</v>
      </c>
      <c r="BW37" s="16"/>
      <c r="BX37" s="16"/>
      <c r="BY37" s="16"/>
      <c r="BZ37" s="16"/>
      <c r="CA37" s="16"/>
      <c r="CB37" s="16"/>
      <c r="CC37" s="16"/>
      <c r="CD37" s="16"/>
      <c r="CE37" s="16"/>
      <c r="CF37" s="16"/>
      <c r="CG37" s="16"/>
      <c r="CH37" s="16"/>
      <c r="CI37" s="19"/>
      <c r="CK37" s="16"/>
      <c r="CL37" s="16"/>
      <c r="CM37" s="16"/>
      <c r="CN37" s="16"/>
      <c r="CO37" s="16"/>
      <c r="CP37" s="16"/>
      <c r="CQ37" s="16"/>
      <c r="CR37" s="16"/>
      <c r="CS37" s="16"/>
      <c r="CT37" s="16"/>
      <c r="CU37" s="16"/>
      <c r="CV37" s="16"/>
      <c r="CW37" s="19"/>
      <c r="CY37" s="16"/>
      <c r="CZ37" s="16"/>
      <c r="DA37" s="16"/>
      <c r="DB37" s="16"/>
      <c r="DC37" s="16"/>
      <c r="DD37" s="16"/>
      <c r="DE37" s="16"/>
      <c r="DF37" s="16"/>
      <c r="DG37" s="16"/>
      <c r="DH37" s="16"/>
      <c r="DI37" s="16"/>
      <c r="DJ37" s="16"/>
      <c r="DK37" s="19"/>
      <c r="DM37" s="16"/>
      <c r="DN37" s="16"/>
      <c r="DO37" s="16"/>
      <c r="DP37" s="16"/>
      <c r="DQ37" s="16"/>
      <c r="DR37" s="16"/>
      <c r="DS37" s="16"/>
      <c r="DT37" s="16"/>
      <c r="DU37" s="16"/>
      <c r="DV37" s="16"/>
      <c r="DW37" s="16"/>
      <c r="DX37" s="16"/>
      <c r="DY37" s="19"/>
      <c r="EA37" s="16"/>
      <c r="EB37" s="16"/>
      <c r="EC37" s="16"/>
      <c r="ED37" s="16"/>
      <c r="EE37" s="16"/>
      <c r="EF37" s="16"/>
      <c r="EG37" s="16"/>
      <c r="EH37" s="16"/>
      <c r="EI37" s="16"/>
      <c r="EJ37" s="16"/>
      <c r="EK37" s="16"/>
      <c r="EL37" s="16"/>
      <c r="EM37" s="19"/>
      <c r="EO37" s="16"/>
      <c r="EP37" s="16"/>
      <c r="EQ37" s="16"/>
      <c r="ER37" s="16"/>
      <c r="ES37" s="16"/>
      <c r="ET37" s="16"/>
      <c r="EU37" s="16"/>
      <c r="EV37" s="16"/>
      <c r="EW37" s="16"/>
      <c r="EX37" s="16"/>
      <c r="EY37" s="16"/>
      <c r="EZ37" s="16"/>
      <c r="FA37" s="19"/>
      <c r="FC37" s="16"/>
      <c r="FD37" s="16"/>
      <c r="FE37" s="16"/>
      <c r="FF37" s="16"/>
      <c r="FG37" s="16"/>
      <c r="FH37" s="16"/>
      <c r="FI37" s="16"/>
      <c r="FJ37" s="16"/>
      <c r="FK37" s="16"/>
      <c r="FL37" s="16"/>
      <c r="FM37" s="16"/>
      <c r="FN37" s="16"/>
      <c r="FO37" s="19"/>
      <c r="FQ37" s="16"/>
      <c r="FR37" s="16"/>
      <c r="FS37" s="16"/>
      <c r="FT37" s="16"/>
      <c r="FU37" s="16"/>
      <c r="FV37" s="16"/>
      <c r="FW37" s="16"/>
      <c r="FX37" s="16"/>
      <c r="FY37" s="16"/>
      <c r="FZ37" s="16"/>
      <c r="GA37" s="16"/>
      <c r="GB37" s="16"/>
      <c r="GC37" s="19"/>
      <c r="GE37" s="16"/>
      <c r="GF37" s="16"/>
      <c r="GG37" s="16"/>
      <c r="GH37" s="16"/>
      <c r="GI37" s="16"/>
      <c r="GJ37" s="16"/>
      <c r="GK37" s="16"/>
      <c r="GL37" s="16"/>
      <c r="GM37" s="16"/>
      <c r="GN37" s="16"/>
      <c r="GO37" s="16"/>
      <c r="GP37" s="16"/>
      <c r="GQ37" s="19"/>
      <c r="GS37" s="16"/>
      <c r="GT37" s="16"/>
      <c r="GU37" s="16"/>
      <c r="GV37" s="16"/>
      <c r="GW37" s="16"/>
      <c r="GX37" s="16"/>
      <c r="GY37" s="16"/>
      <c r="GZ37" s="16"/>
      <c r="HA37" s="16"/>
      <c r="HB37" s="16"/>
      <c r="HC37" s="16"/>
      <c r="HD37" s="16"/>
      <c r="HE37" s="19"/>
      <c r="HG37" s="16"/>
      <c r="HH37" s="16"/>
      <c r="HI37" s="16"/>
      <c r="HJ37" s="16"/>
      <c r="HK37" s="16"/>
      <c r="HL37" s="16"/>
      <c r="HM37" s="16"/>
      <c r="HN37" s="16"/>
      <c r="HO37" s="16"/>
      <c r="HP37" s="16"/>
      <c r="HQ37" s="16"/>
      <c r="HR37" s="16"/>
      <c r="HS37" s="19"/>
      <c r="HU37" s="16"/>
      <c r="HV37" s="16"/>
      <c r="HW37" s="16"/>
      <c r="HX37" s="16"/>
      <c r="HY37" s="16"/>
      <c r="HZ37" s="16"/>
      <c r="IA37" s="16"/>
      <c r="IB37" s="16"/>
      <c r="IC37" s="16"/>
      <c r="ID37" s="16"/>
      <c r="IE37" s="16"/>
      <c r="IF37" s="16"/>
      <c r="IG37" s="19"/>
    </row>
    <row r="38" spans="3:241" x14ac:dyDescent="0.2">
      <c r="C38" s="17" t="s">
        <v>25</v>
      </c>
      <c r="E38" s="16"/>
      <c r="F38" s="16"/>
      <c r="G38" s="16"/>
      <c r="H38" s="16"/>
      <c r="I38" s="16"/>
      <c r="J38" s="16"/>
      <c r="K38" s="16"/>
      <c r="L38" s="16" cm="1">
        <f t="array" ref="L38">SUMPRODUCT((Previsions[Type]="Expenses")*(Previsions[Cat]=Expenses[[#This Row],[Expenses]])*(Previsions[Final Budget])*1)</f>
        <v>0</v>
      </c>
      <c r="M38" s="16" cm="1">
        <f t="array" ref="M38">SUMPRODUCT((Previsions[Type]="Expenses")*(Previsions[Cat]=Expenses[[#This Row],[Expenses]])*(Previsions[Final Budget])*1)</f>
        <v>0</v>
      </c>
      <c r="N38" s="16" cm="1">
        <f t="array" ref="N38">SUMPRODUCT((Previsions[Type]="Expenses")*(Previsions[Cat]=Expenses[[#This Row],[Expenses]])*(Previsions[Final Budget])*1)</f>
        <v>0</v>
      </c>
      <c r="O38" s="16" cm="1">
        <f t="array" ref="O38">SUMPRODUCT((Previsions[Type]="Expenses")*(Previsions[Cat]=Expenses[[#This Row],[Expenses]])*(Previsions[Final Budget])*1)</f>
        <v>0</v>
      </c>
      <c r="P38" s="16" cm="1">
        <f t="array" ref="P38">SUMPRODUCT((Previsions[Type]="Expenses")*(Previsions[Cat]=Expenses[[#This Row],[Expenses]])*(Previsions[Final Budget])*1)</f>
        <v>0</v>
      </c>
      <c r="Q38" s="19">
        <f t="shared" si="1"/>
        <v>0</v>
      </c>
      <c r="S38" s="16"/>
      <c r="T38" s="16"/>
      <c r="U38" s="16"/>
      <c r="V38" s="16"/>
      <c r="W38" s="16"/>
      <c r="X38" s="16"/>
      <c r="Y38" s="16"/>
      <c r="Z38" s="16"/>
      <c r="AA38" s="16"/>
      <c r="AB38" s="16"/>
      <c r="AC38" s="16"/>
      <c r="AD38" s="16"/>
      <c r="AE38" s="19">
        <f t="shared" si="2"/>
        <v>0</v>
      </c>
      <c r="AG38" s="16"/>
      <c r="AH38" s="16"/>
      <c r="AI38" s="16"/>
      <c r="AJ38" s="16"/>
      <c r="AK38" s="16"/>
      <c r="AL38" s="16"/>
      <c r="AM38" s="16"/>
      <c r="AN38" s="16"/>
      <c r="AO38" s="16"/>
      <c r="AP38" s="16"/>
      <c r="AQ38" s="16"/>
      <c r="AR38" s="16"/>
      <c r="AS38" s="19">
        <f t="shared" si="3"/>
        <v>0</v>
      </c>
      <c r="AU38" s="16"/>
      <c r="AV38" s="16"/>
      <c r="AW38" s="16"/>
      <c r="AX38" s="16"/>
      <c r="AY38" s="16"/>
      <c r="AZ38" s="16"/>
      <c r="BA38" s="16"/>
      <c r="BB38" s="16"/>
      <c r="BC38" s="16"/>
      <c r="BD38" s="16"/>
      <c r="BE38" s="16"/>
      <c r="BF38" s="16"/>
      <c r="BG38" s="19">
        <f t="shared" si="4"/>
        <v>0</v>
      </c>
      <c r="BI38" s="16"/>
      <c r="BJ38" s="16"/>
      <c r="BK38" s="16"/>
      <c r="BL38" s="16"/>
      <c r="BM38" s="16"/>
      <c r="BN38" s="16"/>
      <c r="BO38" s="16"/>
      <c r="BP38" s="16"/>
      <c r="BQ38" s="16"/>
      <c r="BR38" s="16"/>
      <c r="BS38" s="16"/>
      <c r="BT38" s="16"/>
      <c r="BU38" s="19">
        <f t="shared" si="5"/>
        <v>0</v>
      </c>
      <c r="BW38" s="16"/>
      <c r="BX38" s="16"/>
      <c r="BY38" s="16"/>
      <c r="BZ38" s="16"/>
      <c r="CA38" s="16"/>
      <c r="CB38" s="16"/>
      <c r="CC38" s="16"/>
      <c r="CD38" s="16"/>
      <c r="CE38" s="16"/>
      <c r="CF38" s="16"/>
      <c r="CG38" s="16"/>
      <c r="CH38" s="16"/>
      <c r="CI38" s="19"/>
      <c r="CK38" s="16"/>
      <c r="CL38" s="16"/>
      <c r="CM38" s="16"/>
      <c r="CN38" s="16"/>
      <c r="CO38" s="16"/>
      <c r="CP38" s="16"/>
      <c r="CQ38" s="16"/>
      <c r="CR38" s="16"/>
      <c r="CS38" s="16"/>
      <c r="CT38" s="16"/>
      <c r="CU38" s="16"/>
      <c r="CV38" s="16"/>
      <c r="CW38" s="19"/>
      <c r="CY38" s="16"/>
      <c r="CZ38" s="16"/>
      <c r="DA38" s="16"/>
      <c r="DB38" s="16"/>
      <c r="DC38" s="16"/>
      <c r="DD38" s="16"/>
      <c r="DE38" s="16"/>
      <c r="DF38" s="16"/>
      <c r="DG38" s="16"/>
      <c r="DH38" s="16"/>
      <c r="DI38" s="16"/>
      <c r="DJ38" s="16"/>
      <c r="DK38" s="19"/>
      <c r="DM38" s="16"/>
      <c r="DN38" s="16"/>
      <c r="DO38" s="16"/>
      <c r="DP38" s="16"/>
      <c r="DQ38" s="16"/>
      <c r="DR38" s="16"/>
      <c r="DS38" s="16"/>
      <c r="DT38" s="16"/>
      <c r="DU38" s="16"/>
      <c r="DV38" s="16"/>
      <c r="DW38" s="16"/>
      <c r="DX38" s="16"/>
      <c r="DY38" s="19"/>
      <c r="EA38" s="16"/>
      <c r="EB38" s="16"/>
      <c r="EC38" s="16"/>
      <c r="ED38" s="16"/>
      <c r="EE38" s="16"/>
      <c r="EF38" s="16"/>
      <c r="EG38" s="16"/>
      <c r="EH38" s="16"/>
      <c r="EI38" s="16"/>
      <c r="EJ38" s="16"/>
      <c r="EK38" s="16"/>
      <c r="EL38" s="16"/>
      <c r="EM38" s="19"/>
      <c r="EO38" s="16"/>
      <c r="EP38" s="16"/>
      <c r="EQ38" s="16"/>
      <c r="ER38" s="16"/>
      <c r="ES38" s="16"/>
      <c r="ET38" s="16"/>
      <c r="EU38" s="16"/>
      <c r="EV38" s="16"/>
      <c r="EW38" s="16"/>
      <c r="EX38" s="16"/>
      <c r="EY38" s="16"/>
      <c r="EZ38" s="16"/>
      <c r="FA38" s="19"/>
      <c r="FC38" s="16"/>
      <c r="FD38" s="16"/>
      <c r="FE38" s="16"/>
      <c r="FF38" s="16"/>
      <c r="FG38" s="16"/>
      <c r="FH38" s="16"/>
      <c r="FI38" s="16"/>
      <c r="FJ38" s="16"/>
      <c r="FK38" s="16"/>
      <c r="FL38" s="16"/>
      <c r="FM38" s="16"/>
      <c r="FN38" s="16"/>
      <c r="FO38" s="19"/>
      <c r="FQ38" s="16"/>
      <c r="FR38" s="16"/>
      <c r="FS38" s="16"/>
      <c r="FT38" s="16"/>
      <c r="FU38" s="16"/>
      <c r="FV38" s="16"/>
      <c r="FW38" s="16"/>
      <c r="FX38" s="16"/>
      <c r="FY38" s="16"/>
      <c r="FZ38" s="16"/>
      <c r="GA38" s="16"/>
      <c r="GB38" s="16"/>
      <c r="GC38" s="19"/>
      <c r="GE38" s="16"/>
      <c r="GF38" s="16"/>
      <c r="GG38" s="16"/>
      <c r="GH38" s="16"/>
      <c r="GI38" s="16"/>
      <c r="GJ38" s="16"/>
      <c r="GK38" s="16"/>
      <c r="GL38" s="16"/>
      <c r="GM38" s="16"/>
      <c r="GN38" s="16"/>
      <c r="GO38" s="16"/>
      <c r="GP38" s="16"/>
      <c r="GQ38" s="19"/>
      <c r="GS38" s="16"/>
      <c r="GT38" s="16"/>
      <c r="GU38" s="16"/>
      <c r="GV38" s="16"/>
      <c r="GW38" s="16"/>
      <c r="GX38" s="16"/>
      <c r="GY38" s="16"/>
      <c r="GZ38" s="16"/>
      <c r="HA38" s="16"/>
      <c r="HB38" s="16"/>
      <c r="HC38" s="16"/>
      <c r="HD38" s="16"/>
      <c r="HE38" s="19"/>
      <c r="HG38" s="16"/>
      <c r="HH38" s="16"/>
      <c r="HI38" s="16"/>
      <c r="HJ38" s="16"/>
      <c r="HK38" s="16"/>
      <c r="HL38" s="16"/>
      <c r="HM38" s="16"/>
      <c r="HN38" s="16"/>
      <c r="HO38" s="16"/>
      <c r="HP38" s="16"/>
      <c r="HQ38" s="16"/>
      <c r="HR38" s="16"/>
      <c r="HS38" s="19"/>
      <c r="HU38" s="16"/>
      <c r="HV38" s="16"/>
      <c r="HW38" s="16"/>
      <c r="HX38" s="16"/>
      <c r="HY38" s="16"/>
      <c r="HZ38" s="16"/>
      <c r="IA38" s="16"/>
      <c r="IB38" s="16"/>
      <c r="IC38" s="16"/>
      <c r="ID38" s="16"/>
      <c r="IE38" s="16"/>
      <c r="IF38" s="16"/>
      <c r="IG38" s="19"/>
    </row>
    <row r="39" spans="3:241" x14ac:dyDescent="0.2">
      <c r="C39" s="20" t="s">
        <v>104</v>
      </c>
      <c r="E39" s="16"/>
      <c r="F39" s="16"/>
      <c r="G39" s="16"/>
      <c r="H39" s="16"/>
      <c r="I39" s="16"/>
      <c r="J39" s="16"/>
      <c r="K39" s="16"/>
      <c r="L39" s="16">
        <v>200</v>
      </c>
      <c r="M39" s="16">
        <v>200</v>
      </c>
      <c r="N39" s="16">
        <v>200</v>
      </c>
      <c r="O39" s="16">
        <v>200</v>
      </c>
      <c r="P39" s="16">
        <v>200</v>
      </c>
      <c r="Q39" s="19">
        <f t="shared" si="1"/>
        <v>1000</v>
      </c>
      <c r="S39" s="16">
        <v>150</v>
      </c>
      <c r="T39" s="16">
        <v>150</v>
      </c>
      <c r="U39" s="16">
        <v>150</v>
      </c>
      <c r="V39" s="16">
        <v>150</v>
      </c>
      <c r="W39" s="16">
        <v>150</v>
      </c>
      <c r="X39" s="16">
        <v>150</v>
      </c>
      <c r="Y39" s="16">
        <v>150</v>
      </c>
      <c r="Z39" s="16">
        <v>150</v>
      </c>
      <c r="AA39" s="16">
        <v>150</v>
      </c>
      <c r="AB39" s="16">
        <v>150</v>
      </c>
      <c r="AC39" s="16">
        <v>150</v>
      </c>
      <c r="AD39" s="16">
        <v>150</v>
      </c>
      <c r="AE39" s="19">
        <f t="shared" si="2"/>
        <v>1800</v>
      </c>
      <c r="AG39" s="16"/>
      <c r="AH39" s="16"/>
      <c r="AI39" s="16"/>
      <c r="AJ39" s="16"/>
      <c r="AK39" s="16"/>
      <c r="AL39" s="16"/>
      <c r="AM39" s="16"/>
      <c r="AN39" s="16"/>
      <c r="AO39" s="16"/>
      <c r="AP39" s="16"/>
      <c r="AQ39" s="16"/>
      <c r="AR39" s="16"/>
      <c r="AS39" s="19"/>
      <c r="AU39" s="16"/>
      <c r="AV39" s="16"/>
      <c r="AW39" s="16"/>
      <c r="AX39" s="16"/>
      <c r="AY39" s="16"/>
      <c r="AZ39" s="16"/>
      <c r="BA39" s="16"/>
      <c r="BB39" s="16"/>
      <c r="BC39" s="16"/>
      <c r="BD39" s="16"/>
      <c r="BE39" s="16"/>
      <c r="BF39" s="16"/>
      <c r="BG39" s="19"/>
      <c r="BI39" s="16"/>
      <c r="BJ39" s="16"/>
      <c r="BK39" s="16"/>
      <c r="BL39" s="16"/>
      <c r="BM39" s="16"/>
      <c r="BN39" s="16"/>
      <c r="BO39" s="16"/>
      <c r="BP39" s="16"/>
      <c r="BQ39" s="16"/>
      <c r="BR39" s="16"/>
      <c r="BS39" s="16"/>
      <c r="BT39" s="16"/>
      <c r="BU39" s="19"/>
      <c r="BW39" s="16"/>
      <c r="BX39" s="16"/>
      <c r="BY39" s="16"/>
      <c r="BZ39" s="16"/>
      <c r="CA39" s="16"/>
      <c r="CB39" s="16"/>
      <c r="CC39" s="16"/>
      <c r="CD39" s="16"/>
      <c r="CE39" s="16"/>
      <c r="CF39" s="16"/>
      <c r="CG39" s="16"/>
      <c r="CH39" s="16"/>
      <c r="CI39" s="19"/>
      <c r="CK39" s="16"/>
      <c r="CL39" s="16"/>
      <c r="CM39" s="16"/>
      <c r="CN39" s="16"/>
      <c r="CO39" s="16"/>
      <c r="CP39" s="16"/>
      <c r="CQ39" s="16"/>
      <c r="CR39" s="16"/>
      <c r="CS39" s="16"/>
      <c r="CT39" s="16"/>
      <c r="CU39" s="16"/>
      <c r="CV39" s="16"/>
      <c r="CW39" s="19"/>
      <c r="CY39" s="16"/>
      <c r="CZ39" s="16"/>
      <c r="DA39" s="16"/>
      <c r="DB39" s="16"/>
      <c r="DC39" s="16"/>
      <c r="DD39" s="16"/>
      <c r="DE39" s="16"/>
      <c r="DF39" s="16"/>
      <c r="DG39" s="16"/>
      <c r="DH39" s="16"/>
      <c r="DI39" s="16"/>
      <c r="DJ39" s="16"/>
      <c r="DK39" s="19"/>
      <c r="DM39" s="16"/>
      <c r="DN39" s="16"/>
      <c r="DO39" s="16"/>
      <c r="DP39" s="16"/>
      <c r="DQ39" s="16"/>
      <c r="DR39" s="16"/>
      <c r="DS39" s="16"/>
      <c r="DT39" s="16"/>
      <c r="DU39" s="16"/>
      <c r="DV39" s="16"/>
      <c r="DW39" s="16"/>
      <c r="DX39" s="16"/>
      <c r="DY39" s="19"/>
      <c r="EA39" s="16"/>
      <c r="EB39" s="16"/>
      <c r="EC39" s="16"/>
      <c r="ED39" s="16"/>
      <c r="EE39" s="16"/>
      <c r="EF39" s="16"/>
      <c r="EG39" s="16"/>
      <c r="EH39" s="16"/>
      <c r="EI39" s="16"/>
      <c r="EJ39" s="16"/>
      <c r="EK39" s="16"/>
      <c r="EL39" s="16"/>
      <c r="EM39" s="19"/>
      <c r="EO39" s="16"/>
      <c r="EP39" s="16"/>
      <c r="EQ39" s="16"/>
      <c r="ER39" s="16"/>
      <c r="ES39" s="16"/>
      <c r="ET39" s="16"/>
      <c r="EU39" s="16"/>
      <c r="EV39" s="16"/>
      <c r="EW39" s="16"/>
      <c r="EX39" s="16"/>
      <c r="EY39" s="16"/>
      <c r="EZ39" s="16"/>
      <c r="FA39" s="19"/>
      <c r="FC39" s="16"/>
      <c r="FD39" s="16"/>
      <c r="FE39" s="16"/>
      <c r="FF39" s="16"/>
      <c r="FG39" s="16"/>
      <c r="FH39" s="16"/>
      <c r="FI39" s="16"/>
      <c r="FJ39" s="16"/>
      <c r="FK39" s="16"/>
      <c r="FL39" s="16"/>
      <c r="FM39" s="16"/>
      <c r="FN39" s="16"/>
      <c r="FO39" s="19"/>
      <c r="FQ39" s="16"/>
      <c r="FR39" s="16"/>
      <c r="FS39" s="16"/>
      <c r="FT39" s="16"/>
      <c r="FU39" s="16"/>
      <c r="FV39" s="16"/>
      <c r="FW39" s="16"/>
      <c r="FX39" s="16"/>
      <c r="FY39" s="16"/>
      <c r="FZ39" s="16"/>
      <c r="GA39" s="16"/>
      <c r="GB39" s="16"/>
      <c r="GC39" s="19"/>
      <c r="GE39" s="16"/>
      <c r="GF39" s="16"/>
      <c r="GG39" s="16"/>
      <c r="GH39" s="16"/>
      <c r="GI39" s="16"/>
      <c r="GJ39" s="16"/>
      <c r="GK39" s="16"/>
      <c r="GL39" s="16"/>
      <c r="GM39" s="16"/>
      <c r="GN39" s="16"/>
      <c r="GO39" s="16"/>
      <c r="GP39" s="16"/>
      <c r="GQ39" s="19"/>
      <c r="GS39" s="16"/>
      <c r="GT39" s="16"/>
      <c r="GU39" s="16"/>
      <c r="GV39" s="16"/>
      <c r="GW39" s="16"/>
      <c r="GX39" s="16"/>
      <c r="GY39" s="16"/>
      <c r="GZ39" s="16"/>
      <c r="HA39" s="16"/>
      <c r="HB39" s="16"/>
      <c r="HC39" s="16"/>
      <c r="HD39" s="16"/>
      <c r="HE39" s="19"/>
      <c r="HG39" s="16"/>
      <c r="HH39" s="16"/>
      <c r="HI39" s="16"/>
      <c r="HJ39" s="16"/>
      <c r="HK39" s="16"/>
      <c r="HL39" s="16"/>
      <c r="HM39" s="16"/>
      <c r="HN39" s="16"/>
      <c r="HO39" s="16"/>
      <c r="HP39" s="16"/>
      <c r="HQ39" s="16"/>
      <c r="HR39" s="16"/>
      <c r="HS39" s="19"/>
      <c r="HU39" s="16"/>
      <c r="HV39" s="16"/>
      <c r="HW39" s="16"/>
      <c r="HX39" s="16"/>
      <c r="HY39" s="16"/>
      <c r="HZ39" s="16"/>
      <c r="IA39" s="16"/>
      <c r="IB39" s="16"/>
      <c r="IC39" s="16"/>
      <c r="ID39" s="16"/>
      <c r="IE39" s="16"/>
      <c r="IF39" s="16"/>
      <c r="IG39" s="19"/>
    </row>
    <row r="40" spans="3:241" x14ac:dyDescent="0.2">
      <c r="C40" s="20" t="s">
        <v>158</v>
      </c>
      <c r="E40" s="16"/>
      <c r="F40" s="16"/>
      <c r="G40" s="16"/>
      <c r="H40" s="16"/>
      <c r="I40" s="16"/>
      <c r="J40" s="16"/>
      <c r="K40" s="16"/>
      <c r="L40" s="16" cm="1">
        <f t="array" ref="L40">SUMPRODUCT((Previsions[Type]="Expenses")*(Previsions[Cat]=Expenses[[#This Row],[Expenses]])*(Previsions[Final Budget])*1)</f>
        <v>200</v>
      </c>
      <c r="M40" s="16" cm="1">
        <f t="array" ref="M40">SUMPRODUCT((Previsions[Type]="Expenses")*(Previsions[Cat]=Expenses[[#This Row],[Expenses]])*(Previsions[Final Budget])*1)</f>
        <v>200</v>
      </c>
      <c r="N40" s="16" cm="1">
        <f t="array" ref="N40">SUMPRODUCT((Previsions[Type]="Expenses")*(Previsions[Cat]=Expenses[[#This Row],[Expenses]])*(Previsions[Final Budget])*1)</f>
        <v>200</v>
      </c>
      <c r="O40" s="16" cm="1">
        <f t="array" ref="O40">SUMPRODUCT((Previsions[Type]="Expenses")*(Previsions[Cat]=Expenses[[#This Row],[Expenses]])*(Previsions[Final Budget])*1)</f>
        <v>200</v>
      </c>
      <c r="P40" s="16" cm="1">
        <f t="array" ref="P40">SUMPRODUCT((Previsions[Type]="Expenses")*(Previsions[Cat]=Expenses[[#This Row],[Expenses]])*(Previsions[Final Budget])*1)</f>
        <v>200</v>
      </c>
      <c r="Q40" s="19">
        <f t="shared" si="1"/>
        <v>1000</v>
      </c>
      <c r="S40" s="16">
        <f>AE40/12</f>
        <v>83.333333333333329</v>
      </c>
      <c r="T40" s="16">
        <v>83.333333333333329</v>
      </c>
      <c r="U40" s="16">
        <v>83.333333333333329</v>
      </c>
      <c r="V40" s="16">
        <v>83.333333333333329</v>
      </c>
      <c r="W40" s="16">
        <v>83.333333333333329</v>
      </c>
      <c r="X40" s="16">
        <v>83.333333333333329</v>
      </c>
      <c r="Y40" s="16">
        <v>83.333333333333329</v>
      </c>
      <c r="Z40" s="16">
        <v>83.333333333333329</v>
      </c>
      <c r="AA40" s="16">
        <v>83.333333333333329</v>
      </c>
      <c r="AB40" s="16">
        <v>83.333333333333329</v>
      </c>
      <c r="AC40" s="16">
        <v>83.333333333333329</v>
      </c>
      <c r="AD40" s="16">
        <v>83.333333333333329</v>
      </c>
      <c r="AE40" s="19">
        <v>1000</v>
      </c>
      <c r="AG40" s="16"/>
      <c r="AH40" s="16"/>
      <c r="AI40" s="16"/>
      <c r="AJ40" s="16"/>
      <c r="AK40" s="16"/>
      <c r="AL40" s="16"/>
      <c r="AM40" s="16"/>
      <c r="AN40" s="16"/>
      <c r="AO40" s="16"/>
      <c r="AP40" s="16"/>
      <c r="AQ40" s="16"/>
      <c r="AR40" s="16"/>
      <c r="AS40" s="19"/>
      <c r="AU40" s="16"/>
      <c r="AV40" s="16"/>
      <c r="AW40" s="16"/>
      <c r="AX40" s="16"/>
      <c r="AY40" s="16"/>
      <c r="AZ40" s="16"/>
      <c r="BA40" s="16"/>
      <c r="BB40" s="16"/>
      <c r="BC40" s="16"/>
      <c r="BD40" s="16"/>
      <c r="BE40" s="16"/>
      <c r="BF40" s="16"/>
      <c r="BG40" s="19"/>
      <c r="BI40" s="16"/>
      <c r="BJ40" s="16"/>
      <c r="BK40" s="16"/>
      <c r="BL40" s="16"/>
      <c r="BM40" s="16"/>
      <c r="BN40" s="16"/>
      <c r="BO40" s="16"/>
      <c r="BP40" s="16"/>
      <c r="BQ40" s="16"/>
      <c r="BR40" s="16"/>
      <c r="BS40" s="16"/>
      <c r="BT40" s="16"/>
      <c r="BU40" s="19"/>
      <c r="BW40" s="16"/>
      <c r="BX40" s="16"/>
      <c r="BY40" s="16"/>
      <c r="BZ40" s="16"/>
      <c r="CA40" s="16"/>
      <c r="CB40" s="16"/>
      <c r="CC40" s="16"/>
      <c r="CD40" s="16"/>
      <c r="CE40" s="16"/>
      <c r="CF40" s="16"/>
      <c r="CG40" s="16"/>
      <c r="CH40" s="16"/>
      <c r="CI40" s="19"/>
      <c r="CK40" s="16"/>
      <c r="CL40" s="16"/>
      <c r="CM40" s="16"/>
      <c r="CN40" s="16"/>
      <c r="CO40" s="16"/>
      <c r="CP40" s="16"/>
      <c r="CQ40" s="16"/>
      <c r="CR40" s="16"/>
      <c r="CS40" s="16"/>
      <c r="CT40" s="16"/>
      <c r="CU40" s="16"/>
      <c r="CV40" s="16"/>
      <c r="CW40" s="19"/>
      <c r="CY40" s="16"/>
      <c r="CZ40" s="16"/>
      <c r="DA40" s="16"/>
      <c r="DB40" s="16"/>
      <c r="DC40" s="16"/>
      <c r="DD40" s="16"/>
      <c r="DE40" s="16"/>
      <c r="DF40" s="16"/>
      <c r="DG40" s="16"/>
      <c r="DH40" s="16"/>
      <c r="DI40" s="16"/>
      <c r="DJ40" s="16"/>
      <c r="DK40" s="19"/>
      <c r="DM40" s="16"/>
      <c r="DN40" s="16"/>
      <c r="DO40" s="16"/>
      <c r="DP40" s="16"/>
      <c r="DQ40" s="16"/>
      <c r="DR40" s="16"/>
      <c r="DS40" s="16"/>
      <c r="DT40" s="16"/>
      <c r="DU40" s="16"/>
      <c r="DV40" s="16"/>
      <c r="DW40" s="16"/>
      <c r="DX40" s="16"/>
      <c r="DY40" s="19"/>
      <c r="EA40" s="16"/>
      <c r="EB40" s="16"/>
      <c r="EC40" s="16"/>
      <c r="ED40" s="16"/>
      <c r="EE40" s="16"/>
      <c r="EF40" s="16"/>
      <c r="EG40" s="16"/>
      <c r="EH40" s="16"/>
      <c r="EI40" s="16"/>
      <c r="EJ40" s="16"/>
      <c r="EK40" s="16"/>
      <c r="EL40" s="16"/>
      <c r="EM40" s="19"/>
      <c r="EO40" s="16"/>
      <c r="EP40" s="16"/>
      <c r="EQ40" s="16"/>
      <c r="ER40" s="16"/>
      <c r="ES40" s="16"/>
      <c r="ET40" s="16"/>
      <c r="EU40" s="16"/>
      <c r="EV40" s="16"/>
      <c r="EW40" s="16"/>
      <c r="EX40" s="16"/>
      <c r="EY40" s="16"/>
      <c r="EZ40" s="16"/>
      <c r="FA40" s="19"/>
      <c r="FC40" s="16"/>
      <c r="FD40" s="16"/>
      <c r="FE40" s="16"/>
      <c r="FF40" s="16"/>
      <c r="FG40" s="16"/>
      <c r="FH40" s="16"/>
      <c r="FI40" s="16"/>
      <c r="FJ40" s="16"/>
      <c r="FK40" s="16"/>
      <c r="FL40" s="16"/>
      <c r="FM40" s="16"/>
      <c r="FN40" s="16"/>
      <c r="FO40" s="19"/>
      <c r="FQ40" s="16"/>
      <c r="FR40" s="16"/>
      <c r="FS40" s="16"/>
      <c r="FT40" s="16"/>
      <c r="FU40" s="16"/>
      <c r="FV40" s="16"/>
      <c r="FW40" s="16"/>
      <c r="FX40" s="16"/>
      <c r="FY40" s="16"/>
      <c r="FZ40" s="16"/>
      <c r="GA40" s="16"/>
      <c r="GB40" s="16"/>
      <c r="GC40" s="19"/>
      <c r="GE40" s="16"/>
      <c r="GF40" s="16"/>
      <c r="GG40" s="16"/>
      <c r="GH40" s="16"/>
      <c r="GI40" s="16"/>
      <c r="GJ40" s="16"/>
      <c r="GK40" s="16"/>
      <c r="GL40" s="16"/>
      <c r="GM40" s="16"/>
      <c r="GN40" s="16"/>
      <c r="GO40" s="16"/>
      <c r="GP40" s="16"/>
      <c r="GQ40" s="19"/>
      <c r="GS40" s="16"/>
      <c r="GT40" s="16"/>
      <c r="GU40" s="16"/>
      <c r="GV40" s="16"/>
      <c r="GW40" s="16"/>
      <c r="GX40" s="16"/>
      <c r="GY40" s="16"/>
      <c r="GZ40" s="16"/>
      <c r="HA40" s="16"/>
      <c r="HB40" s="16"/>
      <c r="HC40" s="16"/>
      <c r="HD40" s="16"/>
      <c r="HE40" s="19"/>
      <c r="HG40" s="16"/>
      <c r="HH40" s="16"/>
      <c r="HI40" s="16"/>
      <c r="HJ40" s="16"/>
      <c r="HK40" s="16"/>
      <c r="HL40" s="16"/>
      <c r="HM40" s="16"/>
      <c r="HN40" s="16"/>
      <c r="HO40" s="16"/>
      <c r="HP40" s="16"/>
      <c r="HQ40" s="16"/>
      <c r="HR40" s="16"/>
      <c r="HS40" s="19"/>
      <c r="HU40" s="16"/>
      <c r="HV40" s="16"/>
      <c r="HW40" s="16"/>
      <c r="HX40" s="16"/>
      <c r="HY40" s="16"/>
      <c r="HZ40" s="16"/>
      <c r="IA40" s="16"/>
      <c r="IB40" s="16"/>
      <c r="IC40" s="16"/>
      <c r="ID40" s="16"/>
      <c r="IE40" s="16"/>
      <c r="IF40" s="16"/>
      <c r="IG40" s="19"/>
    </row>
    <row r="41" spans="3:241" x14ac:dyDescent="0.2">
      <c r="C41" s="20" t="s">
        <v>161</v>
      </c>
      <c r="E41" s="16"/>
      <c r="F41" s="16"/>
      <c r="G41" s="16"/>
      <c r="H41" s="16"/>
      <c r="I41" s="16"/>
      <c r="J41" s="16"/>
      <c r="K41" s="16"/>
      <c r="L41" s="16" cm="1">
        <f t="array" ref="L41">SUMPRODUCT((Previsions[Type]="Expenses")*(Previsions[Cat]=Expenses[[#This Row],[Expenses]])*(Previsions[Final Budget])*1)</f>
        <v>200</v>
      </c>
      <c r="M41" s="16" cm="1">
        <f t="array" ref="M41">SUMPRODUCT((Previsions[Type]="Expenses")*(Previsions[Cat]=Expenses[[#This Row],[Expenses]])*(Previsions[Final Budget])*1)</f>
        <v>200</v>
      </c>
      <c r="N41" s="16" cm="1">
        <f t="array" ref="N41">SUMPRODUCT((Previsions[Type]="Expenses")*(Previsions[Cat]=Expenses[[#This Row],[Expenses]])*(Previsions[Final Budget])*1)</f>
        <v>200</v>
      </c>
      <c r="O41" s="16" cm="1">
        <f t="array" ref="O41">SUMPRODUCT((Previsions[Type]="Expenses")*(Previsions[Cat]=Expenses[[#This Row],[Expenses]])*(Previsions[Final Budget])*1)</f>
        <v>200</v>
      </c>
      <c r="P41" s="16" cm="1">
        <f t="array" ref="P41">SUMPRODUCT((Previsions[Type]="Expenses")*(Previsions[Cat]=Expenses[[#This Row],[Expenses]])*(Previsions[Final Budget])*1)</f>
        <v>200</v>
      </c>
      <c r="Q41" s="19">
        <f t="shared" si="1"/>
        <v>1000</v>
      </c>
      <c r="S41" s="16">
        <f>AE41/12</f>
        <v>83.333333333333329</v>
      </c>
      <c r="T41" s="16">
        <v>83.333333333333329</v>
      </c>
      <c r="U41" s="16">
        <v>83.333333333333329</v>
      </c>
      <c r="V41" s="16">
        <v>83.333333333333329</v>
      </c>
      <c r="W41" s="16">
        <v>83.333333333333329</v>
      </c>
      <c r="X41" s="16">
        <v>83.333333333333329</v>
      </c>
      <c r="Y41" s="16">
        <v>83.333333333333329</v>
      </c>
      <c r="Z41" s="16">
        <v>83.333333333333329</v>
      </c>
      <c r="AA41" s="16">
        <v>83.333333333333329</v>
      </c>
      <c r="AB41" s="16">
        <v>83.333333333333329</v>
      </c>
      <c r="AC41" s="16">
        <v>83.333333333333329</v>
      </c>
      <c r="AD41" s="16">
        <v>83.333333333333329</v>
      </c>
      <c r="AE41" s="19">
        <v>1000</v>
      </c>
      <c r="AG41" s="16"/>
      <c r="AH41" s="16"/>
      <c r="AI41" s="16"/>
      <c r="AJ41" s="16"/>
      <c r="AK41" s="16"/>
      <c r="AL41" s="16"/>
      <c r="AM41" s="16"/>
      <c r="AN41" s="16"/>
      <c r="AO41" s="16"/>
      <c r="AP41" s="16"/>
      <c r="AQ41" s="16"/>
      <c r="AR41" s="16"/>
      <c r="AS41" s="19"/>
      <c r="AU41" s="16"/>
      <c r="AV41" s="16"/>
      <c r="AW41" s="16"/>
      <c r="AX41" s="16"/>
      <c r="AY41" s="16"/>
      <c r="AZ41" s="16"/>
      <c r="BA41" s="16"/>
      <c r="BB41" s="16"/>
      <c r="BC41" s="16"/>
      <c r="BD41" s="16"/>
      <c r="BE41" s="16"/>
      <c r="BF41" s="16"/>
      <c r="BG41" s="19"/>
      <c r="BI41" s="16"/>
      <c r="BJ41" s="16"/>
      <c r="BK41" s="16"/>
      <c r="BL41" s="16"/>
      <c r="BM41" s="16"/>
      <c r="BN41" s="16"/>
      <c r="BO41" s="16"/>
      <c r="BP41" s="16"/>
      <c r="BQ41" s="16"/>
      <c r="BR41" s="16"/>
      <c r="BS41" s="16"/>
      <c r="BT41" s="16"/>
      <c r="BU41" s="19"/>
      <c r="BW41" s="16"/>
      <c r="BX41" s="16"/>
      <c r="BY41" s="16"/>
      <c r="BZ41" s="16"/>
      <c r="CA41" s="16"/>
      <c r="CB41" s="16"/>
      <c r="CC41" s="16"/>
      <c r="CD41" s="16"/>
      <c r="CE41" s="16"/>
      <c r="CF41" s="16"/>
      <c r="CG41" s="16"/>
      <c r="CH41" s="16"/>
      <c r="CI41" s="19"/>
      <c r="CK41" s="16"/>
      <c r="CL41" s="16"/>
      <c r="CM41" s="16"/>
      <c r="CN41" s="16"/>
      <c r="CO41" s="16"/>
      <c r="CP41" s="16"/>
      <c r="CQ41" s="16"/>
      <c r="CR41" s="16"/>
      <c r="CS41" s="16"/>
      <c r="CT41" s="16"/>
      <c r="CU41" s="16"/>
      <c r="CV41" s="16"/>
      <c r="CW41" s="19"/>
      <c r="CY41" s="16"/>
      <c r="CZ41" s="16"/>
      <c r="DA41" s="16"/>
      <c r="DB41" s="16"/>
      <c r="DC41" s="16"/>
      <c r="DD41" s="16"/>
      <c r="DE41" s="16"/>
      <c r="DF41" s="16"/>
      <c r="DG41" s="16"/>
      <c r="DH41" s="16"/>
      <c r="DI41" s="16"/>
      <c r="DJ41" s="16"/>
      <c r="DK41" s="19"/>
      <c r="DM41" s="16"/>
      <c r="DN41" s="16"/>
      <c r="DO41" s="16"/>
      <c r="DP41" s="16"/>
      <c r="DQ41" s="16"/>
      <c r="DR41" s="16"/>
      <c r="DS41" s="16"/>
      <c r="DT41" s="16"/>
      <c r="DU41" s="16"/>
      <c r="DV41" s="16"/>
      <c r="DW41" s="16"/>
      <c r="DX41" s="16"/>
      <c r="DY41" s="19"/>
      <c r="EA41" s="16"/>
      <c r="EB41" s="16"/>
      <c r="EC41" s="16"/>
      <c r="ED41" s="16"/>
      <c r="EE41" s="16"/>
      <c r="EF41" s="16"/>
      <c r="EG41" s="16"/>
      <c r="EH41" s="16"/>
      <c r="EI41" s="16"/>
      <c r="EJ41" s="16"/>
      <c r="EK41" s="16"/>
      <c r="EL41" s="16"/>
      <c r="EM41" s="19"/>
      <c r="EO41" s="16"/>
      <c r="EP41" s="16"/>
      <c r="EQ41" s="16"/>
      <c r="ER41" s="16"/>
      <c r="ES41" s="16"/>
      <c r="ET41" s="16"/>
      <c r="EU41" s="16"/>
      <c r="EV41" s="16"/>
      <c r="EW41" s="16"/>
      <c r="EX41" s="16"/>
      <c r="EY41" s="16"/>
      <c r="EZ41" s="16"/>
      <c r="FA41" s="19"/>
      <c r="FC41" s="16"/>
      <c r="FD41" s="16"/>
      <c r="FE41" s="16"/>
      <c r="FF41" s="16"/>
      <c r="FG41" s="16"/>
      <c r="FH41" s="16"/>
      <c r="FI41" s="16"/>
      <c r="FJ41" s="16"/>
      <c r="FK41" s="16"/>
      <c r="FL41" s="16"/>
      <c r="FM41" s="16"/>
      <c r="FN41" s="16"/>
      <c r="FO41" s="19"/>
      <c r="FQ41" s="16"/>
      <c r="FR41" s="16"/>
      <c r="FS41" s="16"/>
      <c r="FT41" s="16"/>
      <c r="FU41" s="16"/>
      <c r="FV41" s="16"/>
      <c r="FW41" s="16"/>
      <c r="FX41" s="16"/>
      <c r="FY41" s="16"/>
      <c r="FZ41" s="16"/>
      <c r="GA41" s="16"/>
      <c r="GB41" s="16"/>
      <c r="GC41" s="19"/>
      <c r="GE41" s="16"/>
      <c r="GF41" s="16"/>
      <c r="GG41" s="16"/>
      <c r="GH41" s="16"/>
      <c r="GI41" s="16"/>
      <c r="GJ41" s="16"/>
      <c r="GK41" s="16"/>
      <c r="GL41" s="16"/>
      <c r="GM41" s="16"/>
      <c r="GN41" s="16"/>
      <c r="GO41" s="16"/>
      <c r="GP41" s="16"/>
      <c r="GQ41" s="19"/>
      <c r="GS41" s="16"/>
      <c r="GT41" s="16"/>
      <c r="GU41" s="16"/>
      <c r="GV41" s="16"/>
      <c r="GW41" s="16"/>
      <c r="GX41" s="16"/>
      <c r="GY41" s="16"/>
      <c r="GZ41" s="16"/>
      <c r="HA41" s="16"/>
      <c r="HB41" s="16"/>
      <c r="HC41" s="16"/>
      <c r="HD41" s="16"/>
      <c r="HE41" s="19"/>
      <c r="HG41" s="16"/>
      <c r="HH41" s="16"/>
      <c r="HI41" s="16"/>
      <c r="HJ41" s="16"/>
      <c r="HK41" s="16"/>
      <c r="HL41" s="16"/>
      <c r="HM41" s="16"/>
      <c r="HN41" s="16"/>
      <c r="HO41" s="16"/>
      <c r="HP41" s="16"/>
      <c r="HQ41" s="16"/>
      <c r="HR41" s="16"/>
      <c r="HS41" s="19"/>
      <c r="HU41" s="16"/>
      <c r="HV41" s="16"/>
      <c r="HW41" s="16"/>
      <c r="HX41" s="16"/>
      <c r="HY41" s="16"/>
      <c r="HZ41" s="16"/>
      <c r="IA41" s="16"/>
      <c r="IB41" s="16"/>
      <c r="IC41" s="16"/>
      <c r="ID41" s="16"/>
      <c r="IE41" s="16"/>
      <c r="IF41" s="16"/>
      <c r="IG41" s="19"/>
    </row>
    <row r="42" spans="3:241" x14ac:dyDescent="0.2">
      <c r="C42" s="20" t="s">
        <v>165</v>
      </c>
      <c r="E42" s="16"/>
      <c r="F42" s="16"/>
      <c r="G42" s="16"/>
      <c r="H42" s="16"/>
      <c r="I42" s="16"/>
      <c r="J42" s="16"/>
      <c r="K42" s="16"/>
      <c r="L42" s="16" cm="1">
        <f t="array" ref="L42">SUMPRODUCT((Previsions[Type]="Expenses")*(Previsions[Cat]=Expenses[[#This Row],[Expenses]])*(Previsions[Final Budget])*1)</f>
        <v>100</v>
      </c>
      <c r="M42" s="16" cm="1">
        <f t="array" ref="M42">SUMPRODUCT((Previsions[Type]="Expenses")*(Previsions[Cat]=Expenses[[#This Row],[Expenses]])*(Previsions[Final Budget])*1)</f>
        <v>100</v>
      </c>
      <c r="N42" s="16" cm="1">
        <f t="array" ref="N42">SUMPRODUCT((Previsions[Type]="Expenses")*(Previsions[Cat]=Expenses[[#This Row],[Expenses]])*(Previsions[Final Budget])*1)</f>
        <v>100</v>
      </c>
      <c r="O42" s="16" cm="1">
        <f t="array" ref="O42">SUMPRODUCT((Previsions[Type]="Expenses")*(Previsions[Cat]=Expenses[[#This Row],[Expenses]])*(Previsions[Final Budget])*1)</f>
        <v>100</v>
      </c>
      <c r="P42" s="16" cm="1">
        <f t="array" ref="P42">SUMPRODUCT((Previsions[Type]="Expenses")*(Previsions[Cat]=Expenses[[#This Row],[Expenses]])*(Previsions[Final Budget])*1)</f>
        <v>100</v>
      </c>
      <c r="Q42" s="19">
        <f t="shared" si="1"/>
        <v>500</v>
      </c>
      <c r="S42" s="16">
        <f>AE42/12</f>
        <v>83.333333333333329</v>
      </c>
      <c r="T42" s="16">
        <v>83.333333333333329</v>
      </c>
      <c r="U42" s="16">
        <v>83.333333333333329</v>
      </c>
      <c r="V42" s="16">
        <v>83.333333333333329</v>
      </c>
      <c r="W42" s="16">
        <v>83.333333333333329</v>
      </c>
      <c r="X42" s="16">
        <v>83.333333333333329</v>
      </c>
      <c r="Y42" s="16">
        <v>83.333333333333329</v>
      </c>
      <c r="Z42" s="16">
        <v>83.333333333333329</v>
      </c>
      <c r="AA42" s="16">
        <v>83.333333333333329</v>
      </c>
      <c r="AB42" s="16">
        <v>83.333333333333329</v>
      </c>
      <c r="AC42" s="16">
        <v>83.333333333333329</v>
      </c>
      <c r="AD42" s="16">
        <v>83.333333333333329</v>
      </c>
      <c r="AE42" s="19">
        <v>1000</v>
      </c>
      <c r="AG42" s="16"/>
      <c r="AH42" s="16"/>
      <c r="AI42" s="16"/>
      <c r="AJ42" s="16"/>
      <c r="AK42" s="16"/>
      <c r="AL42" s="16"/>
      <c r="AM42" s="16"/>
      <c r="AN42" s="16"/>
      <c r="AO42" s="16"/>
      <c r="AP42" s="16"/>
      <c r="AQ42" s="16"/>
      <c r="AR42" s="16"/>
      <c r="AS42" s="19"/>
      <c r="AU42" s="16"/>
      <c r="AV42" s="16"/>
      <c r="AW42" s="16"/>
      <c r="AX42" s="16"/>
      <c r="AY42" s="16"/>
      <c r="AZ42" s="16"/>
      <c r="BA42" s="16"/>
      <c r="BB42" s="16"/>
      <c r="BC42" s="16"/>
      <c r="BD42" s="16"/>
      <c r="BE42" s="16"/>
      <c r="BF42" s="16"/>
      <c r="BG42" s="19"/>
      <c r="BI42" s="16"/>
      <c r="BJ42" s="16"/>
      <c r="BK42" s="16"/>
      <c r="BL42" s="16"/>
      <c r="BM42" s="16"/>
      <c r="BN42" s="16"/>
      <c r="BO42" s="16"/>
      <c r="BP42" s="16"/>
      <c r="BQ42" s="16"/>
      <c r="BR42" s="16"/>
      <c r="BS42" s="16"/>
      <c r="BT42" s="16"/>
      <c r="BU42" s="19"/>
      <c r="BW42" s="16"/>
      <c r="BX42" s="16"/>
      <c r="BY42" s="16"/>
      <c r="BZ42" s="16"/>
      <c r="CA42" s="16"/>
      <c r="CB42" s="16"/>
      <c r="CC42" s="16"/>
      <c r="CD42" s="16"/>
      <c r="CE42" s="16"/>
      <c r="CF42" s="16"/>
      <c r="CG42" s="16"/>
      <c r="CH42" s="16"/>
      <c r="CI42" s="19"/>
      <c r="CK42" s="16"/>
      <c r="CL42" s="16"/>
      <c r="CM42" s="16"/>
      <c r="CN42" s="16"/>
      <c r="CO42" s="16"/>
      <c r="CP42" s="16"/>
      <c r="CQ42" s="16"/>
      <c r="CR42" s="16"/>
      <c r="CS42" s="16"/>
      <c r="CT42" s="16"/>
      <c r="CU42" s="16"/>
      <c r="CV42" s="16"/>
      <c r="CW42" s="19"/>
      <c r="CY42" s="16"/>
      <c r="CZ42" s="16"/>
      <c r="DA42" s="16"/>
      <c r="DB42" s="16"/>
      <c r="DC42" s="16"/>
      <c r="DD42" s="16"/>
      <c r="DE42" s="16"/>
      <c r="DF42" s="16"/>
      <c r="DG42" s="16"/>
      <c r="DH42" s="16"/>
      <c r="DI42" s="16"/>
      <c r="DJ42" s="16"/>
      <c r="DK42" s="19"/>
      <c r="DM42" s="16"/>
      <c r="DN42" s="16"/>
      <c r="DO42" s="16"/>
      <c r="DP42" s="16"/>
      <c r="DQ42" s="16"/>
      <c r="DR42" s="16"/>
      <c r="DS42" s="16"/>
      <c r="DT42" s="16"/>
      <c r="DU42" s="16"/>
      <c r="DV42" s="16"/>
      <c r="DW42" s="16"/>
      <c r="DX42" s="16"/>
      <c r="DY42" s="19"/>
      <c r="EA42" s="16"/>
      <c r="EB42" s="16"/>
      <c r="EC42" s="16"/>
      <c r="ED42" s="16"/>
      <c r="EE42" s="16"/>
      <c r="EF42" s="16"/>
      <c r="EG42" s="16"/>
      <c r="EH42" s="16"/>
      <c r="EI42" s="16"/>
      <c r="EJ42" s="16"/>
      <c r="EK42" s="16"/>
      <c r="EL42" s="16"/>
      <c r="EM42" s="19"/>
      <c r="EO42" s="16"/>
      <c r="EP42" s="16"/>
      <c r="EQ42" s="16"/>
      <c r="ER42" s="16"/>
      <c r="ES42" s="16"/>
      <c r="ET42" s="16"/>
      <c r="EU42" s="16"/>
      <c r="EV42" s="16"/>
      <c r="EW42" s="16"/>
      <c r="EX42" s="16"/>
      <c r="EY42" s="16"/>
      <c r="EZ42" s="16"/>
      <c r="FA42" s="19"/>
      <c r="FC42" s="16"/>
      <c r="FD42" s="16"/>
      <c r="FE42" s="16"/>
      <c r="FF42" s="16"/>
      <c r="FG42" s="16"/>
      <c r="FH42" s="16"/>
      <c r="FI42" s="16"/>
      <c r="FJ42" s="16"/>
      <c r="FK42" s="16"/>
      <c r="FL42" s="16"/>
      <c r="FM42" s="16"/>
      <c r="FN42" s="16"/>
      <c r="FO42" s="19"/>
      <c r="FQ42" s="16"/>
      <c r="FR42" s="16"/>
      <c r="FS42" s="16"/>
      <c r="FT42" s="16"/>
      <c r="FU42" s="16"/>
      <c r="FV42" s="16"/>
      <c r="FW42" s="16"/>
      <c r="FX42" s="16"/>
      <c r="FY42" s="16"/>
      <c r="FZ42" s="16"/>
      <c r="GA42" s="16"/>
      <c r="GB42" s="16"/>
      <c r="GC42" s="19"/>
      <c r="GE42" s="16"/>
      <c r="GF42" s="16"/>
      <c r="GG42" s="16"/>
      <c r="GH42" s="16"/>
      <c r="GI42" s="16"/>
      <c r="GJ42" s="16"/>
      <c r="GK42" s="16"/>
      <c r="GL42" s="16"/>
      <c r="GM42" s="16"/>
      <c r="GN42" s="16"/>
      <c r="GO42" s="16"/>
      <c r="GP42" s="16"/>
      <c r="GQ42" s="19"/>
      <c r="GS42" s="16"/>
      <c r="GT42" s="16"/>
      <c r="GU42" s="16"/>
      <c r="GV42" s="16"/>
      <c r="GW42" s="16"/>
      <c r="GX42" s="16"/>
      <c r="GY42" s="16"/>
      <c r="GZ42" s="16"/>
      <c r="HA42" s="16"/>
      <c r="HB42" s="16"/>
      <c r="HC42" s="16"/>
      <c r="HD42" s="16"/>
      <c r="HE42" s="19"/>
      <c r="HG42" s="16"/>
      <c r="HH42" s="16"/>
      <c r="HI42" s="16"/>
      <c r="HJ42" s="16"/>
      <c r="HK42" s="16"/>
      <c r="HL42" s="16"/>
      <c r="HM42" s="16"/>
      <c r="HN42" s="16"/>
      <c r="HO42" s="16"/>
      <c r="HP42" s="16"/>
      <c r="HQ42" s="16"/>
      <c r="HR42" s="16"/>
      <c r="HS42" s="19"/>
      <c r="HU42" s="16"/>
      <c r="HV42" s="16"/>
      <c r="HW42" s="16"/>
      <c r="HX42" s="16"/>
      <c r="HY42" s="16"/>
      <c r="HZ42" s="16"/>
      <c r="IA42" s="16"/>
      <c r="IB42" s="16"/>
      <c r="IC42" s="16"/>
      <c r="ID42" s="16"/>
      <c r="IE42" s="16"/>
      <c r="IF42" s="16"/>
      <c r="IG42" s="19"/>
    </row>
    <row r="43" spans="3:241" x14ac:dyDescent="0.2">
      <c r="C43" s="20" t="s">
        <v>160</v>
      </c>
      <c r="E43" s="16"/>
      <c r="F43" s="16"/>
      <c r="G43" s="16"/>
      <c r="H43" s="16"/>
      <c r="I43" s="16"/>
      <c r="J43" s="16"/>
      <c r="K43" s="16"/>
      <c r="L43" s="16" cm="1">
        <f t="array" ref="L43">SUMPRODUCT((Previsions[Type]="Expenses")*(Previsions[Cat]=Expenses[[#This Row],[Expenses]])*(Previsions[Final Budget])*1)</f>
        <v>400</v>
      </c>
      <c r="M43" s="16" cm="1">
        <f t="array" ref="M43">SUMPRODUCT((Previsions[Type]="Expenses")*(Previsions[Cat]=Expenses[[#This Row],[Expenses]])*(Previsions[Final Budget])*1)</f>
        <v>400</v>
      </c>
      <c r="N43" s="16" cm="1">
        <f t="array" ref="N43">SUMPRODUCT((Previsions[Type]="Expenses")*(Previsions[Cat]=Expenses[[#This Row],[Expenses]])*(Previsions[Final Budget])*1)</f>
        <v>400</v>
      </c>
      <c r="O43" s="16" cm="1">
        <f t="array" ref="O43">SUMPRODUCT((Previsions[Type]="Expenses")*(Previsions[Cat]=Expenses[[#This Row],[Expenses]])*(Previsions[Final Budget])*1)</f>
        <v>400</v>
      </c>
      <c r="P43" s="16" cm="1">
        <f t="array" ref="P43">SUMPRODUCT((Previsions[Type]="Expenses")*(Previsions[Cat]=Expenses[[#This Row],[Expenses]])*(Previsions[Final Budget])*1)</f>
        <v>400</v>
      </c>
      <c r="Q43" s="19">
        <v>2000</v>
      </c>
      <c r="S43" s="16">
        <v>420</v>
      </c>
      <c r="T43" s="16">
        <v>420</v>
      </c>
      <c r="U43" s="16">
        <v>420</v>
      </c>
      <c r="V43" s="16">
        <v>420</v>
      </c>
      <c r="W43" s="16">
        <v>420</v>
      </c>
      <c r="X43" s="16">
        <v>420</v>
      </c>
      <c r="Y43" s="16">
        <v>420</v>
      </c>
      <c r="Z43" s="16">
        <v>420</v>
      </c>
      <c r="AA43" s="16">
        <v>420</v>
      </c>
      <c r="AB43" s="16">
        <v>420</v>
      </c>
      <c r="AC43" s="16">
        <v>420</v>
      </c>
      <c r="AD43" s="16">
        <v>420</v>
      </c>
      <c r="AE43" s="19">
        <f t="shared" si="2"/>
        <v>5040</v>
      </c>
      <c r="AG43" s="16"/>
      <c r="AH43" s="16"/>
      <c r="AI43" s="16"/>
      <c r="AJ43" s="16"/>
      <c r="AK43" s="16"/>
      <c r="AL43" s="16"/>
      <c r="AM43" s="16"/>
      <c r="AN43" s="16"/>
      <c r="AO43" s="16"/>
      <c r="AP43" s="16"/>
      <c r="AQ43" s="16"/>
      <c r="AR43" s="16"/>
      <c r="AS43" s="19"/>
      <c r="AU43" s="16"/>
      <c r="AV43" s="16"/>
      <c r="AW43" s="16"/>
      <c r="AX43" s="16"/>
      <c r="AY43" s="16"/>
      <c r="AZ43" s="16"/>
      <c r="BA43" s="16"/>
      <c r="BB43" s="16"/>
      <c r="BC43" s="16"/>
      <c r="BD43" s="16"/>
      <c r="BE43" s="16"/>
      <c r="BF43" s="16"/>
      <c r="BG43" s="19"/>
      <c r="BI43" s="16"/>
      <c r="BJ43" s="16"/>
      <c r="BK43" s="16"/>
      <c r="BL43" s="16"/>
      <c r="BM43" s="16"/>
      <c r="BN43" s="16"/>
      <c r="BO43" s="16"/>
      <c r="BP43" s="16"/>
      <c r="BQ43" s="16"/>
      <c r="BR43" s="16"/>
      <c r="BS43" s="16"/>
      <c r="BT43" s="16"/>
      <c r="BU43" s="19"/>
      <c r="BW43" s="16"/>
      <c r="BX43" s="16"/>
      <c r="BY43" s="16"/>
      <c r="BZ43" s="16"/>
      <c r="CA43" s="16"/>
      <c r="CB43" s="16"/>
      <c r="CC43" s="16"/>
      <c r="CD43" s="16"/>
      <c r="CE43" s="16"/>
      <c r="CF43" s="16"/>
      <c r="CG43" s="16"/>
      <c r="CH43" s="16"/>
      <c r="CI43" s="19"/>
      <c r="CK43" s="16"/>
      <c r="CL43" s="16"/>
      <c r="CM43" s="16"/>
      <c r="CN43" s="16"/>
      <c r="CO43" s="16"/>
      <c r="CP43" s="16"/>
      <c r="CQ43" s="16"/>
      <c r="CR43" s="16"/>
      <c r="CS43" s="16"/>
      <c r="CT43" s="16"/>
      <c r="CU43" s="16"/>
      <c r="CV43" s="16"/>
      <c r="CW43" s="19"/>
      <c r="CY43" s="16"/>
      <c r="CZ43" s="16"/>
      <c r="DA43" s="16"/>
      <c r="DB43" s="16"/>
      <c r="DC43" s="16"/>
      <c r="DD43" s="16"/>
      <c r="DE43" s="16"/>
      <c r="DF43" s="16"/>
      <c r="DG43" s="16"/>
      <c r="DH43" s="16"/>
      <c r="DI43" s="16"/>
      <c r="DJ43" s="16"/>
      <c r="DK43" s="19"/>
      <c r="DM43" s="16"/>
      <c r="DN43" s="16"/>
      <c r="DO43" s="16"/>
      <c r="DP43" s="16"/>
      <c r="DQ43" s="16"/>
      <c r="DR43" s="16"/>
      <c r="DS43" s="16"/>
      <c r="DT43" s="16"/>
      <c r="DU43" s="16"/>
      <c r="DV43" s="16"/>
      <c r="DW43" s="16"/>
      <c r="DX43" s="16"/>
      <c r="DY43" s="19"/>
      <c r="EA43" s="16"/>
      <c r="EB43" s="16"/>
      <c r="EC43" s="16"/>
      <c r="ED43" s="16"/>
      <c r="EE43" s="16"/>
      <c r="EF43" s="16"/>
      <c r="EG43" s="16"/>
      <c r="EH43" s="16"/>
      <c r="EI43" s="16"/>
      <c r="EJ43" s="16"/>
      <c r="EK43" s="16"/>
      <c r="EL43" s="16"/>
      <c r="EM43" s="19"/>
      <c r="EO43" s="16"/>
      <c r="EP43" s="16"/>
      <c r="EQ43" s="16"/>
      <c r="ER43" s="16"/>
      <c r="ES43" s="16"/>
      <c r="ET43" s="16"/>
      <c r="EU43" s="16"/>
      <c r="EV43" s="16"/>
      <c r="EW43" s="16"/>
      <c r="EX43" s="16"/>
      <c r="EY43" s="16"/>
      <c r="EZ43" s="16"/>
      <c r="FA43" s="19"/>
      <c r="FC43" s="16"/>
      <c r="FD43" s="16"/>
      <c r="FE43" s="16"/>
      <c r="FF43" s="16"/>
      <c r="FG43" s="16"/>
      <c r="FH43" s="16"/>
      <c r="FI43" s="16"/>
      <c r="FJ43" s="16"/>
      <c r="FK43" s="16"/>
      <c r="FL43" s="16"/>
      <c r="FM43" s="16"/>
      <c r="FN43" s="16"/>
      <c r="FO43" s="19"/>
      <c r="FQ43" s="16"/>
      <c r="FR43" s="16"/>
      <c r="FS43" s="16"/>
      <c r="FT43" s="16"/>
      <c r="FU43" s="16"/>
      <c r="FV43" s="16"/>
      <c r="FW43" s="16"/>
      <c r="FX43" s="16"/>
      <c r="FY43" s="16"/>
      <c r="FZ43" s="16"/>
      <c r="GA43" s="16"/>
      <c r="GB43" s="16"/>
      <c r="GC43" s="19"/>
      <c r="GE43" s="16"/>
      <c r="GF43" s="16"/>
      <c r="GG43" s="16"/>
      <c r="GH43" s="16"/>
      <c r="GI43" s="16"/>
      <c r="GJ43" s="16"/>
      <c r="GK43" s="16"/>
      <c r="GL43" s="16"/>
      <c r="GM43" s="16"/>
      <c r="GN43" s="16"/>
      <c r="GO43" s="16"/>
      <c r="GP43" s="16"/>
      <c r="GQ43" s="19"/>
      <c r="GS43" s="16"/>
      <c r="GT43" s="16"/>
      <c r="GU43" s="16"/>
      <c r="GV43" s="16"/>
      <c r="GW43" s="16"/>
      <c r="GX43" s="16"/>
      <c r="GY43" s="16"/>
      <c r="GZ43" s="16"/>
      <c r="HA43" s="16"/>
      <c r="HB43" s="16"/>
      <c r="HC43" s="16"/>
      <c r="HD43" s="16"/>
      <c r="HE43" s="19"/>
      <c r="HG43" s="16"/>
      <c r="HH43" s="16"/>
      <c r="HI43" s="16"/>
      <c r="HJ43" s="16"/>
      <c r="HK43" s="16"/>
      <c r="HL43" s="16"/>
      <c r="HM43" s="16"/>
      <c r="HN43" s="16"/>
      <c r="HO43" s="16"/>
      <c r="HP43" s="16"/>
      <c r="HQ43" s="16"/>
      <c r="HR43" s="16"/>
      <c r="HS43" s="19"/>
      <c r="HU43" s="16"/>
      <c r="HV43" s="16"/>
      <c r="HW43" s="16"/>
      <c r="HX43" s="16"/>
      <c r="HY43" s="16"/>
      <c r="HZ43" s="16"/>
      <c r="IA43" s="16"/>
      <c r="IB43" s="16"/>
      <c r="IC43" s="16"/>
      <c r="ID43" s="16"/>
      <c r="IE43" s="16"/>
      <c r="IF43" s="16"/>
      <c r="IG43" s="19"/>
    </row>
    <row r="44" spans="3:241" x14ac:dyDescent="0.2">
      <c r="C44" s="20" t="s">
        <v>164</v>
      </c>
      <c r="E44" s="16"/>
      <c r="F44" s="16"/>
      <c r="G44" s="16"/>
      <c r="H44" s="16"/>
      <c r="I44" s="16"/>
      <c r="J44" s="16"/>
      <c r="K44" s="16"/>
      <c r="L44" s="16" cm="1">
        <f t="array" ref="L44">SUMPRODUCT((Previsions[Type]="Expenses")*(Previsions[Cat]=Expenses[[#This Row],[Expenses]])*(Previsions[Final Budget])*1)</f>
        <v>20</v>
      </c>
      <c r="M44" s="16" cm="1">
        <f t="array" ref="M44">SUMPRODUCT((Previsions[Type]="Expenses")*(Previsions[Cat]=Expenses[[#This Row],[Expenses]])*(Previsions[Final Budget])*1)</f>
        <v>20</v>
      </c>
      <c r="N44" s="16" cm="1">
        <f t="array" ref="N44">SUMPRODUCT((Previsions[Type]="Expenses")*(Previsions[Cat]=Expenses[[#This Row],[Expenses]])*(Previsions[Final Budget])*1)</f>
        <v>20</v>
      </c>
      <c r="O44" s="16" cm="1">
        <f t="array" ref="O44">SUMPRODUCT((Previsions[Type]="Expenses")*(Previsions[Cat]=Expenses[[#This Row],[Expenses]])*(Previsions[Final Budget])*1)</f>
        <v>20</v>
      </c>
      <c r="P44" s="16" cm="1">
        <f t="array" ref="P44">SUMPRODUCT((Previsions[Type]="Expenses")*(Previsions[Cat]=Expenses[[#This Row],[Expenses]])*(Previsions[Final Budget])*1)</f>
        <v>20</v>
      </c>
      <c r="Q44" s="19">
        <f t="shared" si="1"/>
        <v>100</v>
      </c>
      <c r="S44" s="16">
        <f>100/12</f>
        <v>8.3333333333333339</v>
      </c>
      <c r="T44" s="16">
        <f t="shared" ref="T44:AD44" si="18">100/12</f>
        <v>8.3333333333333339</v>
      </c>
      <c r="U44" s="16">
        <f t="shared" si="18"/>
        <v>8.3333333333333339</v>
      </c>
      <c r="V44" s="16">
        <f t="shared" si="18"/>
        <v>8.3333333333333339</v>
      </c>
      <c r="W44" s="16">
        <f t="shared" si="18"/>
        <v>8.3333333333333339</v>
      </c>
      <c r="X44" s="16">
        <f t="shared" si="18"/>
        <v>8.3333333333333339</v>
      </c>
      <c r="Y44" s="16">
        <f t="shared" si="18"/>
        <v>8.3333333333333339</v>
      </c>
      <c r="Z44" s="16">
        <f t="shared" si="18"/>
        <v>8.3333333333333339</v>
      </c>
      <c r="AA44" s="16">
        <f t="shared" si="18"/>
        <v>8.3333333333333339</v>
      </c>
      <c r="AB44" s="16">
        <f t="shared" si="18"/>
        <v>8.3333333333333339</v>
      </c>
      <c r="AC44" s="16">
        <f t="shared" si="18"/>
        <v>8.3333333333333339</v>
      </c>
      <c r="AD44" s="16">
        <f t="shared" si="18"/>
        <v>8.3333333333333339</v>
      </c>
      <c r="AE44" s="19">
        <v>100</v>
      </c>
      <c r="AG44" s="16"/>
      <c r="AH44" s="16"/>
      <c r="AI44" s="16"/>
      <c r="AJ44" s="16"/>
      <c r="AK44" s="16"/>
      <c r="AL44" s="16"/>
      <c r="AM44" s="16"/>
      <c r="AN44" s="16"/>
      <c r="AO44" s="16"/>
      <c r="AP44" s="16"/>
      <c r="AQ44" s="16"/>
      <c r="AR44" s="16"/>
      <c r="AS44" s="19"/>
      <c r="AU44" s="16"/>
      <c r="AV44" s="16"/>
      <c r="AW44" s="16"/>
      <c r="AX44" s="16"/>
      <c r="AY44" s="16"/>
      <c r="AZ44" s="16"/>
      <c r="BA44" s="16"/>
      <c r="BB44" s="16"/>
      <c r="BC44" s="16"/>
      <c r="BD44" s="16"/>
      <c r="BE44" s="16"/>
      <c r="BF44" s="16"/>
      <c r="BG44" s="19"/>
      <c r="BI44" s="16"/>
      <c r="BJ44" s="16"/>
      <c r="BK44" s="16"/>
      <c r="BL44" s="16"/>
      <c r="BM44" s="16"/>
      <c r="BN44" s="16"/>
      <c r="BO44" s="16"/>
      <c r="BP44" s="16"/>
      <c r="BQ44" s="16"/>
      <c r="BR44" s="16"/>
      <c r="BS44" s="16"/>
      <c r="BT44" s="16"/>
      <c r="BU44" s="19"/>
      <c r="BW44" s="16"/>
      <c r="BX44" s="16"/>
      <c r="BY44" s="16"/>
      <c r="BZ44" s="16"/>
      <c r="CA44" s="16"/>
      <c r="CB44" s="16"/>
      <c r="CC44" s="16"/>
      <c r="CD44" s="16"/>
      <c r="CE44" s="16"/>
      <c r="CF44" s="16"/>
      <c r="CG44" s="16"/>
      <c r="CH44" s="16"/>
      <c r="CI44" s="19"/>
      <c r="CK44" s="16"/>
      <c r="CL44" s="16"/>
      <c r="CM44" s="16"/>
      <c r="CN44" s="16"/>
      <c r="CO44" s="16"/>
      <c r="CP44" s="16"/>
      <c r="CQ44" s="16"/>
      <c r="CR44" s="16"/>
      <c r="CS44" s="16"/>
      <c r="CT44" s="16"/>
      <c r="CU44" s="16"/>
      <c r="CV44" s="16"/>
      <c r="CW44" s="19"/>
      <c r="CY44" s="16"/>
      <c r="CZ44" s="16"/>
      <c r="DA44" s="16"/>
      <c r="DB44" s="16"/>
      <c r="DC44" s="16"/>
      <c r="DD44" s="16"/>
      <c r="DE44" s="16"/>
      <c r="DF44" s="16"/>
      <c r="DG44" s="16"/>
      <c r="DH44" s="16"/>
      <c r="DI44" s="16"/>
      <c r="DJ44" s="16"/>
      <c r="DK44" s="19"/>
      <c r="DM44" s="16"/>
      <c r="DN44" s="16"/>
      <c r="DO44" s="16"/>
      <c r="DP44" s="16"/>
      <c r="DQ44" s="16"/>
      <c r="DR44" s="16"/>
      <c r="DS44" s="16"/>
      <c r="DT44" s="16"/>
      <c r="DU44" s="16"/>
      <c r="DV44" s="16"/>
      <c r="DW44" s="16"/>
      <c r="DX44" s="16"/>
      <c r="DY44" s="19"/>
      <c r="EA44" s="16"/>
      <c r="EB44" s="16"/>
      <c r="EC44" s="16"/>
      <c r="ED44" s="16"/>
      <c r="EE44" s="16"/>
      <c r="EF44" s="16"/>
      <c r="EG44" s="16"/>
      <c r="EH44" s="16"/>
      <c r="EI44" s="16"/>
      <c r="EJ44" s="16"/>
      <c r="EK44" s="16"/>
      <c r="EL44" s="16"/>
      <c r="EM44" s="19"/>
      <c r="EO44" s="16"/>
      <c r="EP44" s="16"/>
      <c r="EQ44" s="16"/>
      <c r="ER44" s="16"/>
      <c r="ES44" s="16"/>
      <c r="ET44" s="16"/>
      <c r="EU44" s="16"/>
      <c r="EV44" s="16"/>
      <c r="EW44" s="16"/>
      <c r="EX44" s="16"/>
      <c r="EY44" s="16"/>
      <c r="EZ44" s="16"/>
      <c r="FA44" s="19"/>
      <c r="FC44" s="16"/>
      <c r="FD44" s="16"/>
      <c r="FE44" s="16"/>
      <c r="FF44" s="16"/>
      <c r="FG44" s="16"/>
      <c r="FH44" s="16"/>
      <c r="FI44" s="16"/>
      <c r="FJ44" s="16"/>
      <c r="FK44" s="16"/>
      <c r="FL44" s="16"/>
      <c r="FM44" s="16"/>
      <c r="FN44" s="16"/>
      <c r="FO44" s="19"/>
      <c r="FQ44" s="16"/>
      <c r="FR44" s="16"/>
      <c r="FS44" s="16"/>
      <c r="FT44" s="16"/>
      <c r="FU44" s="16"/>
      <c r="FV44" s="16"/>
      <c r="FW44" s="16"/>
      <c r="FX44" s="16"/>
      <c r="FY44" s="16"/>
      <c r="FZ44" s="16"/>
      <c r="GA44" s="16"/>
      <c r="GB44" s="16"/>
      <c r="GC44" s="19"/>
      <c r="GE44" s="16"/>
      <c r="GF44" s="16"/>
      <c r="GG44" s="16"/>
      <c r="GH44" s="16"/>
      <c r="GI44" s="16"/>
      <c r="GJ44" s="16"/>
      <c r="GK44" s="16"/>
      <c r="GL44" s="16"/>
      <c r="GM44" s="16"/>
      <c r="GN44" s="16"/>
      <c r="GO44" s="16"/>
      <c r="GP44" s="16"/>
      <c r="GQ44" s="19"/>
      <c r="GS44" s="16"/>
      <c r="GT44" s="16"/>
      <c r="GU44" s="16"/>
      <c r="GV44" s="16"/>
      <c r="GW44" s="16"/>
      <c r="GX44" s="16"/>
      <c r="GY44" s="16"/>
      <c r="GZ44" s="16"/>
      <c r="HA44" s="16"/>
      <c r="HB44" s="16"/>
      <c r="HC44" s="16"/>
      <c r="HD44" s="16"/>
      <c r="HE44" s="19"/>
      <c r="HG44" s="16"/>
      <c r="HH44" s="16"/>
      <c r="HI44" s="16"/>
      <c r="HJ44" s="16"/>
      <c r="HK44" s="16"/>
      <c r="HL44" s="16"/>
      <c r="HM44" s="16"/>
      <c r="HN44" s="16"/>
      <c r="HO44" s="16"/>
      <c r="HP44" s="16"/>
      <c r="HQ44" s="16"/>
      <c r="HR44" s="16"/>
      <c r="HS44" s="19"/>
      <c r="HU44" s="16"/>
      <c r="HV44" s="16"/>
      <c r="HW44" s="16"/>
      <c r="HX44" s="16"/>
      <c r="HY44" s="16"/>
      <c r="HZ44" s="16"/>
      <c r="IA44" s="16"/>
      <c r="IB44" s="16"/>
      <c r="IC44" s="16"/>
      <c r="ID44" s="16"/>
      <c r="IE44" s="16"/>
      <c r="IF44" s="16"/>
      <c r="IG44" s="19"/>
    </row>
    <row r="45" spans="3:241" x14ac:dyDescent="0.2">
      <c r="C45" s="20" t="s">
        <v>167</v>
      </c>
      <c r="E45" s="16"/>
      <c r="F45" s="16"/>
      <c r="G45" s="16"/>
      <c r="H45" s="16"/>
      <c r="I45" s="16"/>
      <c r="J45" s="16"/>
      <c r="K45" s="16"/>
      <c r="L45" s="16" cm="1">
        <f t="array" ref="L45">SUMPRODUCT((Previsions[Type]="Expenses")*(Previsions[Cat]=Expenses[[#This Row],[Expenses]])*(Previsions[Final Budget])*1)</f>
        <v>15</v>
      </c>
      <c r="M45" s="16" cm="1">
        <f t="array" ref="M45">SUMPRODUCT((Previsions[Type]="Expenses")*(Previsions[Cat]=Expenses[[#This Row],[Expenses]])*(Previsions[Final Budget])*1)</f>
        <v>15</v>
      </c>
      <c r="N45" s="16" cm="1">
        <f t="array" ref="N45">SUMPRODUCT((Previsions[Type]="Expenses")*(Previsions[Cat]=Expenses[[#This Row],[Expenses]])*(Previsions[Final Budget])*1)</f>
        <v>15</v>
      </c>
      <c r="O45" s="16" cm="1">
        <f t="array" ref="O45">SUMPRODUCT((Previsions[Type]="Expenses")*(Previsions[Cat]=Expenses[[#This Row],[Expenses]])*(Previsions[Final Budget])*1)</f>
        <v>15</v>
      </c>
      <c r="P45" s="16" cm="1">
        <f t="array" ref="P45">SUMPRODUCT((Previsions[Type]="Expenses")*(Previsions[Cat]=Expenses[[#This Row],[Expenses]])*(Previsions[Final Budget])*1)</f>
        <v>15</v>
      </c>
      <c r="Q45" s="19">
        <f t="shared" si="1"/>
        <v>75</v>
      </c>
      <c r="S45" s="16">
        <v>10</v>
      </c>
      <c r="T45" s="16">
        <v>10</v>
      </c>
      <c r="U45" s="16">
        <v>10</v>
      </c>
      <c r="V45" s="16">
        <v>10</v>
      </c>
      <c r="W45" s="16">
        <v>10</v>
      </c>
      <c r="X45" s="16">
        <v>10</v>
      </c>
      <c r="Y45" s="16">
        <v>10</v>
      </c>
      <c r="Z45" s="16">
        <v>10</v>
      </c>
      <c r="AA45" s="16">
        <v>10</v>
      </c>
      <c r="AB45" s="16">
        <v>10</v>
      </c>
      <c r="AC45" s="16">
        <v>10</v>
      </c>
      <c r="AD45" s="16">
        <v>10</v>
      </c>
      <c r="AE45" s="19">
        <f t="shared" si="2"/>
        <v>120</v>
      </c>
      <c r="AG45" s="16"/>
      <c r="AH45" s="16"/>
      <c r="AI45" s="16"/>
      <c r="AJ45" s="16"/>
      <c r="AK45" s="16"/>
      <c r="AL45" s="16"/>
      <c r="AM45" s="16"/>
      <c r="AN45" s="16"/>
      <c r="AO45" s="16"/>
      <c r="AP45" s="16"/>
      <c r="AQ45" s="16"/>
      <c r="AR45" s="16"/>
      <c r="AS45" s="19"/>
      <c r="AU45" s="16"/>
      <c r="AV45" s="16"/>
      <c r="AW45" s="16"/>
      <c r="AX45" s="16"/>
      <c r="AY45" s="16"/>
      <c r="AZ45" s="16"/>
      <c r="BA45" s="16"/>
      <c r="BB45" s="16"/>
      <c r="BC45" s="16"/>
      <c r="BD45" s="16"/>
      <c r="BE45" s="16"/>
      <c r="BF45" s="16"/>
      <c r="BG45" s="19"/>
      <c r="BI45" s="16"/>
      <c r="BJ45" s="16"/>
      <c r="BK45" s="16"/>
      <c r="BL45" s="16"/>
      <c r="BM45" s="16"/>
      <c r="BN45" s="16"/>
      <c r="BO45" s="16"/>
      <c r="BP45" s="16"/>
      <c r="BQ45" s="16"/>
      <c r="BR45" s="16"/>
      <c r="BS45" s="16"/>
      <c r="BT45" s="16"/>
      <c r="BU45" s="19"/>
      <c r="BW45" s="16"/>
      <c r="BX45" s="16"/>
      <c r="BY45" s="16"/>
      <c r="BZ45" s="16"/>
      <c r="CA45" s="16"/>
      <c r="CB45" s="16"/>
      <c r="CC45" s="16"/>
      <c r="CD45" s="16"/>
      <c r="CE45" s="16"/>
      <c r="CF45" s="16"/>
      <c r="CG45" s="16"/>
      <c r="CH45" s="16"/>
      <c r="CI45" s="19"/>
      <c r="CK45" s="16"/>
      <c r="CL45" s="16"/>
      <c r="CM45" s="16"/>
      <c r="CN45" s="16"/>
      <c r="CO45" s="16"/>
      <c r="CP45" s="16"/>
      <c r="CQ45" s="16"/>
      <c r="CR45" s="16"/>
      <c r="CS45" s="16"/>
      <c r="CT45" s="16"/>
      <c r="CU45" s="16"/>
      <c r="CV45" s="16"/>
      <c r="CW45" s="19"/>
      <c r="CY45" s="16"/>
      <c r="CZ45" s="16"/>
      <c r="DA45" s="16"/>
      <c r="DB45" s="16"/>
      <c r="DC45" s="16"/>
      <c r="DD45" s="16"/>
      <c r="DE45" s="16"/>
      <c r="DF45" s="16"/>
      <c r="DG45" s="16"/>
      <c r="DH45" s="16"/>
      <c r="DI45" s="16"/>
      <c r="DJ45" s="16"/>
      <c r="DK45" s="19"/>
      <c r="DM45" s="16"/>
      <c r="DN45" s="16"/>
      <c r="DO45" s="16"/>
      <c r="DP45" s="16"/>
      <c r="DQ45" s="16"/>
      <c r="DR45" s="16"/>
      <c r="DS45" s="16"/>
      <c r="DT45" s="16"/>
      <c r="DU45" s="16"/>
      <c r="DV45" s="16"/>
      <c r="DW45" s="16"/>
      <c r="DX45" s="16"/>
      <c r="DY45" s="19"/>
      <c r="EA45" s="16"/>
      <c r="EB45" s="16"/>
      <c r="EC45" s="16"/>
      <c r="ED45" s="16"/>
      <c r="EE45" s="16"/>
      <c r="EF45" s="16"/>
      <c r="EG45" s="16"/>
      <c r="EH45" s="16"/>
      <c r="EI45" s="16"/>
      <c r="EJ45" s="16"/>
      <c r="EK45" s="16"/>
      <c r="EL45" s="16"/>
      <c r="EM45" s="19"/>
      <c r="EO45" s="16"/>
      <c r="EP45" s="16"/>
      <c r="EQ45" s="16"/>
      <c r="ER45" s="16"/>
      <c r="ES45" s="16"/>
      <c r="ET45" s="16"/>
      <c r="EU45" s="16"/>
      <c r="EV45" s="16"/>
      <c r="EW45" s="16"/>
      <c r="EX45" s="16"/>
      <c r="EY45" s="16"/>
      <c r="EZ45" s="16"/>
      <c r="FA45" s="19"/>
      <c r="FC45" s="16"/>
      <c r="FD45" s="16"/>
      <c r="FE45" s="16"/>
      <c r="FF45" s="16"/>
      <c r="FG45" s="16"/>
      <c r="FH45" s="16"/>
      <c r="FI45" s="16"/>
      <c r="FJ45" s="16"/>
      <c r="FK45" s="16"/>
      <c r="FL45" s="16"/>
      <c r="FM45" s="16"/>
      <c r="FN45" s="16"/>
      <c r="FO45" s="19"/>
      <c r="FQ45" s="16"/>
      <c r="FR45" s="16"/>
      <c r="FS45" s="16"/>
      <c r="FT45" s="16"/>
      <c r="FU45" s="16"/>
      <c r="FV45" s="16"/>
      <c r="FW45" s="16"/>
      <c r="FX45" s="16"/>
      <c r="FY45" s="16"/>
      <c r="FZ45" s="16"/>
      <c r="GA45" s="16"/>
      <c r="GB45" s="16"/>
      <c r="GC45" s="19"/>
      <c r="GE45" s="16"/>
      <c r="GF45" s="16"/>
      <c r="GG45" s="16"/>
      <c r="GH45" s="16"/>
      <c r="GI45" s="16"/>
      <c r="GJ45" s="16"/>
      <c r="GK45" s="16"/>
      <c r="GL45" s="16"/>
      <c r="GM45" s="16"/>
      <c r="GN45" s="16"/>
      <c r="GO45" s="16"/>
      <c r="GP45" s="16"/>
      <c r="GQ45" s="19"/>
      <c r="GS45" s="16"/>
      <c r="GT45" s="16"/>
      <c r="GU45" s="16"/>
      <c r="GV45" s="16"/>
      <c r="GW45" s="16"/>
      <c r="GX45" s="16"/>
      <c r="GY45" s="16"/>
      <c r="GZ45" s="16"/>
      <c r="HA45" s="16"/>
      <c r="HB45" s="16"/>
      <c r="HC45" s="16"/>
      <c r="HD45" s="16"/>
      <c r="HE45" s="19"/>
      <c r="HG45" s="16"/>
      <c r="HH45" s="16"/>
      <c r="HI45" s="16"/>
      <c r="HJ45" s="16"/>
      <c r="HK45" s="16"/>
      <c r="HL45" s="16"/>
      <c r="HM45" s="16"/>
      <c r="HN45" s="16"/>
      <c r="HO45" s="16"/>
      <c r="HP45" s="16"/>
      <c r="HQ45" s="16"/>
      <c r="HR45" s="16"/>
      <c r="HS45" s="19"/>
      <c r="HU45" s="16"/>
      <c r="HV45" s="16"/>
      <c r="HW45" s="16"/>
      <c r="HX45" s="16"/>
      <c r="HY45" s="16"/>
      <c r="HZ45" s="16"/>
      <c r="IA45" s="16"/>
      <c r="IB45" s="16"/>
      <c r="IC45" s="16"/>
      <c r="ID45" s="16"/>
      <c r="IE45" s="16"/>
      <c r="IF45" s="16"/>
      <c r="IG45" s="19"/>
    </row>
    <row r="46" spans="3:241" x14ac:dyDescent="0.2">
      <c r="C46" s="20" t="s">
        <v>177</v>
      </c>
      <c r="E46" s="16"/>
      <c r="F46" s="16"/>
      <c r="G46" s="16"/>
      <c r="H46" s="16"/>
      <c r="I46" s="16"/>
      <c r="J46" s="16"/>
      <c r="K46" s="16"/>
      <c r="L46" s="16">
        <v>140</v>
      </c>
      <c r="M46" s="16">
        <v>140</v>
      </c>
      <c r="N46" s="16">
        <v>140</v>
      </c>
      <c r="O46" s="16">
        <v>140</v>
      </c>
      <c r="P46" s="16">
        <v>140</v>
      </c>
      <c r="Q46" s="19">
        <f t="shared" si="1"/>
        <v>700</v>
      </c>
      <c r="S46" s="16"/>
      <c r="T46" s="16"/>
      <c r="U46" s="16"/>
      <c r="V46" s="16"/>
      <c r="W46" s="16"/>
      <c r="X46" s="16"/>
      <c r="Y46" s="16"/>
      <c r="Z46" s="16"/>
      <c r="AA46" s="16"/>
      <c r="AB46" s="16"/>
      <c r="AC46" s="16"/>
      <c r="AD46" s="16"/>
      <c r="AE46" s="19">
        <f t="shared" si="2"/>
        <v>0</v>
      </c>
      <c r="AG46" s="16"/>
      <c r="AH46" s="16"/>
      <c r="AI46" s="16"/>
      <c r="AJ46" s="16"/>
      <c r="AK46" s="16"/>
      <c r="AL46" s="16"/>
      <c r="AM46" s="16"/>
      <c r="AN46" s="16"/>
      <c r="AO46" s="16"/>
      <c r="AP46" s="16"/>
      <c r="AQ46" s="16"/>
      <c r="AR46" s="16"/>
      <c r="AS46" s="19"/>
      <c r="AU46" s="16"/>
      <c r="AV46" s="16"/>
      <c r="AW46" s="16"/>
      <c r="AX46" s="16"/>
      <c r="AY46" s="16"/>
      <c r="AZ46" s="16"/>
      <c r="BA46" s="16"/>
      <c r="BB46" s="16"/>
      <c r="BC46" s="16"/>
      <c r="BD46" s="16"/>
      <c r="BE46" s="16"/>
      <c r="BF46" s="16"/>
      <c r="BG46" s="19"/>
      <c r="BI46" s="16"/>
      <c r="BJ46" s="16"/>
      <c r="BK46" s="16"/>
      <c r="BL46" s="16"/>
      <c r="BM46" s="16"/>
      <c r="BN46" s="16"/>
      <c r="BO46" s="16"/>
      <c r="BP46" s="16"/>
      <c r="BQ46" s="16"/>
      <c r="BR46" s="16"/>
      <c r="BS46" s="16"/>
      <c r="BT46" s="16"/>
      <c r="BU46" s="19"/>
      <c r="BW46" s="16"/>
      <c r="BX46" s="16"/>
      <c r="BY46" s="16"/>
      <c r="BZ46" s="16"/>
      <c r="CA46" s="16"/>
      <c r="CB46" s="16"/>
      <c r="CC46" s="16"/>
      <c r="CD46" s="16"/>
      <c r="CE46" s="16"/>
      <c r="CF46" s="16"/>
      <c r="CG46" s="16"/>
      <c r="CH46" s="16"/>
      <c r="CI46" s="19"/>
      <c r="CK46" s="16"/>
      <c r="CL46" s="16"/>
      <c r="CM46" s="16"/>
      <c r="CN46" s="16"/>
      <c r="CO46" s="16"/>
      <c r="CP46" s="16"/>
      <c r="CQ46" s="16"/>
      <c r="CR46" s="16"/>
      <c r="CS46" s="16"/>
      <c r="CT46" s="16"/>
      <c r="CU46" s="16"/>
      <c r="CV46" s="16"/>
      <c r="CW46" s="19"/>
      <c r="CY46" s="16"/>
      <c r="CZ46" s="16"/>
      <c r="DA46" s="16"/>
      <c r="DB46" s="16"/>
      <c r="DC46" s="16"/>
      <c r="DD46" s="16"/>
      <c r="DE46" s="16"/>
      <c r="DF46" s="16"/>
      <c r="DG46" s="16"/>
      <c r="DH46" s="16"/>
      <c r="DI46" s="16"/>
      <c r="DJ46" s="16"/>
      <c r="DK46" s="19"/>
      <c r="DM46" s="16"/>
      <c r="DN46" s="16"/>
      <c r="DO46" s="16"/>
      <c r="DP46" s="16"/>
      <c r="DQ46" s="16"/>
      <c r="DR46" s="16"/>
      <c r="DS46" s="16"/>
      <c r="DT46" s="16"/>
      <c r="DU46" s="16"/>
      <c r="DV46" s="16"/>
      <c r="DW46" s="16"/>
      <c r="DX46" s="16"/>
      <c r="DY46" s="19"/>
      <c r="EA46" s="16"/>
      <c r="EB46" s="16"/>
      <c r="EC46" s="16"/>
      <c r="ED46" s="16"/>
      <c r="EE46" s="16"/>
      <c r="EF46" s="16"/>
      <c r="EG46" s="16"/>
      <c r="EH46" s="16"/>
      <c r="EI46" s="16"/>
      <c r="EJ46" s="16"/>
      <c r="EK46" s="16"/>
      <c r="EL46" s="16"/>
      <c r="EM46" s="19"/>
      <c r="EO46" s="16"/>
      <c r="EP46" s="16"/>
      <c r="EQ46" s="16"/>
      <c r="ER46" s="16"/>
      <c r="ES46" s="16"/>
      <c r="ET46" s="16"/>
      <c r="EU46" s="16"/>
      <c r="EV46" s="16"/>
      <c r="EW46" s="16"/>
      <c r="EX46" s="16"/>
      <c r="EY46" s="16"/>
      <c r="EZ46" s="16"/>
      <c r="FA46" s="19"/>
      <c r="FC46" s="16"/>
      <c r="FD46" s="16"/>
      <c r="FE46" s="16"/>
      <c r="FF46" s="16"/>
      <c r="FG46" s="16"/>
      <c r="FH46" s="16"/>
      <c r="FI46" s="16"/>
      <c r="FJ46" s="16"/>
      <c r="FK46" s="16"/>
      <c r="FL46" s="16"/>
      <c r="FM46" s="16"/>
      <c r="FN46" s="16"/>
      <c r="FO46" s="19"/>
      <c r="FQ46" s="16"/>
      <c r="FR46" s="16"/>
      <c r="FS46" s="16"/>
      <c r="FT46" s="16"/>
      <c r="FU46" s="16"/>
      <c r="FV46" s="16"/>
      <c r="FW46" s="16"/>
      <c r="FX46" s="16"/>
      <c r="FY46" s="16"/>
      <c r="FZ46" s="16"/>
      <c r="GA46" s="16"/>
      <c r="GB46" s="16"/>
      <c r="GC46" s="19"/>
      <c r="GE46" s="16"/>
      <c r="GF46" s="16"/>
      <c r="GG46" s="16"/>
      <c r="GH46" s="16"/>
      <c r="GI46" s="16"/>
      <c r="GJ46" s="16"/>
      <c r="GK46" s="16"/>
      <c r="GL46" s="16"/>
      <c r="GM46" s="16"/>
      <c r="GN46" s="16"/>
      <c r="GO46" s="16"/>
      <c r="GP46" s="16"/>
      <c r="GQ46" s="19"/>
      <c r="GS46" s="16"/>
      <c r="GT46" s="16"/>
      <c r="GU46" s="16"/>
      <c r="GV46" s="16"/>
      <c r="GW46" s="16"/>
      <c r="GX46" s="16"/>
      <c r="GY46" s="16"/>
      <c r="GZ46" s="16"/>
      <c r="HA46" s="16"/>
      <c r="HB46" s="16"/>
      <c r="HC46" s="16"/>
      <c r="HD46" s="16"/>
      <c r="HE46" s="19"/>
      <c r="HG46" s="16"/>
      <c r="HH46" s="16"/>
      <c r="HI46" s="16"/>
      <c r="HJ46" s="16"/>
      <c r="HK46" s="16"/>
      <c r="HL46" s="16"/>
      <c r="HM46" s="16"/>
      <c r="HN46" s="16"/>
      <c r="HO46" s="16"/>
      <c r="HP46" s="16"/>
      <c r="HQ46" s="16"/>
      <c r="HR46" s="16"/>
      <c r="HS46" s="19"/>
      <c r="HU46" s="16"/>
      <c r="HV46" s="16"/>
      <c r="HW46" s="16"/>
      <c r="HX46" s="16"/>
      <c r="HY46" s="16"/>
      <c r="HZ46" s="16"/>
      <c r="IA46" s="16"/>
      <c r="IB46" s="16"/>
      <c r="IC46" s="16"/>
      <c r="ID46" s="16"/>
      <c r="IE46" s="16"/>
      <c r="IF46" s="16"/>
      <c r="IG46" s="19"/>
    </row>
    <row r="47" spans="3:241" ht="17" customHeight="1" x14ac:dyDescent="0.2">
      <c r="C47" s="20" t="s">
        <v>166</v>
      </c>
      <c r="E47" s="16"/>
      <c r="F47" s="16"/>
      <c r="G47" s="16"/>
      <c r="H47" s="16"/>
      <c r="I47" s="16"/>
      <c r="J47" s="16"/>
      <c r="K47" s="16"/>
      <c r="L47" s="16" cm="1">
        <f t="array" ref="L47">SUMPRODUCT((Previsions[Type]="Expenses")*(Previsions[Cat]=Expenses[[#This Row],[Expenses]])*(Previsions[Final Budget])*1)</f>
        <v>2000</v>
      </c>
      <c r="M47" s="16">
        <v>555</v>
      </c>
      <c r="N47" s="16">
        <v>1445</v>
      </c>
      <c r="O47" s="16"/>
      <c r="P47" s="16"/>
      <c r="Q47" s="19">
        <f>SUM(E47:P47)</f>
        <v>4000</v>
      </c>
      <c r="S47" s="16">
        <f>AE47/12</f>
        <v>37.25</v>
      </c>
      <c r="T47" s="16">
        <v>37</v>
      </c>
      <c r="U47" s="16">
        <v>37</v>
      </c>
      <c r="V47" s="16">
        <v>37</v>
      </c>
      <c r="W47" s="16">
        <v>37</v>
      </c>
      <c r="X47" s="16">
        <v>37</v>
      </c>
      <c r="Y47" s="16">
        <v>37</v>
      </c>
      <c r="Z47" s="16">
        <v>37</v>
      </c>
      <c r="AA47" s="16">
        <v>37</v>
      </c>
      <c r="AB47" s="16">
        <v>37</v>
      </c>
      <c r="AC47" s="16">
        <v>37</v>
      </c>
      <c r="AD47" s="16">
        <v>37</v>
      </c>
      <c r="AE47" s="19">
        <v>447</v>
      </c>
      <c r="AG47" s="16"/>
      <c r="AH47" s="16"/>
      <c r="AI47" s="16"/>
      <c r="AJ47" s="16"/>
      <c r="AK47" s="16"/>
      <c r="AL47" s="16"/>
      <c r="AM47" s="16"/>
      <c r="AN47" s="16"/>
      <c r="AO47" s="16"/>
      <c r="AP47" s="16"/>
      <c r="AQ47" s="16"/>
      <c r="AR47" s="16"/>
      <c r="AS47" s="19">
        <f t="shared" si="3"/>
        <v>0</v>
      </c>
      <c r="AU47" s="16"/>
      <c r="AV47" s="16"/>
      <c r="AW47" s="16"/>
      <c r="AX47" s="16"/>
      <c r="AY47" s="16"/>
      <c r="AZ47" s="16"/>
      <c r="BA47" s="16"/>
      <c r="BB47" s="16"/>
      <c r="BC47" s="16"/>
      <c r="BD47" s="16"/>
      <c r="BE47" s="16"/>
      <c r="BF47" s="16"/>
      <c r="BG47" s="19">
        <f t="shared" si="4"/>
        <v>0</v>
      </c>
      <c r="BI47" s="16"/>
      <c r="BJ47" s="16"/>
      <c r="BK47" s="16"/>
      <c r="BL47" s="16"/>
      <c r="BM47" s="16"/>
      <c r="BN47" s="16"/>
      <c r="BO47" s="16"/>
      <c r="BP47" s="16"/>
      <c r="BQ47" s="16"/>
      <c r="BR47" s="16"/>
      <c r="BS47" s="16"/>
      <c r="BT47" s="16"/>
      <c r="BU47" s="19">
        <f t="shared" si="5"/>
        <v>0</v>
      </c>
      <c r="BW47" s="16"/>
      <c r="BX47" s="16"/>
      <c r="BY47" s="16"/>
      <c r="BZ47" s="16"/>
      <c r="CA47" s="16"/>
      <c r="CB47" s="16"/>
      <c r="CC47" s="16"/>
      <c r="CD47" s="16"/>
      <c r="CE47" s="16"/>
      <c r="CF47" s="16"/>
      <c r="CG47" s="16"/>
      <c r="CH47" s="16"/>
      <c r="CI47" s="19">
        <f t="shared" si="6"/>
        <v>0</v>
      </c>
      <c r="CK47" s="16"/>
      <c r="CL47" s="16"/>
      <c r="CM47" s="16"/>
      <c r="CN47" s="16"/>
      <c r="CO47" s="16"/>
      <c r="CP47" s="16"/>
      <c r="CQ47" s="16"/>
      <c r="CR47" s="16"/>
      <c r="CS47" s="16"/>
      <c r="CT47" s="16"/>
      <c r="CU47" s="16"/>
      <c r="CV47" s="16"/>
      <c r="CW47" s="19">
        <f t="shared" si="7"/>
        <v>0</v>
      </c>
      <c r="CY47" s="16"/>
      <c r="CZ47" s="16"/>
      <c r="DA47" s="16"/>
      <c r="DB47" s="16"/>
      <c r="DC47" s="16"/>
      <c r="DD47" s="16"/>
      <c r="DE47" s="16"/>
      <c r="DF47" s="16"/>
      <c r="DG47" s="16"/>
      <c r="DH47" s="16"/>
      <c r="DI47" s="16"/>
      <c r="DJ47" s="16"/>
      <c r="DK47" s="19">
        <f t="shared" si="8"/>
        <v>0</v>
      </c>
      <c r="DM47" s="16"/>
      <c r="DN47" s="16"/>
      <c r="DO47" s="16"/>
      <c r="DP47" s="16"/>
      <c r="DQ47" s="16"/>
      <c r="DR47" s="16"/>
      <c r="DS47" s="16"/>
      <c r="DT47" s="16"/>
      <c r="DU47" s="16"/>
      <c r="DV47" s="16"/>
      <c r="DW47" s="16"/>
      <c r="DX47" s="16"/>
      <c r="DY47" s="19">
        <f t="shared" si="9"/>
        <v>0</v>
      </c>
      <c r="EA47" s="16"/>
      <c r="EB47" s="16"/>
      <c r="EC47" s="16"/>
      <c r="ED47" s="16"/>
      <c r="EE47" s="16"/>
      <c r="EF47" s="16"/>
      <c r="EG47" s="16"/>
      <c r="EH47" s="16"/>
      <c r="EI47" s="16"/>
      <c r="EJ47" s="16"/>
      <c r="EK47" s="16"/>
      <c r="EL47" s="16"/>
      <c r="EM47" s="19">
        <f t="shared" si="10"/>
        <v>0</v>
      </c>
      <c r="EO47" s="16"/>
      <c r="EP47" s="16"/>
      <c r="EQ47" s="16"/>
      <c r="ER47" s="16"/>
      <c r="ES47" s="16"/>
      <c r="ET47" s="16"/>
      <c r="EU47" s="16"/>
      <c r="EV47" s="16"/>
      <c r="EW47" s="16"/>
      <c r="EX47" s="16"/>
      <c r="EY47" s="16"/>
      <c r="EZ47" s="16"/>
      <c r="FA47" s="19">
        <f t="shared" si="11"/>
        <v>0</v>
      </c>
      <c r="FC47" s="16"/>
      <c r="FD47" s="16"/>
      <c r="FE47" s="16"/>
      <c r="FF47" s="16"/>
      <c r="FG47" s="16"/>
      <c r="FH47" s="16"/>
      <c r="FI47" s="16"/>
      <c r="FJ47" s="16"/>
      <c r="FK47" s="16"/>
      <c r="FL47" s="16"/>
      <c r="FM47" s="16"/>
      <c r="FN47" s="16"/>
      <c r="FO47" s="19">
        <f t="shared" si="12"/>
        <v>0</v>
      </c>
      <c r="FQ47" s="16"/>
      <c r="FR47" s="16"/>
      <c r="FS47" s="16"/>
      <c r="FT47" s="16"/>
      <c r="FU47" s="16"/>
      <c r="FV47" s="16"/>
      <c r="FW47" s="16"/>
      <c r="FX47" s="16"/>
      <c r="FY47" s="16"/>
      <c r="FZ47" s="16"/>
      <c r="GA47" s="16"/>
      <c r="GB47" s="16"/>
      <c r="GC47" s="19">
        <f t="shared" si="13"/>
        <v>0</v>
      </c>
      <c r="GE47" s="16"/>
      <c r="GF47" s="16"/>
      <c r="GG47" s="16"/>
      <c r="GH47" s="16"/>
      <c r="GI47" s="16"/>
      <c r="GJ47" s="16"/>
      <c r="GK47" s="16"/>
      <c r="GL47" s="16"/>
      <c r="GM47" s="16"/>
      <c r="GN47" s="16"/>
      <c r="GO47" s="16"/>
      <c r="GP47" s="16"/>
      <c r="GQ47" s="19">
        <f t="shared" si="14"/>
        <v>0</v>
      </c>
      <c r="GS47" s="16"/>
      <c r="GT47" s="16"/>
      <c r="GU47" s="16"/>
      <c r="GV47" s="16"/>
      <c r="GW47" s="16"/>
      <c r="GX47" s="16"/>
      <c r="GY47" s="16"/>
      <c r="GZ47" s="16"/>
      <c r="HA47" s="16"/>
      <c r="HB47" s="16"/>
      <c r="HC47" s="16"/>
      <c r="HD47" s="16"/>
      <c r="HE47" s="19">
        <f t="shared" si="15"/>
        <v>0</v>
      </c>
      <c r="HG47" s="16"/>
      <c r="HH47" s="16"/>
      <c r="HI47" s="16"/>
      <c r="HJ47" s="16"/>
      <c r="HK47" s="16"/>
      <c r="HL47" s="16"/>
      <c r="HM47" s="16"/>
      <c r="HN47" s="16"/>
      <c r="HO47" s="16"/>
      <c r="HP47" s="16"/>
      <c r="HQ47" s="16"/>
      <c r="HR47" s="16"/>
      <c r="HS47" s="19">
        <f t="shared" si="16"/>
        <v>0</v>
      </c>
      <c r="HU47" s="16"/>
      <c r="HV47" s="16"/>
      <c r="HW47" s="16"/>
      <c r="HX47" s="16"/>
      <c r="HY47" s="16"/>
      <c r="HZ47" s="16"/>
      <c r="IA47" s="16"/>
      <c r="IB47" s="16"/>
      <c r="IC47" s="16"/>
      <c r="ID47" s="16"/>
      <c r="IE47" s="16"/>
      <c r="IF47" s="16"/>
      <c r="IG47" s="19">
        <f t="shared" si="17"/>
        <v>0</v>
      </c>
    </row>
    <row r="48" spans="3:241" hidden="1" x14ac:dyDescent="0.2">
      <c r="C48" s="17" t="s">
        <v>16</v>
      </c>
      <c r="E48" s="16"/>
      <c r="F48" s="16"/>
      <c r="G48" s="16"/>
      <c r="H48" s="16"/>
      <c r="I48" s="16"/>
      <c r="J48" s="16"/>
      <c r="K48" s="16"/>
      <c r="L48" s="16"/>
      <c r="M48" s="16"/>
      <c r="N48" s="16"/>
      <c r="O48" s="16"/>
      <c r="P48" s="16"/>
      <c r="Q48" s="19">
        <f>SUM(E48:P48)</f>
        <v>0</v>
      </c>
      <c r="S48" s="16"/>
      <c r="T48" s="16"/>
      <c r="U48" s="16"/>
      <c r="V48" s="16"/>
      <c r="W48" s="16"/>
      <c r="X48" s="16"/>
      <c r="Y48" s="16"/>
      <c r="Z48" s="16"/>
      <c r="AA48" s="16"/>
      <c r="AB48" s="16"/>
      <c r="AC48" s="16"/>
      <c r="AD48" s="16"/>
      <c r="AE48" s="19">
        <f t="shared" si="2"/>
        <v>0</v>
      </c>
      <c r="AG48" s="16"/>
      <c r="AH48" s="16"/>
      <c r="AI48" s="16"/>
      <c r="AJ48" s="16"/>
      <c r="AK48" s="16"/>
      <c r="AL48" s="16"/>
      <c r="AM48" s="16"/>
      <c r="AN48" s="16"/>
      <c r="AO48" s="16"/>
      <c r="AP48" s="16"/>
      <c r="AQ48" s="16"/>
      <c r="AR48" s="16"/>
      <c r="AS48" s="19">
        <f t="shared" si="3"/>
        <v>0</v>
      </c>
      <c r="AU48" s="16"/>
      <c r="AV48" s="16"/>
      <c r="AW48" s="16"/>
      <c r="AX48" s="16"/>
      <c r="AY48" s="16"/>
      <c r="AZ48" s="16"/>
      <c r="BA48" s="16"/>
      <c r="BB48" s="16"/>
      <c r="BC48" s="16"/>
      <c r="BD48" s="16"/>
      <c r="BE48" s="16"/>
      <c r="BF48" s="16"/>
      <c r="BG48" s="19">
        <f t="shared" si="4"/>
        <v>0</v>
      </c>
      <c r="BI48" s="16"/>
      <c r="BJ48" s="16"/>
      <c r="BK48" s="16"/>
      <c r="BL48" s="16"/>
      <c r="BM48" s="16"/>
      <c r="BN48" s="16"/>
      <c r="BO48" s="16"/>
      <c r="BP48" s="16"/>
      <c r="BQ48" s="16"/>
      <c r="BR48" s="16"/>
      <c r="BS48" s="16"/>
      <c r="BT48" s="16"/>
      <c r="BU48" s="19">
        <f t="shared" si="5"/>
        <v>0</v>
      </c>
      <c r="BW48" s="16"/>
      <c r="BX48" s="16"/>
      <c r="BY48" s="16"/>
      <c r="BZ48" s="16"/>
      <c r="CA48" s="16"/>
      <c r="CB48" s="16"/>
      <c r="CC48" s="16"/>
      <c r="CD48" s="16"/>
      <c r="CE48" s="16"/>
      <c r="CF48" s="16"/>
      <c r="CG48" s="16"/>
      <c r="CH48" s="16"/>
      <c r="CI48" s="19">
        <f t="shared" si="6"/>
        <v>0</v>
      </c>
      <c r="CK48" s="16"/>
      <c r="CL48" s="16"/>
      <c r="CM48" s="16"/>
      <c r="CN48" s="16"/>
      <c r="CO48" s="16"/>
      <c r="CP48" s="16"/>
      <c r="CQ48" s="16"/>
      <c r="CR48" s="16"/>
      <c r="CS48" s="16"/>
      <c r="CT48" s="16"/>
      <c r="CU48" s="16"/>
      <c r="CV48" s="16"/>
      <c r="CW48" s="19">
        <f t="shared" si="7"/>
        <v>0</v>
      </c>
      <c r="CY48" s="16"/>
      <c r="CZ48" s="16"/>
      <c r="DA48" s="16"/>
      <c r="DB48" s="16"/>
      <c r="DC48" s="16"/>
      <c r="DD48" s="16"/>
      <c r="DE48" s="16"/>
      <c r="DF48" s="16"/>
      <c r="DG48" s="16"/>
      <c r="DH48" s="16"/>
      <c r="DI48" s="16"/>
      <c r="DJ48" s="16"/>
      <c r="DK48" s="19">
        <f t="shared" si="8"/>
        <v>0</v>
      </c>
      <c r="DM48" s="16"/>
      <c r="DN48" s="16"/>
      <c r="DO48" s="16"/>
      <c r="DP48" s="16"/>
      <c r="DQ48" s="16"/>
      <c r="DR48" s="16"/>
      <c r="DS48" s="16"/>
      <c r="DT48" s="16"/>
      <c r="DU48" s="16"/>
      <c r="DV48" s="16"/>
      <c r="DW48" s="16"/>
      <c r="DX48" s="16"/>
      <c r="DY48" s="19">
        <f t="shared" si="9"/>
        <v>0</v>
      </c>
      <c r="EA48" s="16"/>
      <c r="EB48" s="16"/>
      <c r="EC48" s="16"/>
      <c r="ED48" s="16"/>
      <c r="EE48" s="16"/>
      <c r="EF48" s="16"/>
      <c r="EG48" s="16"/>
      <c r="EH48" s="16"/>
      <c r="EI48" s="16"/>
      <c r="EJ48" s="16"/>
      <c r="EK48" s="16"/>
      <c r="EL48" s="16"/>
      <c r="EM48" s="19">
        <f t="shared" si="10"/>
        <v>0</v>
      </c>
      <c r="EO48" s="16"/>
      <c r="EP48" s="16"/>
      <c r="EQ48" s="16"/>
      <c r="ER48" s="16"/>
      <c r="ES48" s="16"/>
      <c r="ET48" s="16"/>
      <c r="EU48" s="16"/>
      <c r="EV48" s="16"/>
      <c r="EW48" s="16"/>
      <c r="EX48" s="16"/>
      <c r="EY48" s="16"/>
      <c r="EZ48" s="16"/>
      <c r="FA48" s="19">
        <f t="shared" si="11"/>
        <v>0</v>
      </c>
      <c r="FC48" s="16"/>
      <c r="FD48" s="16"/>
      <c r="FE48" s="16"/>
      <c r="FF48" s="16"/>
      <c r="FG48" s="16"/>
      <c r="FH48" s="16"/>
      <c r="FI48" s="16"/>
      <c r="FJ48" s="16"/>
      <c r="FK48" s="16"/>
      <c r="FL48" s="16"/>
      <c r="FM48" s="16"/>
      <c r="FN48" s="16"/>
      <c r="FO48" s="19">
        <f t="shared" si="12"/>
        <v>0</v>
      </c>
      <c r="FQ48" s="16"/>
      <c r="FR48" s="16"/>
      <c r="FS48" s="16"/>
      <c r="FT48" s="16"/>
      <c r="FU48" s="16"/>
      <c r="FV48" s="16"/>
      <c r="FW48" s="16"/>
      <c r="FX48" s="16"/>
      <c r="FY48" s="16"/>
      <c r="FZ48" s="16"/>
      <c r="GA48" s="16"/>
      <c r="GB48" s="16"/>
      <c r="GC48" s="19">
        <f t="shared" si="13"/>
        <v>0</v>
      </c>
      <c r="GE48" s="16"/>
      <c r="GF48" s="16"/>
      <c r="GG48" s="16"/>
      <c r="GH48" s="16"/>
      <c r="GI48" s="16"/>
      <c r="GJ48" s="16"/>
      <c r="GK48" s="16"/>
      <c r="GL48" s="16"/>
      <c r="GM48" s="16"/>
      <c r="GN48" s="16"/>
      <c r="GO48" s="16"/>
      <c r="GP48" s="16"/>
      <c r="GQ48" s="19">
        <f t="shared" si="14"/>
        <v>0</v>
      </c>
      <c r="GS48" s="16"/>
      <c r="GT48" s="16"/>
      <c r="GU48" s="16"/>
      <c r="GV48" s="16"/>
      <c r="GW48" s="16"/>
      <c r="GX48" s="16"/>
      <c r="GY48" s="16"/>
      <c r="GZ48" s="16"/>
      <c r="HA48" s="16"/>
      <c r="HB48" s="16"/>
      <c r="HC48" s="16"/>
      <c r="HD48" s="16"/>
      <c r="HE48" s="19">
        <f t="shared" si="15"/>
        <v>0</v>
      </c>
      <c r="HG48" s="16"/>
      <c r="HH48" s="16"/>
      <c r="HI48" s="16"/>
      <c r="HJ48" s="16"/>
      <c r="HK48" s="16"/>
      <c r="HL48" s="16"/>
      <c r="HM48" s="16"/>
      <c r="HN48" s="16"/>
      <c r="HO48" s="16"/>
      <c r="HP48" s="16"/>
      <c r="HQ48" s="16"/>
      <c r="HR48" s="16"/>
      <c r="HS48" s="19">
        <f t="shared" si="16"/>
        <v>0</v>
      </c>
      <c r="HU48" s="16"/>
      <c r="HV48" s="16"/>
      <c r="HW48" s="16"/>
      <c r="HX48" s="16"/>
      <c r="HY48" s="16"/>
      <c r="HZ48" s="16"/>
      <c r="IA48" s="16"/>
      <c r="IB48" s="16"/>
      <c r="IC48" s="16"/>
      <c r="ID48" s="16"/>
      <c r="IE48" s="16"/>
      <c r="IF48" s="16"/>
      <c r="IG48" s="19">
        <f t="shared" si="17"/>
        <v>0</v>
      </c>
    </row>
    <row r="49" spans="3:241" hidden="1" x14ac:dyDescent="0.2">
      <c r="C49" s="17" t="s">
        <v>16</v>
      </c>
      <c r="E49" s="16"/>
      <c r="F49" s="16" t="s">
        <v>9</v>
      </c>
      <c r="G49" s="16"/>
      <c r="H49" s="16"/>
      <c r="I49" s="16"/>
      <c r="J49" s="16"/>
      <c r="K49" s="16"/>
      <c r="L49" s="16"/>
      <c r="M49" s="16"/>
      <c r="N49" s="16"/>
      <c r="O49" s="16"/>
      <c r="P49" s="16"/>
      <c r="Q49" s="19">
        <f>SUM(E49:P49)</f>
        <v>0</v>
      </c>
      <c r="S49" s="16"/>
      <c r="T49" s="16" t="s">
        <v>9</v>
      </c>
      <c r="U49" s="16"/>
      <c r="V49" s="16"/>
      <c r="W49" s="16"/>
      <c r="X49" s="16"/>
      <c r="Y49" s="16"/>
      <c r="Z49" s="16"/>
      <c r="AA49" s="16"/>
      <c r="AB49" s="16"/>
      <c r="AC49" s="16"/>
      <c r="AD49" s="16"/>
      <c r="AE49" s="19">
        <f t="shared" si="2"/>
        <v>0</v>
      </c>
      <c r="AG49" s="16"/>
      <c r="AH49" s="16" t="s">
        <v>9</v>
      </c>
      <c r="AI49" s="16"/>
      <c r="AJ49" s="16"/>
      <c r="AK49" s="16"/>
      <c r="AL49" s="16"/>
      <c r="AM49" s="16"/>
      <c r="AN49" s="16"/>
      <c r="AO49" s="16"/>
      <c r="AP49" s="16"/>
      <c r="AQ49" s="16"/>
      <c r="AR49" s="16"/>
      <c r="AS49" s="19">
        <f t="shared" si="3"/>
        <v>0</v>
      </c>
      <c r="AU49" s="16"/>
      <c r="AV49" s="16" t="s">
        <v>9</v>
      </c>
      <c r="AW49" s="16"/>
      <c r="AX49" s="16"/>
      <c r="AY49" s="16"/>
      <c r="AZ49" s="16"/>
      <c r="BA49" s="16"/>
      <c r="BB49" s="16"/>
      <c r="BC49" s="16"/>
      <c r="BD49" s="16"/>
      <c r="BE49" s="16"/>
      <c r="BF49" s="16"/>
      <c r="BG49" s="19">
        <f t="shared" si="4"/>
        <v>0</v>
      </c>
      <c r="BI49" s="16"/>
      <c r="BJ49" s="16" t="s">
        <v>9</v>
      </c>
      <c r="BK49" s="16"/>
      <c r="BL49" s="16"/>
      <c r="BM49" s="16"/>
      <c r="BN49" s="16"/>
      <c r="BO49" s="16"/>
      <c r="BP49" s="16"/>
      <c r="BQ49" s="16"/>
      <c r="BR49" s="16"/>
      <c r="BS49" s="16"/>
      <c r="BT49" s="16"/>
      <c r="BU49" s="19">
        <f t="shared" si="5"/>
        <v>0</v>
      </c>
      <c r="BW49" s="16"/>
      <c r="BX49" s="16" t="s">
        <v>9</v>
      </c>
      <c r="BY49" s="16"/>
      <c r="BZ49" s="16"/>
      <c r="CA49" s="16"/>
      <c r="CB49" s="16"/>
      <c r="CC49" s="16"/>
      <c r="CD49" s="16"/>
      <c r="CE49" s="16"/>
      <c r="CF49" s="16"/>
      <c r="CG49" s="16"/>
      <c r="CH49" s="16"/>
      <c r="CI49" s="19">
        <f t="shared" si="6"/>
        <v>0</v>
      </c>
      <c r="CK49" s="16"/>
      <c r="CL49" s="16" t="s">
        <v>9</v>
      </c>
      <c r="CM49" s="16"/>
      <c r="CN49" s="16"/>
      <c r="CO49" s="16"/>
      <c r="CP49" s="16"/>
      <c r="CQ49" s="16"/>
      <c r="CR49" s="16"/>
      <c r="CS49" s="16"/>
      <c r="CT49" s="16"/>
      <c r="CU49" s="16"/>
      <c r="CV49" s="16"/>
      <c r="CW49" s="19">
        <f t="shared" si="7"/>
        <v>0</v>
      </c>
      <c r="CY49" s="16"/>
      <c r="CZ49" s="16" t="s">
        <v>9</v>
      </c>
      <c r="DA49" s="16"/>
      <c r="DB49" s="16"/>
      <c r="DC49" s="16"/>
      <c r="DD49" s="16"/>
      <c r="DE49" s="16"/>
      <c r="DF49" s="16"/>
      <c r="DG49" s="16"/>
      <c r="DH49" s="16"/>
      <c r="DI49" s="16"/>
      <c r="DJ49" s="16"/>
      <c r="DK49" s="19">
        <f t="shared" si="8"/>
        <v>0</v>
      </c>
      <c r="DM49" s="16"/>
      <c r="DN49" s="16" t="s">
        <v>9</v>
      </c>
      <c r="DO49" s="16"/>
      <c r="DP49" s="16"/>
      <c r="DQ49" s="16"/>
      <c r="DR49" s="16"/>
      <c r="DS49" s="16"/>
      <c r="DT49" s="16"/>
      <c r="DU49" s="16"/>
      <c r="DV49" s="16"/>
      <c r="DW49" s="16"/>
      <c r="DX49" s="16"/>
      <c r="DY49" s="19">
        <f t="shared" si="9"/>
        <v>0</v>
      </c>
      <c r="EA49" s="16"/>
      <c r="EB49" s="16" t="s">
        <v>9</v>
      </c>
      <c r="EC49" s="16"/>
      <c r="ED49" s="16"/>
      <c r="EE49" s="16"/>
      <c r="EF49" s="16"/>
      <c r="EG49" s="16"/>
      <c r="EH49" s="16"/>
      <c r="EI49" s="16"/>
      <c r="EJ49" s="16"/>
      <c r="EK49" s="16"/>
      <c r="EL49" s="16"/>
      <c r="EM49" s="19">
        <f t="shared" si="10"/>
        <v>0</v>
      </c>
      <c r="EO49" s="16"/>
      <c r="EP49" s="16" t="s">
        <v>9</v>
      </c>
      <c r="EQ49" s="16"/>
      <c r="ER49" s="16"/>
      <c r="ES49" s="16"/>
      <c r="ET49" s="16"/>
      <c r="EU49" s="16"/>
      <c r="EV49" s="16"/>
      <c r="EW49" s="16"/>
      <c r="EX49" s="16"/>
      <c r="EY49" s="16"/>
      <c r="EZ49" s="16"/>
      <c r="FA49" s="19">
        <f t="shared" si="11"/>
        <v>0</v>
      </c>
      <c r="FC49" s="16"/>
      <c r="FD49" s="16" t="s">
        <v>9</v>
      </c>
      <c r="FE49" s="16"/>
      <c r="FF49" s="16"/>
      <c r="FG49" s="16"/>
      <c r="FH49" s="16"/>
      <c r="FI49" s="16"/>
      <c r="FJ49" s="16"/>
      <c r="FK49" s="16"/>
      <c r="FL49" s="16"/>
      <c r="FM49" s="16"/>
      <c r="FN49" s="16"/>
      <c r="FO49" s="19">
        <f t="shared" si="12"/>
        <v>0</v>
      </c>
      <c r="FQ49" s="16"/>
      <c r="FR49" s="16" t="s">
        <v>9</v>
      </c>
      <c r="FS49" s="16"/>
      <c r="FT49" s="16"/>
      <c r="FU49" s="16"/>
      <c r="FV49" s="16"/>
      <c r="FW49" s="16"/>
      <c r="FX49" s="16"/>
      <c r="FY49" s="16"/>
      <c r="FZ49" s="16"/>
      <c r="GA49" s="16"/>
      <c r="GB49" s="16"/>
      <c r="GC49" s="19">
        <f t="shared" si="13"/>
        <v>0</v>
      </c>
      <c r="GE49" s="16"/>
      <c r="GF49" s="16" t="s">
        <v>9</v>
      </c>
      <c r="GG49" s="16"/>
      <c r="GH49" s="16"/>
      <c r="GI49" s="16"/>
      <c r="GJ49" s="16"/>
      <c r="GK49" s="16"/>
      <c r="GL49" s="16"/>
      <c r="GM49" s="16"/>
      <c r="GN49" s="16"/>
      <c r="GO49" s="16"/>
      <c r="GP49" s="16"/>
      <c r="GQ49" s="19">
        <f t="shared" si="14"/>
        <v>0</v>
      </c>
      <c r="GS49" s="16"/>
      <c r="GT49" s="16" t="s">
        <v>9</v>
      </c>
      <c r="GU49" s="16"/>
      <c r="GV49" s="16"/>
      <c r="GW49" s="16"/>
      <c r="GX49" s="16"/>
      <c r="GY49" s="16"/>
      <c r="GZ49" s="16"/>
      <c r="HA49" s="16"/>
      <c r="HB49" s="16"/>
      <c r="HC49" s="16"/>
      <c r="HD49" s="16"/>
      <c r="HE49" s="19">
        <f t="shared" si="15"/>
        <v>0</v>
      </c>
      <c r="HG49" s="16"/>
      <c r="HH49" s="16" t="s">
        <v>9</v>
      </c>
      <c r="HI49" s="16"/>
      <c r="HJ49" s="16"/>
      <c r="HK49" s="16"/>
      <c r="HL49" s="16"/>
      <c r="HM49" s="16"/>
      <c r="HN49" s="16"/>
      <c r="HO49" s="16"/>
      <c r="HP49" s="16"/>
      <c r="HQ49" s="16"/>
      <c r="HR49" s="16"/>
      <c r="HS49" s="19">
        <f t="shared" si="16"/>
        <v>0</v>
      </c>
      <c r="HU49" s="16"/>
      <c r="HV49" s="16" t="s">
        <v>9</v>
      </c>
      <c r="HW49" s="16"/>
      <c r="HX49" s="16"/>
      <c r="HY49" s="16"/>
      <c r="HZ49" s="16"/>
      <c r="IA49" s="16"/>
      <c r="IB49" s="16"/>
      <c r="IC49" s="16"/>
      <c r="ID49" s="16"/>
      <c r="IE49" s="16"/>
      <c r="IF49" s="16"/>
      <c r="IG49" s="19">
        <f t="shared" si="17"/>
        <v>0</v>
      </c>
    </row>
    <row r="50" spans="3:241" hidden="1" x14ac:dyDescent="0.2">
      <c r="C50" s="17" t="s">
        <v>16</v>
      </c>
      <c r="E50" s="16"/>
      <c r="F50" s="16"/>
      <c r="G50" s="16"/>
      <c r="H50" s="16"/>
      <c r="I50" s="16"/>
      <c r="J50" s="16"/>
      <c r="K50" s="16"/>
      <c r="L50" s="16"/>
      <c r="M50" s="16"/>
      <c r="N50" s="16"/>
      <c r="O50" s="16"/>
      <c r="P50" s="16"/>
      <c r="Q50" s="19">
        <f>SUM(E50:P50)</f>
        <v>0</v>
      </c>
      <c r="S50" s="16"/>
      <c r="T50" s="16"/>
      <c r="U50" s="16"/>
      <c r="V50" s="16"/>
      <c r="W50" s="16"/>
      <c r="X50" s="16"/>
      <c r="Y50" s="16"/>
      <c r="Z50" s="16"/>
      <c r="AA50" s="16"/>
      <c r="AB50" s="16"/>
      <c r="AC50" s="16"/>
      <c r="AD50" s="16"/>
      <c r="AE50" s="19">
        <f t="shared" si="2"/>
        <v>0</v>
      </c>
      <c r="AG50" s="16"/>
      <c r="AH50" s="16"/>
      <c r="AI50" s="16"/>
      <c r="AJ50" s="16"/>
      <c r="AK50" s="16"/>
      <c r="AL50" s="16"/>
      <c r="AM50" s="16"/>
      <c r="AN50" s="16"/>
      <c r="AO50" s="16"/>
      <c r="AP50" s="16"/>
      <c r="AQ50" s="16"/>
      <c r="AR50" s="16"/>
      <c r="AS50" s="19">
        <f t="shared" si="3"/>
        <v>0</v>
      </c>
      <c r="AU50" s="16"/>
      <c r="AV50" s="16"/>
      <c r="AW50" s="16"/>
      <c r="AX50" s="16"/>
      <c r="AY50" s="16"/>
      <c r="AZ50" s="16"/>
      <c r="BA50" s="16"/>
      <c r="BB50" s="16"/>
      <c r="BC50" s="16"/>
      <c r="BD50" s="16"/>
      <c r="BE50" s="16"/>
      <c r="BF50" s="16"/>
      <c r="BG50" s="19">
        <f t="shared" si="4"/>
        <v>0</v>
      </c>
      <c r="BI50" s="16"/>
      <c r="BJ50" s="16"/>
      <c r="BK50" s="16"/>
      <c r="BL50" s="16"/>
      <c r="BM50" s="16"/>
      <c r="BN50" s="16"/>
      <c r="BO50" s="16"/>
      <c r="BP50" s="16"/>
      <c r="BQ50" s="16"/>
      <c r="BR50" s="16"/>
      <c r="BS50" s="16"/>
      <c r="BT50" s="16"/>
      <c r="BU50" s="19">
        <f t="shared" si="5"/>
        <v>0</v>
      </c>
      <c r="BW50" s="16"/>
      <c r="BX50" s="16"/>
      <c r="BY50" s="16"/>
      <c r="BZ50" s="16"/>
      <c r="CA50" s="16"/>
      <c r="CB50" s="16"/>
      <c r="CC50" s="16"/>
      <c r="CD50" s="16"/>
      <c r="CE50" s="16"/>
      <c r="CF50" s="16"/>
      <c r="CG50" s="16"/>
      <c r="CH50" s="16"/>
      <c r="CI50" s="19">
        <f t="shared" si="6"/>
        <v>0</v>
      </c>
      <c r="CK50" s="16"/>
      <c r="CL50" s="16"/>
      <c r="CM50" s="16"/>
      <c r="CN50" s="16"/>
      <c r="CO50" s="16"/>
      <c r="CP50" s="16"/>
      <c r="CQ50" s="16"/>
      <c r="CR50" s="16"/>
      <c r="CS50" s="16"/>
      <c r="CT50" s="16"/>
      <c r="CU50" s="16"/>
      <c r="CV50" s="16"/>
      <c r="CW50" s="19">
        <f t="shared" si="7"/>
        <v>0</v>
      </c>
      <c r="CY50" s="16"/>
      <c r="CZ50" s="16"/>
      <c r="DA50" s="16"/>
      <c r="DB50" s="16"/>
      <c r="DC50" s="16"/>
      <c r="DD50" s="16"/>
      <c r="DE50" s="16"/>
      <c r="DF50" s="16"/>
      <c r="DG50" s="16"/>
      <c r="DH50" s="16"/>
      <c r="DI50" s="16"/>
      <c r="DJ50" s="16"/>
      <c r="DK50" s="19">
        <f t="shared" si="8"/>
        <v>0</v>
      </c>
      <c r="DM50" s="16"/>
      <c r="DN50" s="16"/>
      <c r="DO50" s="16"/>
      <c r="DP50" s="16"/>
      <c r="DQ50" s="16"/>
      <c r="DR50" s="16"/>
      <c r="DS50" s="16"/>
      <c r="DT50" s="16"/>
      <c r="DU50" s="16"/>
      <c r="DV50" s="16"/>
      <c r="DW50" s="16"/>
      <c r="DX50" s="16"/>
      <c r="DY50" s="19">
        <f t="shared" si="9"/>
        <v>0</v>
      </c>
      <c r="EA50" s="16"/>
      <c r="EB50" s="16"/>
      <c r="EC50" s="16"/>
      <c r="ED50" s="16"/>
      <c r="EE50" s="16"/>
      <c r="EF50" s="16"/>
      <c r="EG50" s="16"/>
      <c r="EH50" s="16"/>
      <c r="EI50" s="16"/>
      <c r="EJ50" s="16"/>
      <c r="EK50" s="16"/>
      <c r="EL50" s="16"/>
      <c r="EM50" s="19">
        <f t="shared" si="10"/>
        <v>0</v>
      </c>
      <c r="EO50" s="16"/>
      <c r="EP50" s="16"/>
      <c r="EQ50" s="16"/>
      <c r="ER50" s="16"/>
      <c r="ES50" s="16"/>
      <c r="ET50" s="16"/>
      <c r="EU50" s="16"/>
      <c r="EV50" s="16"/>
      <c r="EW50" s="16"/>
      <c r="EX50" s="16"/>
      <c r="EY50" s="16"/>
      <c r="EZ50" s="16"/>
      <c r="FA50" s="19">
        <f t="shared" si="11"/>
        <v>0</v>
      </c>
      <c r="FC50" s="16"/>
      <c r="FD50" s="16"/>
      <c r="FE50" s="16"/>
      <c r="FF50" s="16"/>
      <c r="FG50" s="16"/>
      <c r="FH50" s="16"/>
      <c r="FI50" s="16"/>
      <c r="FJ50" s="16"/>
      <c r="FK50" s="16"/>
      <c r="FL50" s="16"/>
      <c r="FM50" s="16"/>
      <c r="FN50" s="16"/>
      <c r="FO50" s="19">
        <f t="shared" si="12"/>
        <v>0</v>
      </c>
      <c r="FQ50" s="16"/>
      <c r="FR50" s="16"/>
      <c r="FS50" s="16"/>
      <c r="FT50" s="16"/>
      <c r="FU50" s="16"/>
      <c r="FV50" s="16"/>
      <c r="FW50" s="16"/>
      <c r="FX50" s="16"/>
      <c r="FY50" s="16"/>
      <c r="FZ50" s="16"/>
      <c r="GA50" s="16"/>
      <c r="GB50" s="16"/>
      <c r="GC50" s="19">
        <f t="shared" si="13"/>
        <v>0</v>
      </c>
      <c r="GE50" s="16"/>
      <c r="GF50" s="16"/>
      <c r="GG50" s="16"/>
      <c r="GH50" s="16"/>
      <c r="GI50" s="16"/>
      <c r="GJ50" s="16"/>
      <c r="GK50" s="16"/>
      <c r="GL50" s="16"/>
      <c r="GM50" s="16"/>
      <c r="GN50" s="16"/>
      <c r="GO50" s="16"/>
      <c r="GP50" s="16"/>
      <c r="GQ50" s="19">
        <f t="shared" si="14"/>
        <v>0</v>
      </c>
      <c r="GS50" s="16"/>
      <c r="GT50" s="16"/>
      <c r="GU50" s="16"/>
      <c r="GV50" s="16"/>
      <c r="GW50" s="16"/>
      <c r="GX50" s="16"/>
      <c r="GY50" s="16"/>
      <c r="GZ50" s="16"/>
      <c r="HA50" s="16"/>
      <c r="HB50" s="16"/>
      <c r="HC50" s="16"/>
      <c r="HD50" s="16"/>
      <c r="HE50" s="19">
        <f t="shared" si="15"/>
        <v>0</v>
      </c>
      <c r="HG50" s="16"/>
      <c r="HH50" s="16"/>
      <c r="HI50" s="16"/>
      <c r="HJ50" s="16"/>
      <c r="HK50" s="16"/>
      <c r="HL50" s="16"/>
      <c r="HM50" s="16"/>
      <c r="HN50" s="16"/>
      <c r="HO50" s="16"/>
      <c r="HP50" s="16"/>
      <c r="HQ50" s="16"/>
      <c r="HR50" s="16"/>
      <c r="HS50" s="19">
        <f t="shared" si="16"/>
        <v>0</v>
      </c>
      <c r="HU50" s="16"/>
      <c r="HV50" s="16"/>
      <c r="HW50" s="16"/>
      <c r="HX50" s="16"/>
      <c r="HY50" s="16"/>
      <c r="HZ50" s="16"/>
      <c r="IA50" s="16"/>
      <c r="IB50" s="16"/>
      <c r="IC50" s="16"/>
      <c r="ID50" s="16"/>
      <c r="IE50" s="16"/>
      <c r="IF50" s="16"/>
      <c r="IG50" s="19">
        <f t="shared" si="17"/>
        <v>0</v>
      </c>
    </row>
    <row r="51" spans="3:241" hidden="1" x14ac:dyDescent="0.2">
      <c r="C51" s="17" t="s">
        <v>16</v>
      </c>
      <c r="E51" s="16"/>
      <c r="F51" s="16"/>
      <c r="G51" s="16"/>
      <c r="H51" s="16"/>
      <c r="I51" s="16"/>
      <c r="J51" s="16"/>
      <c r="K51" s="16"/>
      <c r="L51" s="16"/>
      <c r="M51" s="16"/>
      <c r="N51" s="16"/>
      <c r="O51" s="16"/>
      <c r="P51" s="16"/>
      <c r="Q51" s="19">
        <f>SUM(E51:P51)</f>
        <v>0</v>
      </c>
      <c r="S51" s="16"/>
      <c r="T51" s="16"/>
      <c r="U51" s="16"/>
      <c r="V51" s="16"/>
      <c r="W51" s="16"/>
      <c r="X51" s="16"/>
      <c r="Y51" s="16"/>
      <c r="Z51" s="16"/>
      <c r="AA51" s="16"/>
      <c r="AB51" s="16"/>
      <c r="AC51" s="16"/>
      <c r="AD51" s="16"/>
      <c r="AE51" s="19">
        <f t="shared" si="2"/>
        <v>0</v>
      </c>
      <c r="AG51" s="16"/>
      <c r="AH51" s="16"/>
      <c r="AI51" s="16"/>
      <c r="AJ51" s="16"/>
      <c r="AK51" s="16"/>
      <c r="AL51" s="16"/>
      <c r="AM51" s="16"/>
      <c r="AN51" s="16"/>
      <c r="AO51" s="16"/>
      <c r="AP51" s="16"/>
      <c r="AQ51" s="16"/>
      <c r="AR51" s="16"/>
      <c r="AS51" s="19">
        <f t="shared" si="3"/>
        <v>0</v>
      </c>
      <c r="AU51" s="16"/>
      <c r="AV51" s="16"/>
      <c r="AW51" s="16"/>
      <c r="AX51" s="16"/>
      <c r="AY51" s="16"/>
      <c r="AZ51" s="16"/>
      <c r="BA51" s="16"/>
      <c r="BB51" s="16"/>
      <c r="BC51" s="16"/>
      <c r="BD51" s="16"/>
      <c r="BE51" s="16"/>
      <c r="BF51" s="16"/>
      <c r="BG51" s="19">
        <f t="shared" si="4"/>
        <v>0</v>
      </c>
      <c r="BI51" s="16"/>
      <c r="BJ51" s="16"/>
      <c r="BK51" s="16"/>
      <c r="BL51" s="16"/>
      <c r="BM51" s="16"/>
      <c r="BN51" s="16"/>
      <c r="BO51" s="16"/>
      <c r="BP51" s="16"/>
      <c r="BQ51" s="16"/>
      <c r="BR51" s="16"/>
      <c r="BS51" s="16"/>
      <c r="BT51" s="16"/>
      <c r="BU51" s="19">
        <f t="shared" si="5"/>
        <v>0</v>
      </c>
      <c r="BW51" s="16"/>
      <c r="BX51" s="16"/>
      <c r="BY51" s="16"/>
      <c r="BZ51" s="16"/>
      <c r="CA51" s="16"/>
      <c r="CB51" s="16"/>
      <c r="CC51" s="16"/>
      <c r="CD51" s="16"/>
      <c r="CE51" s="16"/>
      <c r="CF51" s="16"/>
      <c r="CG51" s="16"/>
      <c r="CH51" s="16"/>
      <c r="CI51" s="19">
        <f t="shared" si="6"/>
        <v>0</v>
      </c>
      <c r="CK51" s="16"/>
      <c r="CL51" s="16"/>
      <c r="CM51" s="16"/>
      <c r="CN51" s="16"/>
      <c r="CO51" s="16"/>
      <c r="CP51" s="16"/>
      <c r="CQ51" s="16"/>
      <c r="CR51" s="16"/>
      <c r="CS51" s="16"/>
      <c r="CT51" s="16"/>
      <c r="CU51" s="16"/>
      <c r="CV51" s="16"/>
      <c r="CW51" s="19">
        <f t="shared" si="7"/>
        <v>0</v>
      </c>
      <c r="CY51" s="16"/>
      <c r="CZ51" s="16"/>
      <c r="DA51" s="16"/>
      <c r="DB51" s="16"/>
      <c r="DC51" s="16"/>
      <c r="DD51" s="16"/>
      <c r="DE51" s="16"/>
      <c r="DF51" s="16"/>
      <c r="DG51" s="16"/>
      <c r="DH51" s="16"/>
      <c r="DI51" s="16"/>
      <c r="DJ51" s="16"/>
      <c r="DK51" s="19">
        <f t="shared" si="8"/>
        <v>0</v>
      </c>
      <c r="DM51" s="16"/>
      <c r="DN51" s="16"/>
      <c r="DO51" s="16"/>
      <c r="DP51" s="16"/>
      <c r="DQ51" s="16"/>
      <c r="DR51" s="16"/>
      <c r="DS51" s="16"/>
      <c r="DT51" s="16"/>
      <c r="DU51" s="16"/>
      <c r="DV51" s="16"/>
      <c r="DW51" s="16"/>
      <c r="DX51" s="16"/>
      <c r="DY51" s="19">
        <f t="shared" si="9"/>
        <v>0</v>
      </c>
      <c r="EA51" s="16"/>
      <c r="EB51" s="16"/>
      <c r="EC51" s="16"/>
      <c r="ED51" s="16"/>
      <c r="EE51" s="16"/>
      <c r="EF51" s="16"/>
      <c r="EG51" s="16"/>
      <c r="EH51" s="16"/>
      <c r="EI51" s="16"/>
      <c r="EJ51" s="16"/>
      <c r="EK51" s="16"/>
      <c r="EL51" s="16"/>
      <c r="EM51" s="19">
        <f t="shared" si="10"/>
        <v>0</v>
      </c>
      <c r="EO51" s="16"/>
      <c r="EP51" s="16"/>
      <c r="EQ51" s="16"/>
      <c r="ER51" s="16"/>
      <c r="ES51" s="16"/>
      <c r="ET51" s="16"/>
      <c r="EU51" s="16"/>
      <c r="EV51" s="16"/>
      <c r="EW51" s="16"/>
      <c r="EX51" s="16"/>
      <c r="EY51" s="16"/>
      <c r="EZ51" s="16"/>
      <c r="FA51" s="19">
        <f t="shared" si="11"/>
        <v>0</v>
      </c>
      <c r="FC51" s="16"/>
      <c r="FD51" s="16"/>
      <c r="FE51" s="16"/>
      <c r="FF51" s="16"/>
      <c r="FG51" s="16"/>
      <c r="FH51" s="16"/>
      <c r="FI51" s="16"/>
      <c r="FJ51" s="16"/>
      <c r="FK51" s="16"/>
      <c r="FL51" s="16"/>
      <c r="FM51" s="16"/>
      <c r="FN51" s="16"/>
      <c r="FO51" s="19">
        <f t="shared" si="12"/>
        <v>0</v>
      </c>
      <c r="FQ51" s="16"/>
      <c r="FR51" s="16"/>
      <c r="FS51" s="16"/>
      <c r="FT51" s="16"/>
      <c r="FU51" s="16"/>
      <c r="FV51" s="16"/>
      <c r="FW51" s="16"/>
      <c r="FX51" s="16"/>
      <c r="FY51" s="16"/>
      <c r="FZ51" s="16"/>
      <c r="GA51" s="16"/>
      <c r="GB51" s="16"/>
      <c r="GC51" s="19">
        <f t="shared" si="13"/>
        <v>0</v>
      </c>
      <c r="GE51" s="16"/>
      <c r="GF51" s="16"/>
      <c r="GG51" s="16"/>
      <c r="GH51" s="16"/>
      <c r="GI51" s="16"/>
      <c r="GJ51" s="16"/>
      <c r="GK51" s="16"/>
      <c r="GL51" s="16"/>
      <c r="GM51" s="16"/>
      <c r="GN51" s="16"/>
      <c r="GO51" s="16"/>
      <c r="GP51" s="16"/>
      <c r="GQ51" s="19">
        <f t="shared" si="14"/>
        <v>0</v>
      </c>
      <c r="GS51" s="16"/>
      <c r="GT51" s="16"/>
      <c r="GU51" s="16"/>
      <c r="GV51" s="16"/>
      <c r="GW51" s="16"/>
      <c r="GX51" s="16"/>
      <c r="GY51" s="16"/>
      <c r="GZ51" s="16"/>
      <c r="HA51" s="16"/>
      <c r="HB51" s="16"/>
      <c r="HC51" s="16"/>
      <c r="HD51" s="16"/>
      <c r="HE51" s="19">
        <f t="shared" si="15"/>
        <v>0</v>
      </c>
      <c r="HG51" s="16"/>
      <c r="HH51" s="16"/>
      <c r="HI51" s="16"/>
      <c r="HJ51" s="16"/>
      <c r="HK51" s="16"/>
      <c r="HL51" s="16"/>
      <c r="HM51" s="16"/>
      <c r="HN51" s="16"/>
      <c r="HO51" s="16"/>
      <c r="HP51" s="16"/>
      <c r="HQ51" s="16"/>
      <c r="HR51" s="16"/>
      <c r="HS51" s="19">
        <f t="shared" si="16"/>
        <v>0</v>
      </c>
      <c r="HU51" s="16"/>
      <c r="HV51" s="16"/>
      <c r="HW51" s="16"/>
      <c r="HX51" s="16"/>
      <c r="HY51" s="16"/>
      <c r="HZ51" s="16"/>
      <c r="IA51" s="16"/>
      <c r="IB51" s="16"/>
      <c r="IC51" s="16"/>
      <c r="ID51" s="16"/>
      <c r="IE51" s="16"/>
      <c r="IF51" s="16"/>
      <c r="IG51" s="19">
        <f t="shared" si="17"/>
        <v>0</v>
      </c>
    </row>
    <row r="52" spans="3:241" x14ac:dyDescent="0.2">
      <c r="C52" s="12" t="s">
        <v>12</v>
      </c>
      <c r="E52" s="18" cm="1">
        <f t="array" aca="1" ref="E52" ca="1">SUM(INDIRECT(ADDRESS(expenses_min_row, COLUMN()) &amp; ":" &amp; ADDRESS(expenses_max_row, COLUMN())))</f>
        <v>0</v>
      </c>
      <c r="F52" s="18" cm="1">
        <f t="array" aca="1" ref="F52" ca="1">SUM(INDIRECT(ADDRESS(expenses_min_row, COLUMN()) &amp; ":" &amp; ADDRESS(expenses_max_row, COLUMN())))</f>
        <v>0</v>
      </c>
      <c r="G52" s="18" cm="1">
        <f t="array" aca="1" ref="G52" ca="1">SUM(INDIRECT(ADDRESS(expenses_min_row, COLUMN()) &amp; ":" &amp; ADDRESS(expenses_max_row, COLUMN())))</f>
        <v>0</v>
      </c>
      <c r="H52" s="18" cm="1">
        <f t="array" aca="1" ref="H52" ca="1">SUM(INDIRECT(ADDRESS(expenses_min_row, COLUMN()) &amp; ":" &amp; ADDRESS(expenses_max_row, COLUMN())))</f>
        <v>0</v>
      </c>
      <c r="I52" s="18" cm="1">
        <f t="array" aca="1" ref="I52" ca="1">SUM(INDIRECT(ADDRESS(expenses_min_row, COLUMN()) &amp; ":" &amp; ADDRESS(expenses_max_row, COLUMN())))</f>
        <v>0</v>
      </c>
      <c r="J52" s="18" cm="1">
        <f t="array" aca="1" ref="J52" ca="1">SUM(INDIRECT(ADDRESS(expenses_min_row, COLUMN()) &amp; ":" &amp; ADDRESS(expenses_max_row, COLUMN())))</f>
        <v>0</v>
      </c>
      <c r="K52" s="18" cm="1">
        <f t="array" aca="1" ref="K52" ca="1">SUM(INDIRECT(ADDRESS(expenses_min_row, COLUMN()) &amp; ":" &amp; ADDRESS(expenses_max_row, COLUMN())))</f>
        <v>0</v>
      </c>
      <c r="L52" s="18" cm="1">
        <f t="array" aca="1" ref="L52" ca="1">SUM(INDIRECT(ADDRESS(expenses_min_row, COLUMN()) &amp; ":" &amp; ADDRESS(expenses_max_row, COLUMN())))</f>
        <v>7313.35</v>
      </c>
      <c r="M52" s="18" cm="1">
        <f t="array" aca="1" ref="M52" ca="1">SUM(INDIRECT(ADDRESS(expenses_min_row, COLUMN()) &amp; ":" &amp; ADDRESS(expenses_max_row, COLUMN())))</f>
        <v>5868.35</v>
      </c>
      <c r="N52" s="18" cm="1">
        <f t="array" aca="1" ref="N52" ca="1">SUM(INDIRECT(ADDRESS(expenses_min_row, COLUMN()) &amp; ":" &amp; ADDRESS(expenses_max_row, COLUMN())))</f>
        <v>6758.35</v>
      </c>
      <c r="O52" s="18" cm="1">
        <f t="array" aca="1" ref="O52" ca="1">SUM(INDIRECT(ADDRESS(expenses_min_row, COLUMN()) &amp; ":" &amp; ADDRESS(expenses_max_row, COLUMN())))</f>
        <v>5313.35</v>
      </c>
      <c r="P52" s="18" cm="1">
        <f t="array" aca="1" ref="P52" ca="1">SUM(INDIRECT(ADDRESS(expenses_min_row, COLUMN()) &amp; ":" &amp; ADDRESS(expenses_max_row, COLUMN())))</f>
        <v>6411.35</v>
      </c>
      <c r="Q52" s="18" cm="1">
        <f t="array" aca="1" ref="Q52" ca="1">SUM(INDIRECT(ADDRESS(expenses_min_row, COLUMN()) &amp; ":" &amp; ADDRESS(expenses_max_row, COLUMN())))</f>
        <v>32164.35</v>
      </c>
      <c r="S52" s="18" cm="1">
        <f t="array" aca="1" ref="S52" ca="1">SUM(INDIRECT(ADDRESS(expenses_min_row, COLUMN()) &amp; ":" &amp; ADDRESS(expenses_max_row, COLUMN())))</f>
        <v>4318.9033333333327</v>
      </c>
      <c r="T52" s="18" cm="1">
        <f t="array" aca="1" ref="T52" ca="1">SUM(INDIRECT(ADDRESS(expenses_min_row, COLUMN()) &amp; ":" &amp; ADDRESS(expenses_max_row, COLUMN())))</f>
        <v>4318.6533333333327</v>
      </c>
      <c r="U52" s="18" cm="1">
        <f t="array" aca="1" ref="U52" ca="1">SUM(INDIRECT(ADDRESS(expenses_min_row, COLUMN()) &amp; ":" &amp; ADDRESS(expenses_max_row, COLUMN())))</f>
        <v>4318.6533333333327</v>
      </c>
      <c r="V52" s="18" cm="1">
        <f t="array" aca="1" ref="V52" ca="1">SUM(INDIRECT(ADDRESS(expenses_min_row, COLUMN()) &amp; ":" &amp; ADDRESS(expenses_max_row, COLUMN())))</f>
        <v>4318.6533333333327</v>
      </c>
      <c r="W52" s="18" cm="1">
        <f t="array" aca="1" ref="W52" ca="1">SUM(INDIRECT(ADDRESS(expenses_min_row, COLUMN()) &amp; ":" &amp; ADDRESS(expenses_max_row, COLUMN())))</f>
        <v>4318.6533333333327</v>
      </c>
      <c r="X52" s="18" cm="1">
        <f t="array" aca="1" ref="X52" ca="1">SUM(INDIRECT(ADDRESS(expenses_min_row, COLUMN()) &amp; ":" &amp; ADDRESS(expenses_max_row, COLUMN())))</f>
        <v>4318.6533333333327</v>
      </c>
      <c r="Y52" s="18" cm="1">
        <f t="array" aca="1" ref="Y52" ca="1">SUM(INDIRECT(ADDRESS(expenses_min_row, COLUMN()) &amp; ":" &amp; ADDRESS(expenses_max_row, COLUMN())))</f>
        <v>4318.6533333333327</v>
      </c>
      <c r="Z52" s="18" cm="1">
        <f t="array" aca="1" ref="Z52" ca="1">SUM(INDIRECT(ADDRESS(expenses_min_row, COLUMN()) &amp; ":" &amp; ADDRESS(expenses_max_row, COLUMN())))</f>
        <v>4318.6533333333327</v>
      </c>
      <c r="AA52" s="18" cm="1">
        <f t="array" aca="1" ref="AA52" ca="1">SUM(INDIRECT(ADDRESS(expenses_min_row, COLUMN()) &amp; ":" &amp; ADDRESS(expenses_max_row, COLUMN())))</f>
        <v>4318.6533333333327</v>
      </c>
      <c r="AB52" s="18" cm="1">
        <f t="array" aca="1" ref="AB52" ca="1">SUM(INDIRECT(ADDRESS(expenses_min_row, COLUMN()) &amp; ":" &amp; ADDRESS(expenses_max_row, COLUMN())))</f>
        <v>4318.6533333333327</v>
      </c>
      <c r="AC52" s="18" cm="1">
        <f t="array" aca="1" ref="AC52" ca="1">SUM(INDIRECT(ADDRESS(expenses_min_row, COLUMN()) &amp; ":" &amp; ADDRESS(expenses_max_row, COLUMN())))</f>
        <v>4318.6533333333327</v>
      </c>
      <c r="AD52" s="18" cm="1">
        <f t="array" aca="1" ref="AD52" ca="1">SUM(INDIRECT(ADDRESS(expenses_min_row, COLUMN()) &amp; ":" &amp; ADDRESS(expenses_max_row, COLUMN())))</f>
        <v>4318.6533333333327</v>
      </c>
      <c r="AE52" s="18" cm="1">
        <f t="array" aca="1" ref="AE52" ca="1">SUM(INDIRECT(ADDRESS(expenses_min_row, COLUMN()) &amp; ":" &amp; ADDRESS(expenses_max_row, COLUMN())))</f>
        <v>51826.92</v>
      </c>
      <c r="AG52" s="18" cm="1">
        <f t="array" aca="1" ref="AG52" ca="1">SUM(INDIRECT(ADDRESS(expenses_min_row, COLUMN()) &amp; ":" &amp; ADDRESS(expenses_max_row, COLUMN())))</f>
        <v>0</v>
      </c>
      <c r="AH52" s="18" cm="1">
        <f t="array" aca="1" ref="AH52" ca="1">SUM(INDIRECT(ADDRESS(expenses_min_row, COLUMN()) &amp; ":" &amp; ADDRESS(expenses_max_row, COLUMN())))</f>
        <v>0</v>
      </c>
      <c r="AI52" s="18" cm="1">
        <f t="array" aca="1" ref="AI52" ca="1">SUM(INDIRECT(ADDRESS(expenses_min_row, COLUMN()) &amp; ":" &amp; ADDRESS(expenses_max_row, COLUMN())))</f>
        <v>0</v>
      </c>
      <c r="AJ52" s="18" cm="1">
        <f t="array" aca="1" ref="AJ52" ca="1">SUM(INDIRECT(ADDRESS(expenses_min_row, COLUMN()) &amp; ":" &amp; ADDRESS(expenses_max_row, COLUMN())))</f>
        <v>0</v>
      </c>
      <c r="AK52" s="18" cm="1">
        <f t="array" aca="1" ref="AK52" ca="1">SUM(INDIRECT(ADDRESS(expenses_min_row, COLUMN()) &amp; ":" &amp; ADDRESS(expenses_max_row, COLUMN())))</f>
        <v>0</v>
      </c>
      <c r="AL52" s="18" cm="1">
        <f t="array" aca="1" ref="AL52" ca="1">SUM(INDIRECT(ADDRESS(expenses_min_row, COLUMN()) &amp; ":" &amp; ADDRESS(expenses_max_row, COLUMN())))</f>
        <v>0</v>
      </c>
      <c r="AM52" s="18" cm="1">
        <f t="array" aca="1" ref="AM52" ca="1">SUM(INDIRECT(ADDRESS(expenses_min_row, COLUMN()) &amp; ":" &amp; ADDRESS(expenses_max_row, COLUMN())))</f>
        <v>0</v>
      </c>
      <c r="AN52" s="18" cm="1">
        <f t="array" aca="1" ref="AN52" ca="1">SUM(INDIRECT(ADDRESS(expenses_min_row, COLUMN()) &amp; ":" &amp; ADDRESS(expenses_max_row, COLUMN())))</f>
        <v>0</v>
      </c>
      <c r="AO52" s="18" cm="1">
        <f t="array" aca="1" ref="AO52" ca="1">SUM(INDIRECT(ADDRESS(expenses_min_row, COLUMN()) &amp; ":" &amp; ADDRESS(expenses_max_row, COLUMN())))</f>
        <v>0</v>
      </c>
      <c r="AP52" s="18" cm="1">
        <f t="array" aca="1" ref="AP52" ca="1">SUM(INDIRECT(ADDRESS(expenses_min_row, COLUMN()) &amp; ":" &amp; ADDRESS(expenses_max_row, COLUMN())))</f>
        <v>0</v>
      </c>
      <c r="AQ52" s="18" cm="1">
        <f t="array" aca="1" ref="AQ52" ca="1">SUM(INDIRECT(ADDRESS(expenses_min_row, COLUMN()) &amp; ":" &amp; ADDRESS(expenses_max_row, COLUMN())))</f>
        <v>0</v>
      </c>
      <c r="AR52" s="18" cm="1">
        <f t="array" aca="1" ref="AR52" ca="1">SUM(INDIRECT(ADDRESS(expenses_min_row, COLUMN()) &amp; ":" &amp; ADDRESS(expenses_max_row, COLUMN())))</f>
        <v>0</v>
      </c>
      <c r="AS52" s="18" cm="1">
        <f t="array" aca="1" ref="AS52" ca="1">SUM(INDIRECT(ADDRESS(expenses_min_row, COLUMN()) &amp; ":" &amp; ADDRESS(expenses_max_row, COLUMN())))</f>
        <v>0</v>
      </c>
      <c r="AU52" s="18" cm="1">
        <f t="array" aca="1" ref="AU52" ca="1">SUM(INDIRECT(ADDRESS(expenses_min_row, COLUMN()) &amp; ":" &amp; ADDRESS(expenses_max_row, COLUMN())))</f>
        <v>0</v>
      </c>
      <c r="AV52" s="18" cm="1">
        <f t="array" aca="1" ref="AV52" ca="1">SUM(INDIRECT(ADDRESS(expenses_min_row, COLUMN()) &amp; ":" &amp; ADDRESS(expenses_max_row, COLUMN())))</f>
        <v>0</v>
      </c>
      <c r="AW52" s="18" cm="1">
        <f t="array" aca="1" ref="AW52" ca="1">SUM(INDIRECT(ADDRESS(expenses_min_row, COLUMN()) &amp; ":" &amp; ADDRESS(expenses_max_row, COLUMN())))</f>
        <v>0</v>
      </c>
      <c r="AX52" s="18" cm="1">
        <f t="array" aca="1" ref="AX52" ca="1">SUM(INDIRECT(ADDRESS(expenses_min_row, COLUMN()) &amp; ":" &amp; ADDRESS(expenses_max_row, COLUMN())))</f>
        <v>0</v>
      </c>
      <c r="AY52" s="18" cm="1">
        <f t="array" aca="1" ref="AY52" ca="1">SUM(INDIRECT(ADDRESS(expenses_min_row, COLUMN()) &amp; ":" &amp; ADDRESS(expenses_max_row, COLUMN())))</f>
        <v>0</v>
      </c>
      <c r="AZ52" s="18" cm="1">
        <f t="array" aca="1" ref="AZ52" ca="1">SUM(INDIRECT(ADDRESS(expenses_min_row, COLUMN()) &amp; ":" &amp; ADDRESS(expenses_max_row, COLUMN())))</f>
        <v>0</v>
      </c>
      <c r="BA52" s="18" cm="1">
        <f t="array" aca="1" ref="BA52" ca="1">SUM(INDIRECT(ADDRESS(expenses_min_row, COLUMN()) &amp; ":" &amp; ADDRESS(expenses_max_row, COLUMN())))</f>
        <v>0</v>
      </c>
      <c r="BB52" s="18" cm="1">
        <f t="array" aca="1" ref="BB52" ca="1">SUM(INDIRECT(ADDRESS(expenses_min_row, COLUMN()) &amp; ":" &amp; ADDRESS(expenses_max_row, COLUMN())))</f>
        <v>0</v>
      </c>
      <c r="BC52" s="18" cm="1">
        <f t="array" aca="1" ref="BC52" ca="1">SUM(INDIRECT(ADDRESS(expenses_min_row, COLUMN()) &amp; ":" &amp; ADDRESS(expenses_max_row, COLUMN())))</f>
        <v>0</v>
      </c>
      <c r="BD52" s="18" cm="1">
        <f t="array" aca="1" ref="BD52" ca="1">SUM(INDIRECT(ADDRESS(expenses_min_row, COLUMN()) &amp; ":" &amp; ADDRESS(expenses_max_row, COLUMN())))</f>
        <v>0</v>
      </c>
      <c r="BE52" s="18" cm="1">
        <f t="array" aca="1" ref="BE52" ca="1">SUM(INDIRECT(ADDRESS(expenses_min_row, COLUMN()) &amp; ":" &amp; ADDRESS(expenses_max_row, COLUMN())))</f>
        <v>0</v>
      </c>
      <c r="BF52" s="18" cm="1">
        <f t="array" aca="1" ref="BF52" ca="1">SUM(INDIRECT(ADDRESS(expenses_min_row, COLUMN()) &amp; ":" &amp; ADDRESS(expenses_max_row, COLUMN())))</f>
        <v>0</v>
      </c>
      <c r="BG52" s="18" cm="1">
        <f t="array" aca="1" ref="BG52" ca="1">SUM(INDIRECT(ADDRESS(expenses_min_row, COLUMN()) &amp; ":" &amp; ADDRESS(expenses_max_row, COLUMN())))</f>
        <v>0</v>
      </c>
      <c r="BI52" s="18" cm="1">
        <f t="array" aca="1" ref="BI52" ca="1">SUM(INDIRECT(ADDRESS(expenses_min_row, COLUMN()) &amp; ":" &amp; ADDRESS(expenses_max_row, COLUMN())))</f>
        <v>0</v>
      </c>
      <c r="BJ52" s="18" cm="1">
        <f t="array" aca="1" ref="BJ52" ca="1">SUM(INDIRECT(ADDRESS(expenses_min_row, COLUMN()) &amp; ":" &amp; ADDRESS(expenses_max_row, COLUMN())))</f>
        <v>0</v>
      </c>
      <c r="BK52" s="18" cm="1">
        <f t="array" aca="1" ref="BK52" ca="1">SUM(INDIRECT(ADDRESS(expenses_min_row, COLUMN()) &amp; ":" &amp; ADDRESS(expenses_max_row, COLUMN())))</f>
        <v>0</v>
      </c>
      <c r="BL52" s="18" cm="1">
        <f t="array" aca="1" ref="BL52" ca="1">SUM(INDIRECT(ADDRESS(expenses_min_row, COLUMN()) &amp; ":" &amp; ADDRESS(expenses_max_row, COLUMN())))</f>
        <v>0</v>
      </c>
      <c r="BM52" s="18" cm="1">
        <f t="array" aca="1" ref="BM52" ca="1">SUM(INDIRECT(ADDRESS(expenses_min_row, COLUMN()) &amp; ":" &amp; ADDRESS(expenses_max_row, COLUMN())))</f>
        <v>0</v>
      </c>
      <c r="BN52" s="18" cm="1">
        <f t="array" aca="1" ref="BN52" ca="1">SUM(INDIRECT(ADDRESS(expenses_min_row, COLUMN()) &amp; ":" &amp; ADDRESS(expenses_max_row, COLUMN())))</f>
        <v>0</v>
      </c>
      <c r="BO52" s="18" cm="1">
        <f t="array" aca="1" ref="BO52" ca="1">SUM(INDIRECT(ADDRESS(expenses_min_row, COLUMN()) &amp; ":" &amp; ADDRESS(expenses_max_row, COLUMN())))</f>
        <v>0</v>
      </c>
      <c r="BP52" s="18" cm="1">
        <f t="array" aca="1" ref="BP52" ca="1">SUM(INDIRECT(ADDRESS(expenses_min_row, COLUMN()) &amp; ":" &amp; ADDRESS(expenses_max_row, COLUMN())))</f>
        <v>0</v>
      </c>
      <c r="BQ52" s="18" cm="1">
        <f t="array" aca="1" ref="BQ52" ca="1">SUM(INDIRECT(ADDRESS(expenses_min_row, COLUMN()) &amp; ":" &amp; ADDRESS(expenses_max_row, COLUMN())))</f>
        <v>0</v>
      </c>
      <c r="BR52" s="18" cm="1">
        <f t="array" aca="1" ref="BR52" ca="1">SUM(INDIRECT(ADDRESS(expenses_min_row, COLUMN()) &amp; ":" &amp; ADDRESS(expenses_max_row, COLUMN())))</f>
        <v>0</v>
      </c>
      <c r="BS52" s="18" cm="1">
        <f t="array" aca="1" ref="BS52" ca="1">SUM(INDIRECT(ADDRESS(expenses_min_row, COLUMN()) &amp; ":" &amp; ADDRESS(expenses_max_row, COLUMN())))</f>
        <v>0</v>
      </c>
      <c r="BT52" s="18" cm="1">
        <f t="array" aca="1" ref="BT52" ca="1">SUM(INDIRECT(ADDRESS(expenses_min_row, COLUMN()) &amp; ":" &amp; ADDRESS(expenses_max_row, COLUMN())))</f>
        <v>0</v>
      </c>
      <c r="BU52" s="18" cm="1">
        <f t="array" aca="1" ref="BU52" ca="1">SUM(INDIRECT(ADDRESS(expenses_min_row, COLUMN()) &amp; ":" &amp; ADDRESS(expenses_max_row, COLUMN())))</f>
        <v>0</v>
      </c>
      <c r="BW52" s="18" cm="1">
        <f t="array" aca="1" ref="BW52" ca="1">SUM(INDIRECT(ADDRESS(expenses_min_row, COLUMN()) &amp; ":" &amp; ADDRESS(expenses_max_row, COLUMN())))</f>
        <v>0</v>
      </c>
      <c r="BX52" s="18" cm="1">
        <f t="array" aca="1" ref="BX52" ca="1">SUM(INDIRECT(ADDRESS(expenses_min_row, COLUMN()) &amp; ":" &amp; ADDRESS(expenses_max_row, COLUMN())))</f>
        <v>0</v>
      </c>
      <c r="BY52" s="18" cm="1">
        <f t="array" aca="1" ref="BY52" ca="1">SUM(INDIRECT(ADDRESS(expenses_min_row, COLUMN()) &amp; ":" &amp; ADDRESS(expenses_max_row, COLUMN())))</f>
        <v>0</v>
      </c>
      <c r="BZ52" s="18" cm="1">
        <f t="array" aca="1" ref="BZ52" ca="1">SUM(INDIRECT(ADDRESS(expenses_min_row, COLUMN()) &amp; ":" &amp; ADDRESS(expenses_max_row, COLUMN())))</f>
        <v>0</v>
      </c>
      <c r="CA52" s="18" cm="1">
        <f t="array" aca="1" ref="CA52" ca="1">SUM(INDIRECT(ADDRESS(expenses_min_row, COLUMN()) &amp; ":" &amp; ADDRESS(expenses_max_row, COLUMN())))</f>
        <v>0</v>
      </c>
      <c r="CB52" s="18" cm="1">
        <f t="array" aca="1" ref="CB52" ca="1">SUM(INDIRECT(ADDRESS(expenses_min_row, COLUMN()) &amp; ":" &amp; ADDRESS(expenses_max_row, COLUMN())))</f>
        <v>0</v>
      </c>
      <c r="CC52" s="18" cm="1">
        <f t="array" aca="1" ref="CC52" ca="1">SUM(INDIRECT(ADDRESS(expenses_min_row, COLUMN()) &amp; ":" &amp; ADDRESS(expenses_max_row, COLUMN())))</f>
        <v>0</v>
      </c>
      <c r="CD52" s="18" cm="1">
        <f t="array" aca="1" ref="CD52" ca="1">SUM(INDIRECT(ADDRESS(expenses_min_row, COLUMN()) &amp; ":" &amp; ADDRESS(expenses_max_row, COLUMN())))</f>
        <v>0</v>
      </c>
      <c r="CE52" s="18" cm="1">
        <f t="array" aca="1" ref="CE52" ca="1">SUM(INDIRECT(ADDRESS(expenses_min_row, COLUMN()) &amp; ":" &amp; ADDRESS(expenses_max_row, COLUMN())))</f>
        <v>0</v>
      </c>
      <c r="CF52" s="18" cm="1">
        <f t="array" aca="1" ref="CF52" ca="1">SUM(INDIRECT(ADDRESS(expenses_min_row, COLUMN()) &amp; ":" &amp; ADDRESS(expenses_max_row, COLUMN())))</f>
        <v>0</v>
      </c>
      <c r="CG52" s="18" cm="1">
        <f t="array" aca="1" ref="CG52" ca="1">SUM(INDIRECT(ADDRESS(expenses_min_row, COLUMN()) &amp; ":" &amp; ADDRESS(expenses_max_row, COLUMN())))</f>
        <v>0</v>
      </c>
      <c r="CH52" s="18" cm="1">
        <f t="array" aca="1" ref="CH52" ca="1">SUM(INDIRECT(ADDRESS(expenses_min_row, COLUMN()) &amp; ":" &amp; ADDRESS(expenses_max_row, COLUMN())))</f>
        <v>0</v>
      </c>
      <c r="CI52" s="18" cm="1">
        <f t="array" aca="1" ref="CI52" ca="1">SUM(INDIRECT(ADDRESS(expenses_min_row, COLUMN()) &amp; ":" &amp; ADDRESS(expenses_max_row, COLUMN())))</f>
        <v>0</v>
      </c>
      <c r="CK52" s="18" cm="1">
        <f t="array" aca="1" ref="CK52" ca="1">SUM(INDIRECT(ADDRESS(expenses_min_row, COLUMN()) &amp; ":" &amp; ADDRESS(expenses_max_row, COLUMN())))</f>
        <v>0</v>
      </c>
      <c r="CL52" s="18" cm="1">
        <f t="array" aca="1" ref="CL52" ca="1">SUM(INDIRECT(ADDRESS(expenses_min_row, COLUMN()) &amp; ":" &amp; ADDRESS(expenses_max_row, COLUMN())))</f>
        <v>0</v>
      </c>
      <c r="CM52" s="18" cm="1">
        <f t="array" aca="1" ref="CM52" ca="1">SUM(INDIRECT(ADDRESS(expenses_min_row, COLUMN()) &amp; ":" &amp; ADDRESS(expenses_max_row, COLUMN())))</f>
        <v>0</v>
      </c>
      <c r="CN52" s="18" cm="1">
        <f t="array" aca="1" ref="CN52" ca="1">SUM(INDIRECT(ADDRESS(expenses_min_row, COLUMN()) &amp; ":" &amp; ADDRESS(expenses_max_row, COLUMN())))</f>
        <v>0</v>
      </c>
      <c r="CO52" s="18" cm="1">
        <f t="array" aca="1" ref="CO52" ca="1">SUM(INDIRECT(ADDRESS(expenses_min_row, COLUMN()) &amp; ":" &amp; ADDRESS(expenses_max_row, COLUMN())))</f>
        <v>0</v>
      </c>
      <c r="CP52" s="18" cm="1">
        <f t="array" aca="1" ref="CP52" ca="1">SUM(INDIRECT(ADDRESS(expenses_min_row, COLUMN()) &amp; ":" &amp; ADDRESS(expenses_max_row, COLUMN())))</f>
        <v>0</v>
      </c>
      <c r="CQ52" s="18" cm="1">
        <f t="array" aca="1" ref="CQ52" ca="1">SUM(INDIRECT(ADDRESS(expenses_min_row, COLUMN()) &amp; ":" &amp; ADDRESS(expenses_max_row, COLUMN())))</f>
        <v>0</v>
      </c>
      <c r="CR52" s="18" cm="1">
        <f t="array" aca="1" ref="CR52" ca="1">SUM(INDIRECT(ADDRESS(expenses_min_row, COLUMN()) &amp; ":" &amp; ADDRESS(expenses_max_row, COLUMN())))</f>
        <v>0</v>
      </c>
      <c r="CS52" s="18" cm="1">
        <f t="array" aca="1" ref="CS52" ca="1">SUM(INDIRECT(ADDRESS(expenses_min_row, COLUMN()) &amp; ":" &amp; ADDRESS(expenses_max_row, COLUMN())))</f>
        <v>0</v>
      </c>
      <c r="CT52" s="18" cm="1">
        <f t="array" aca="1" ref="CT52" ca="1">SUM(INDIRECT(ADDRESS(expenses_min_row, COLUMN()) &amp; ":" &amp; ADDRESS(expenses_max_row, COLUMN())))</f>
        <v>0</v>
      </c>
      <c r="CU52" s="18" cm="1">
        <f t="array" aca="1" ref="CU52" ca="1">SUM(INDIRECT(ADDRESS(expenses_min_row, COLUMN()) &amp; ":" &amp; ADDRESS(expenses_max_row, COLUMN())))</f>
        <v>0</v>
      </c>
      <c r="CV52" s="18" cm="1">
        <f t="array" aca="1" ref="CV52" ca="1">SUM(INDIRECT(ADDRESS(expenses_min_row, COLUMN()) &amp; ":" &amp; ADDRESS(expenses_max_row, COLUMN())))</f>
        <v>0</v>
      </c>
      <c r="CW52" s="18" cm="1">
        <f t="array" aca="1" ref="CW52" ca="1">SUM(INDIRECT(ADDRESS(expenses_min_row, COLUMN()) &amp; ":" &amp; ADDRESS(expenses_max_row, COLUMN())))</f>
        <v>0</v>
      </c>
      <c r="CY52" s="18" cm="1">
        <f t="array" aca="1" ref="CY52" ca="1">SUM(INDIRECT(ADDRESS(expenses_min_row, COLUMN()) &amp; ":" &amp; ADDRESS(expenses_max_row, COLUMN())))</f>
        <v>0</v>
      </c>
      <c r="CZ52" s="18" cm="1">
        <f t="array" aca="1" ref="CZ52" ca="1">SUM(INDIRECT(ADDRESS(expenses_min_row, COLUMN()) &amp; ":" &amp; ADDRESS(expenses_max_row, COLUMN())))</f>
        <v>0</v>
      </c>
      <c r="DA52" s="18" cm="1">
        <f t="array" aca="1" ref="DA52" ca="1">SUM(INDIRECT(ADDRESS(expenses_min_row, COLUMN()) &amp; ":" &amp; ADDRESS(expenses_max_row, COLUMN())))</f>
        <v>0</v>
      </c>
      <c r="DB52" s="18" cm="1">
        <f t="array" aca="1" ref="DB52" ca="1">SUM(INDIRECT(ADDRESS(expenses_min_row, COLUMN()) &amp; ":" &amp; ADDRESS(expenses_max_row, COLUMN())))</f>
        <v>0</v>
      </c>
      <c r="DC52" s="18" cm="1">
        <f t="array" aca="1" ref="DC52" ca="1">SUM(INDIRECT(ADDRESS(expenses_min_row, COLUMN()) &amp; ":" &amp; ADDRESS(expenses_max_row, COLUMN())))</f>
        <v>0</v>
      </c>
      <c r="DD52" s="18" cm="1">
        <f t="array" aca="1" ref="DD52" ca="1">SUM(INDIRECT(ADDRESS(expenses_min_row, COLUMN()) &amp; ":" &amp; ADDRESS(expenses_max_row, COLUMN())))</f>
        <v>0</v>
      </c>
      <c r="DE52" s="18" cm="1">
        <f t="array" aca="1" ref="DE52" ca="1">SUM(INDIRECT(ADDRESS(expenses_min_row, COLUMN()) &amp; ":" &amp; ADDRESS(expenses_max_row, COLUMN())))</f>
        <v>0</v>
      </c>
      <c r="DF52" s="18" cm="1">
        <f t="array" aca="1" ref="DF52" ca="1">SUM(INDIRECT(ADDRESS(expenses_min_row, COLUMN()) &amp; ":" &amp; ADDRESS(expenses_max_row, COLUMN())))</f>
        <v>0</v>
      </c>
      <c r="DG52" s="18" cm="1">
        <f t="array" aca="1" ref="DG52" ca="1">SUM(INDIRECT(ADDRESS(expenses_min_row, COLUMN()) &amp; ":" &amp; ADDRESS(expenses_max_row, COLUMN())))</f>
        <v>0</v>
      </c>
      <c r="DH52" s="18" cm="1">
        <f t="array" aca="1" ref="DH52" ca="1">SUM(INDIRECT(ADDRESS(expenses_min_row, COLUMN()) &amp; ":" &amp; ADDRESS(expenses_max_row, COLUMN())))</f>
        <v>0</v>
      </c>
      <c r="DI52" s="18" cm="1">
        <f t="array" aca="1" ref="DI52" ca="1">SUM(INDIRECT(ADDRESS(expenses_min_row, COLUMN()) &amp; ":" &amp; ADDRESS(expenses_max_row, COLUMN())))</f>
        <v>0</v>
      </c>
      <c r="DJ52" s="18" cm="1">
        <f t="array" aca="1" ref="DJ52" ca="1">SUM(INDIRECT(ADDRESS(expenses_min_row, COLUMN()) &amp; ":" &amp; ADDRESS(expenses_max_row, COLUMN())))</f>
        <v>0</v>
      </c>
      <c r="DK52" s="18" cm="1">
        <f t="array" aca="1" ref="DK52" ca="1">SUM(INDIRECT(ADDRESS(expenses_min_row, COLUMN()) &amp; ":" &amp; ADDRESS(expenses_max_row, COLUMN())))</f>
        <v>0</v>
      </c>
      <c r="DM52" s="18" cm="1">
        <f t="array" aca="1" ref="DM52" ca="1">SUM(INDIRECT(ADDRESS(expenses_min_row, COLUMN()) &amp; ":" &amp; ADDRESS(expenses_max_row, COLUMN())))</f>
        <v>0</v>
      </c>
      <c r="DN52" s="18" cm="1">
        <f t="array" aca="1" ref="DN52" ca="1">SUM(INDIRECT(ADDRESS(expenses_min_row, COLUMN()) &amp; ":" &amp; ADDRESS(expenses_max_row, COLUMN())))</f>
        <v>0</v>
      </c>
      <c r="DO52" s="18" cm="1">
        <f t="array" aca="1" ref="DO52" ca="1">SUM(INDIRECT(ADDRESS(expenses_min_row, COLUMN()) &amp; ":" &amp; ADDRESS(expenses_max_row, COLUMN())))</f>
        <v>0</v>
      </c>
      <c r="DP52" s="18" cm="1">
        <f t="array" aca="1" ref="DP52" ca="1">SUM(INDIRECT(ADDRESS(expenses_min_row, COLUMN()) &amp; ":" &amp; ADDRESS(expenses_max_row, COLUMN())))</f>
        <v>0</v>
      </c>
      <c r="DQ52" s="18" cm="1">
        <f t="array" aca="1" ref="DQ52" ca="1">SUM(INDIRECT(ADDRESS(expenses_min_row, COLUMN()) &amp; ":" &amp; ADDRESS(expenses_max_row, COLUMN())))</f>
        <v>0</v>
      </c>
      <c r="DR52" s="18" cm="1">
        <f t="array" aca="1" ref="DR52" ca="1">SUM(INDIRECT(ADDRESS(expenses_min_row, COLUMN()) &amp; ":" &amp; ADDRESS(expenses_max_row, COLUMN())))</f>
        <v>0</v>
      </c>
      <c r="DS52" s="18" cm="1">
        <f t="array" aca="1" ref="DS52" ca="1">SUM(INDIRECT(ADDRESS(expenses_min_row, COLUMN()) &amp; ":" &amp; ADDRESS(expenses_max_row, COLUMN())))</f>
        <v>0</v>
      </c>
      <c r="DT52" s="18" cm="1">
        <f t="array" aca="1" ref="DT52" ca="1">SUM(INDIRECT(ADDRESS(expenses_min_row, COLUMN()) &amp; ":" &amp; ADDRESS(expenses_max_row, COLUMN())))</f>
        <v>0</v>
      </c>
      <c r="DU52" s="18" cm="1">
        <f t="array" aca="1" ref="DU52" ca="1">SUM(INDIRECT(ADDRESS(expenses_min_row, COLUMN()) &amp; ":" &amp; ADDRESS(expenses_max_row, COLUMN())))</f>
        <v>0</v>
      </c>
      <c r="DV52" s="18" cm="1">
        <f t="array" aca="1" ref="DV52" ca="1">SUM(INDIRECT(ADDRESS(expenses_min_row, COLUMN()) &amp; ":" &amp; ADDRESS(expenses_max_row, COLUMN())))</f>
        <v>0</v>
      </c>
      <c r="DW52" s="18" cm="1">
        <f t="array" aca="1" ref="DW52" ca="1">SUM(INDIRECT(ADDRESS(expenses_min_row, COLUMN()) &amp; ":" &amp; ADDRESS(expenses_max_row, COLUMN())))</f>
        <v>0</v>
      </c>
      <c r="DX52" s="18" cm="1">
        <f t="array" aca="1" ref="DX52" ca="1">SUM(INDIRECT(ADDRESS(expenses_min_row, COLUMN()) &amp; ":" &amp; ADDRESS(expenses_max_row, COLUMN())))</f>
        <v>0</v>
      </c>
      <c r="DY52" s="18" cm="1">
        <f t="array" aca="1" ref="DY52" ca="1">SUM(INDIRECT(ADDRESS(expenses_min_row, COLUMN()) &amp; ":" &amp; ADDRESS(expenses_max_row, COLUMN())))</f>
        <v>0</v>
      </c>
      <c r="EA52" s="18" cm="1">
        <f t="array" aca="1" ref="EA52" ca="1">SUM(INDIRECT(ADDRESS(expenses_min_row, COLUMN()) &amp; ":" &amp; ADDRESS(expenses_max_row, COLUMN())))</f>
        <v>0</v>
      </c>
      <c r="EB52" s="18" cm="1">
        <f t="array" aca="1" ref="EB52" ca="1">SUM(INDIRECT(ADDRESS(expenses_min_row, COLUMN()) &amp; ":" &amp; ADDRESS(expenses_max_row, COLUMN())))</f>
        <v>0</v>
      </c>
      <c r="EC52" s="18" cm="1">
        <f t="array" aca="1" ref="EC52" ca="1">SUM(INDIRECT(ADDRESS(expenses_min_row, COLUMN()) &amp; ":" &amp; ADDRESS(expenses_max_row, COLUMN())))</f>
        <v>0</v>
      </c>
      <c r="ED52" s="18" cm="1">
        <f t="array" aca="1" ref="ED52" ca="1">SUM(INDIRECT(ADDRESS(expenses_min_row, COLUMN()) &amp; ":" &amp; ADDRESS(expenses_max_row, COLUMN())))</f>
        <v>0</v>
      </c>
      <c r="EE52" s="18" cm="1">
        <f t="array" aca="1" ref="EE52" ca="1">SUM(INDIRECT(ADDRESS(expenses_min_row, COLUMN()) &amp; ":" &amp; ADDRESS(expenses_max_row, COLUMN())))</f>
        <v>0</v>
      </c>
      <c r="EF52" s="18" cm="1">
        <f t="array" aca="1" ref="EF52" ca="1">SUM(INDIRECT(ADDRESS(expenses_min_row, COLUMN()) &amp; ":" &amp; ADDRESS(expenses_max_row, COLUMN())))</f>
        <v>0</v>
      </c>
      <c r="EG52" s="18" cm="1">
        <f t="array" aca="1" ref="EG52" ca="1">SUM(INDIRECT(ADDRESS(expenses_min_row, COLUMN()) &amp; ":" &amp; ADDRESS(expenses_max_row, COLUMN())))</f>
        <v>0</v>
      </c>
      <c r="EH52" s="18" cm="1">
        <f t="array" aca="1" ref="EH52" ca="1">SUM(INDIRECT(ADDRESS(expenses_min_row, COLUMN()) &amp; ":" &amp; ADDRESS(expenses_max_row, COLUMN())))</f>
        <v>0</v>
      </c>
      <c r="EI52" s="18" cm="1">
        <f t="array" aca="1" ref="EI52" ca="1">SUM(INDIRECT(ADDRESS(expenses_min_row, COLUMN()) &amp; ":" &amp; ADDRESS(expenses_max_row, COLUMN())))</f>
        <v>0</v>
      </c>
      <c r="EJ52" s="18" cm="1">
        <f t="array" aca="1" ref="EJ52" ca="1">SUM(INDIRECT(ADDRESS(expenses_min_row, COLUMN()) &amp; ":" &amp; ADDRESS(expenses_max_row, COLUMN())))</f>
        <v>0</v>
      </c>
      <c r="EK52" s="18" cm="1">
        <f t="array" aca="1" ref="EK52" ca="1">SUM(INDIRECT(ADDRESS(expenses_min_row, COLUMN()) &amp; ":" &amp; ADDRESS(expenses_max_row, COLUMN())))</f>
        <v>0</v>
      </c>
      <c r="EL52" s="18" cm="1">
        <f t="array" aca="1" ref="EL52" ca="1">SUM(INDIRECT(ADDRESS(expenses_min_row, COLUMN()) &amp; ":" &amp; ADDRESS(expenses_max_row, COLUMN())))</f>
        <v>0</v>
      </c>
      <c r="EM52" s="18" cm="1">
        <f t="array" aca="1" ref="EM52" ca="1">SUM(INDIRECT(ADDRESS(expenses_min_row, COLUMN()) &amp; ":" &amp; ADDRESS(expenses_max_row, COLUMN())))</f>
        <v>0</v>
      </c>
      <c r="EO52" s="18" cm="1">
        <f t="array" aca="1" ref="EO52" ca="1">SUM(INDIRECT(ADDRESS(expenses_min_row, COLUMN()) &amp; ":" &amp; ADDRESS(expenses_max_row, COLUMN())))</f>
        <v>0</v>
      </c>
      <c r="EP52" s="18" cm="1">
        <f t="array" aca="1" ref="EP52" ca="1">SUM(INDIRECT(ADDRESS(expenses_min_row, COLUMN()) &amp; ":" &amp; ADDRESS(expenses_max_row, COLUMN())))</f>
        <v>0</v>
      </c>
      <c r="EQ52" s="18" cm="1">
        <f t="array" aca="1" ref="EQ52" ca="1">SUM(INDIRECT(ADDRESS(expenses_min_row, COLUMN()) &amp; ":" &amp; ADDRESS(expenses_max_row, COLUMN())))</f>
        <v>0</v>
      </c>
      <c r="ER52" s="18" cm="1">
        <f t="array" aca="1" ref="ER52" ca="1">SUM(INDIRECT(ADDRESS(expenses_min_row, COLUMN()) &amp; ":" &amp; ADDRESS(expenses_max_row, COLUMN())))</f>
        <v>0</v>
      </c>
      <c r="ES52" s="18" cm="1">
        <f t="array" aca="1" ref="ES52" ca="1">SUM(INDIRECT(ADDRESS(expenses_min_row, COLUMN()) &amp; ":" &amp; ADDRESS(expenses_max_row, COLUMN())))</f>
        <v>0</v>
      </c>
      <c r="ET52" s="18" cm="1">
        <f t="array" aca="1" ref="ET52" ca="1">SUM(INDIRECT(ADDRESS(expenses_min_row, COLUMN()) &amp; ":" &amp; ADDRESS(expenses_max_row, COLUMN())))</f>
        <v>0</v>
      </c>
      <c r="EU52" s="18" cm="1">
        <f t="array" aca="1" ref="EU52" ca="1">SUM(INDIRECT(ADDRESS(expenses_min_row, COLUMN()) &amp; ":" &amp; ADDRESS(expenses_max_row, COLUMN())))</f>
        <v>0</v>
      </c>
      <c r="EV52" s="18" cm="1">
        <f t="array" aca="1" ref="EV52" ca="1">SUM(INDIRECT(ADDRESS(expenses_min_row, COLUMN()) &amp; ":" &amp; ADDRESS(expenses_max_row, COLUMN())))</f>
        <v>0</v>
      </c>
      <c r="EW52" s="18" cm="1">
        <f t="array" aca="1" ref="EW52" ca="1">SUM(INDIRECT(ADDRESS(expenses_min_row, COLUMN()) &amp; ":" &amp; ADDRESS(expenses_max_row, COLUMN())))</f>
        <v>0</v>
      </c>
      <c r="EX52" s="18" cm="1">
        <f t="array" aca="1" ref="EX52" ca="1">SUM(INDIRECT(ADDRESS(expenses_min_row, COLUMN()) &amp; ":" &amp; ADDRESS(expenses_max_row, COLUMN())))</f>
        <v>0</v>
      </c>
      <c r="EY52" s="18" cm="1">
        <f t="array" aca="1" ref="EY52" ca="1">SUM(INDIRECT(ADDRESS(expenses_min_row, COLUMN()) &amp; ":" &amp; ADDRESS(expenses_max_row, COLUMN())))</f>
        <v>0</v>
      </c>
      <c r="EZ52" s="18" cm="1">
        <f t="array" aca="1" ref="EZ52" ca="1">SUM(INDIRECT(ADDRESS(expenses_min_row, COLUMN()) &amp; ":" &amp; ADDRESS(expenses_max_row, COLUMN())))</f>
        <v>0</v>
      </c>
      <c r="FA52" s="18" cm="1">
        <f t="array" aca="1" ref="FA52" ca="1">SUM(INDIRECT(ADDRESS(expenses_min_row, COLUMN()) &amp; ":" &amp; ADDRESS(expenses_max_row, COLUMN())))</f>
        <v>0</v>
      </c>
      <c r="FC52" s="18" cm="1">
        <f t="array" aca="1" ref="FC52" ca="1">SUM(INDIRECT(ADDRESS(expenses_min_row, COLUMN()) &amp; ":" &amp; ADDRESS(expenses_max_row, COLUMN())))</f>
        <v>0</v>
      </c>
      <c r="FD52" s="18" cm="1">
        <f t="array" aca="1" ref="FD52" ca="1">SUM(INDIRECT(ADDRESS(expenses_min_row, COLUMN()) &amp; ":" &amp; ADDRESS(expenses_max_row, COLUMN())))</f>
        <v>0</v>
      </c>
      <c r="FE52" s="18" cm="1">
        <f t="array" aca="1" ref="FE52" ca="1">SUM(INDIRECT(ADDRESS(expenses_min_row, COLUMN()) &amp; ":" &amp; ADDRESS(expenses_max_row, COLUMN())))</f>
        <v>0</v>
      </c>
      <c r="FF52" s="18" cm="1">
        <f t="array" aca="1" ref="FF52" ca="1">SUM(INDIRECT(ADDRESS(expenses_min_row, COLUMN()) &amp; ":" &amp; ADDRESS(expenses_max_row, COLUMN())))</f>
        <v>0</v>
      </c>
      <c r="FG52" s="18" cm="1">
        <f t="array" aca="1" ref="FG52" ca="1">SUM(INDIRECT(ADDRESS(expenses_min_row, COLUMN()) &amp; ":" &amp; ADDRESS(expenses_max_row, COLUMN())))</f>
        <v>0</v>
      </c>
      <c r="FH52" s="18" cm="1">
        <f t="array" aca="1" ref="FH52" ca="1">SUM(INDIRECT(ADDRESS(expenses_min_row, COLUMN()) &amp; ":" &amp; ADDRESS(expenses_max_row, COLUMN())))</f>
        <v>0</v>
      </c>
      <c r="FI52" s="18" cm="1">
        <f t="array" aca="1" ref="FI52" ca="1">SUM(INDIRECT(ADDRESS(expenses_min_row, COLUMN()) &amp; ":" &amp; ADDRESS(expenses_max_row, COLUMN())))</f>
        <v>0</v>
      </c>
      <c r="FJ52" s="18" cm="1">
        <f t="array" aca="1" ref="FJ52" ca="1">SUM(INDIRECT(ADDRESS(expenses_min_row, COLUMN()) &amp; ":" &amp; ADDRESS(expenses_max_row, COLUMN())))</f>
        <v>0</v>
      </c>
      <c r="FK52" s="18" cm="1">
        <f t="array" aca="1" ref="FK52" ca="1">SUM(INDIRECT(ADDRESS(expenses_min_row, COLUMN()) &amp; ":" &amp; ADDRESS(expenses_max_row, COLUMN())))</f>
        <v>0</v>
      </c>
      <c r="FL52" s="18" cm="1">
        <f t="array" aca="1" ref="FL52" ca="1">SUM(INDIRECT(ADDRESS(expenses_min_row, COLUMN()) &amp; ":" &amp; ADDRESS(expenses_max_row, COLUMN())))</f>
        <v>0</v>
      </c>
      <c r="FM52" s="18" cm="1">
        <f t="array" aca="1" ref="FM52" ca="1">SUM(INDIRECT(ADDRESS(expenses_min_row, COLUMN()) &amp; ":" &amp; ADDRESS(expenses_max_row, COLUMN())))</f>
        <v>0</v>
      </c>
      <c r="FN52" s="18" cm="1">
        <f t="array" aca="1" ref="FN52" ca="1">SUM(INDIRECT(ADDRESS(expenses_min_row, COLUMN()) &amp; ":" &amp; ADDRESS(expenses_max_row, COLUMN())))</f>
        <v>0</v>
      </c>
      <c r="FO52" s="18" cm="1">
        <f t="array" aca="1" ref="FO52" ca="1">SUM(INDIRECT(ADDRESS(expenses_min_row, COLUMN()) &amp; ":" &amp; ADDRESS(expenses_max_row, COLUMN())))</f>
        <v>0</v>
      </c>
      <c r="FQ52" s="18" cm="1">
        <f t="array" aca="1" ref="FQ52" ca="1">SUM(INDIRECT(ADDRESS(expenses_min_row, COLUMN()) &amp; ":" &amp; ADDRESS(expenses_max_row, COLUMN())))</f>
        <v>0</v>
      </c>
      <c r="FR52" s="18" cm="1">
        <f t="array" aca="1" ref="FR52" ca="1">SUM(INDIRECT(ADDRESS(expenses_min_row, COLUMN()) &amp; ":" &amp; ADDRESS(expenses_max_row, COLUMN())))</f>
        <v>0</v>
      </c>
      <c r="FS52" s="18" cm="1">
        <f t="array" aca="1" ref="FS52" ca="1">SUM(INDIRECT(ADDRESS(expenses_min_row, COLUMN()) &amp; ":" &amp; ADDRESS(expenses_max_row, COLUMN())))</f>
        <v>0</v>
      </c>
      <c r="FT52" s="18" cm="1">
        <f t="array" aca="1" ref="FT52" ca="1">SUM(INDIRECT(ADDRESS(expenses_min_row, COLUMN()) &amp; ":" &amp; ADDRESS(expenses_max_row, COLUMN())))</f>
        <v>0</v>
      </c>
      <c r="FU52" s="18" cm="1">
        <f t="array" aca="1" ref="FU52" ca="1">SUM(INDIRECT(ADDRESS(expenses_min_row, COLUMN()) &amp; ":" &amp; ADDRESS(expenses_max_row, COLUMN())))</f>
        <v>0</v>
      </c>
      <c r="FV52" s="18" cm="1">
        <f t="array" aca="1" ref="FV52" ca="1">SUM(INDIRECT(ADDRESS(expenses_min_row, COLUMN()) &amp; ":" &amp; ADDRESS(expenses_max_row, COLUMN())))</f>
        <v>0</v>
      </c>
      <c r="FW52" s="18" cm="1">
        <f t="array" aca="1" ref="FW52" ca="1">SUM(INDIRECT(ADDRESS(expenses_min_row, COLUMN()) &amp; ":" &amp; ADDRESS(expenses_max_row, COLUMN())))</f>
        <v>0</v>
      </c>
      <c r="FX52" s="18" cm="1">
        <f t="array" aca="1" ref="FX52" ca="1">SUM(INDIRECT(ADDRESS(expenses_min_row, COLUMN()) &amp; ":" &amp; ADDRESS(expenses_max_row, COLUMN())))</f>
        <v>0</v>
      </c>
      <c r="FY52" s="18" cm="1">
        <f t="array" aca="1" ref="FY52" ca="1">SUM(INDIRECT(ADDRESS(expenses_min_row, COLUMN()) &amp; ":" &amp; ADDRESS(expenses_max_row, COLUMN())))</f>
        <v>0</v>
      </c>
      <c r="FZ52" s="18" cm="1">
        <f t="array" aca="1" ref="FZ52" ca="1">SUM(INDIRECT(ADDRESS(expenses_min_row, COLUMN()) &amp; ":" &amp; ADDRESS(expenses_max_row, COLUMN())))</f>
        <v>0</v>
      </c>
      <c r="GA52" s="18" cm="1">
        <f t="array" aca="1" ref="GA52" ca="1">SUM(INDIRECT(ADDRESS(expenses_min_row, COLUMN()) &amp; ":" &amp; ADDRESS(expenses_max_row, COLUMN())))</f>
        <v>0</v>
      </c>
      <c r="GB52" s="18" cm="1">
        <f t="array" aca="1" ref="GB52" ca="1">SUM(INDIRECT(ADDRESS(expenses_min_row, COLUMN()) &amp; ":" &amp; ADDRESS(expenses_max_row, COLUMN())))</f>
        <v>0</v>
      </c>
      <c r="GC52" s="18" cm="1">
        <f t="array" aca="1" ref="GC52" ca="1">SUM(INDIRECT(ADDRESS(expenses_min_row, COLUMN()) &amp; ":" &amp; ADDRESS(expenses_max_row, COLUMN())))</f>
        <v>0</v>
      </c>
      <c r="GE52" s="18" cm="1">
        <f t="array" aca="1" ref="GE52" ca="1">SUM(INDIRECT(ADDRESS(expenses_min_row, COLUMN()) &amp; ":" &amp; ADDRESS(expenses_max_row, COLUMN())))</f>
        <v>0</v>
      </c>
      <c r="GF52" s="18" cm="1">
        <f t="array" aca="1" ref="GF52" ca="1">SUM(INDIRECT(ADDRESS(expenses_min_row, COLUMN()) &amp; ":" &amp; ADDRESS(expenses_max_row, COLUMN())))</f>
        <v>0</v>
      </c>
      <c r="GG52" s="18" cm="1">
        <f t="array" aca="1" ref="GG52" ca="1">SUM(INDIRECT(ADDRESS(expenses_min_row, COLUMN()) &amp; ":" &amp; ADDRESS(expenses_max_row, COLUMN())))</f>
        <v>0</v>
      </c>
      <c r="GH52" s="18" cm="1">
        <f t="array" aca="1" ref="GH52" ca="1">SUM(INDIRECT(ADDRESS(expenses_min_row, COLUMN()) &amp; ":" &amp; ADDRESS(expenses_max_row, COLUMN())))</f>
        <v>0</v>
      </c>
      <c r="GI52" s="18" cm="1">
        <f t="array" aca="1" ref="GI52" ca="1">SUM(INDIRECT(ADDRESS(expenses_min_row, COLUMN()) &amp; ":" &amp; ADDRESS(expenses_max_row, COLUMN())))</f>
        <v>0</v>
      </c>
      <c r="GJ52" s="18" cm="1">
        <f t="array" aca="1" ref="GJ52" ca="1">SUM(INDIRECT(ADDRESS(expenses_min_row, COLUMN()) &amp; ":" &amp; ADDRESS(expenses_max_row, COLUMN())))</f>
        <v>0</v>
      </c>
      <c r="GK52" s="18" cm="1">
        <f t="array" aca="1" ref="GK52" ca="1">SUM(INDIRECT(ADDRESS(expenses_min_row, COLUMN()) &amp; ":" &amp; ADDRESS(expenses_max_row, COLUMN())))</f>
        <v>0</v>
      </c>
      <c r="GL52" s="18" cm="1">
        <f t="array" aca="1" ref="GL52" ca="1">SUM(INDIRECT(ADDRESS(expenses_min_row, COLUMN()) &amp; ":" &amp; ADDRESS(expenses_max_row, COLUMN())))</f>
        <v>0</v>
      </c>
      <c r="GM52" s="18" cm="1">
        <f t="array" aca="1" ref="GM52" ca="1">SUM(INDIRECT(ADDRESS(expenses_min_row, COLUMN()) &amp; ":" &amp; ADDRESS(expenses_max_row, COLUMN())))</f>
        <v>0</v>
      </c>
      <c r="GN52" s="18" cm="1">
        <f t="array" aca="1" ref="GN52" ca="1">SUM(INDIRECT(ADDRESS(expenses_min_row, COLUMN()) &amp; ":" &amp; ADDRESS(expenses_max_row, COLUMN())))</f>
        <v>0</v>
      </c>
      <c r="GO52" s="18" cm="1">
        <f t="array" aca="1" ref="GO52" ca="1">SUM(INDIRECT(ADDRESS(expenses_min_row, COLUMN()) &amp; ":" &amp; ADDRESS(expenses_max_row, COLUMN())))</f>
        <v>0</v>
      </c>
      <c r="GP52" s="18" cm="1">
        <f t="array" aca="1" ref="GP52" ca="1">SUM(INDIRECT(ADDRESS(expenses_min_row, COLUMN()) &amp; ":" &amp; ADDRESS(expenses_max_row, COLUMN())))</f>
        <v>0</v>
      </c>
      <c r="GQ52" s="18" cm="1">
        <f t="array" aca="1" ref="GQ52" ca="1">SUM(INDIRECT(ADDRESS(expenses_min_row, COLUMN()) &amp; ":" &amp; ADDRESS(expenses_max_row, COLUMN())))</f>
        <v>0</v>
      </c>
      <c r="GS52" s="18" cm="1">
        <f t="array" aca="1" ref="GS52" ca="1">SUM(INDIRECT(ADDRESS(expenses_min_row, COLUMN()) &amp; ":" &amp; ADDRESS(expenses_max_row, COLUMN())))</f>
        <v>0</v>
      </c>
      <c r="GT52" s="18" cm="1">
        <f t="array" aca="1" ref="GT52" ca="1">SUM(INDIRECT(ADDRESS(expenses_min_row, COLUMN()) &amp; ":" &amp; ADDRESS(expenses_max_row, COLUMN())))</f>
        <v>0</v>
      </c>
      <c r="GU52" s="18" cm="1">
        <f t="array" aca="1" ref="GU52" ca="1">SUM(INDIRECT(ADDRESS(expenses_min_row, COLUMN()) &amp; ":" &amp; ADDRESS(expenses_max_row, COLUMN())))</f>
        <v>0</v>
      </c>
      <c r="GV52" s="18" cm="1">
        <f t="array" aca="1" ref="GV52" ca="1">SUM(INDIRECT(ADDRESS(expenses_min_row, COLUMN()) &amp; ":" &amp; ADDRESS(expenses_max_row, COLUMN())))</f>
        <v>0</v>
      </c>
      <c r="GW52" s="18" cm="1">
        <f t="array" aca="1" ref="GW52" ca="1">SUM(INDIRECT(ADDRESS(expenses_min_row, COLUMN()) &amp; ":" &amp; ADDRESS(expenses_max_row, COLUMN())))</f>
        <v>0</v>
      </c>
      <c r="GX52" s="18" cm="1">
        <f t="array" aca="1" ref="GX52" ca="1">SUM(INDIRECT(ADDRESS(expenses_min_row, COLUMN()) &amp; ":" &amp; ADDRESS(expenses_max_row, COLUMN())))</f>
        <v>0</v>
      </c>
      <c r="GY52" s="18" cm="1">
        <f t="array" aca="1" ref="GY52" ca="1">SUM(INDIRECT(ADDRESS(expenses_min_row, COLUMN()) &amp; ":" &amp; ADDRESS(expenses_max_row, COLUMN())))</f>
        <v>0</v>
      </c>
      <c r="GZ52" s="18" cm="1">
        <f t="array" aca="1" ref="GZ52" ca="1">SUM(INDIRECT(ADDRESS(expenses_min_row, COLUMN()) &amp; ":" &amp; ADDRESS(expenses_max_row, COLUMN())))</f>
        <v>0</v>
      </c>
      <c r="HA52" s="18" cm="1">
        <f t="array" aca="1" ref="HA52" ca="1">SUM(INDIRECT(ADDRESS(expenses_min_row, COLUMN()) &amp; ":" &amp; ADDRESS(expenses_max_row, COLUMN())))</f>
        <v>0</v>
      </c>
      <c r="HB52" s="18" cm="1">
        <f t="array" aca="1" ref="HB52" ca="1">SUM(INDIRECT(ADDRESS(expenses_min_row, COLUMN()) &amp; ":" &amp; ADDRESS(expenses_max_row, COLUMN())))</f>
        <v>0</v>
      </c>
      <c r="HC52" s="18" cm="1">
        <f t="array" aca="1" ref="HC52" ca="1">SUM(INDIRECT(ADDRESS(expenses_min_row, COLUMN()) &amp; ":" &amp; ADDRESS(expenses_max_row, COLUMN())))</f>
        <v>0</v>
      </c>
      <c r="HD52" s="18" cm="1">
        <f t="array" aca="1" ref="HD52" ca="1">SUM(INDIRECT(ADDRESS(expenses_min_row, COLUMN()) &amp; ":" &amp; ADDRESS(expenses_max_row, COLUMN())))</f>
        <v>0</v>
      </c>
      <c r="HE52" s="18" cm="1">
        <f t="array" aca="1" ref="HE52" ca="1">SUM(INDIRECT(ADDRESS(expenses_min_row, COLUMN()) &amp; ":" &amp; ADDRESS(expenses_max_row, COLUMN())))</f>
        <v>0</v>
      </c>
      <c r="HG52" s="18" cm="1">
        <f t="array" aca="1" ref="HG52" ca="1">SUM(INDIRECT(ADDRESS(expenses_min_row, COLUMN()) &amp; ":" &amp; ADDRESS(expenses_max_row, COLUMN())))</f>
        <v>0</v>
      </c>
      <c r="HH52" s="18" cm="1">
        <f t="array" aca="1" ref="HH52" ca="1">SUM(INDIRECT(ADDRESS(expenses_min_row, COLUMN()) &amp; ":" &amp; ADDRESS(expenses_max_row, COLUMN())))</f>
        <v>0</v>
      </c>
      <c r="HI52" s="18" cm="1">
        <f t="array" aca="1" ref="HI52" ca="1">SUM(INDIRECT(ADDRESS(expenses_min_row, COLUMN()) &amp; ":" &amp; ADDRESS(expenses_max_row, COLUMN())))</f>
        <v>0</v>
      </c>
      <c r="HJ52" s="18" cm="1">
        <f t="array" aca="1" ref="HJ52" ca="1">SUM(INDIRECT(ADDRESS(expenses_min_row, COLUMN()) &amp; ":" &amp; ADDRESS(expenses_max_row, COLUMN())))</f>
        <v>0</v>
      </c>
      <c r="HK52" s="18" cm="1">
        <f t="array" aca="1" ref="HK52" ca="1">SUM(INDIRECT(ADDRESS(expenses_min_row, COLUMN()) &amp; ":" &amp; ADDRESS(expenses_max_row, COLUMN())))</f>
        <v>0</v>
      </c>
      <c r="HL52" s="18" cm="1">
        <f t="array" aca="1" ref="HL52" ca="1">SUM(INDIRECT(ADDRESS(expenses_min_row, COLUMN()) &amp; ":" &amp; ADDRESS(expenses_max_row, COLUMN())))</f>
        <v>0</v>
      </c>
      <c r="HM52" s="18" cm="1">
        <f t="array" aca="1" ref="HM52" ca="1">SUM(INDIRECT(ADDRESS(expenses_min_row, COLUMN()) &amp; ":" &amp; ADDRESS(expenses_max_row, COLUMN())))</f>
        <v>0</v>
      </c>
      <c r="HN52" s="18" cm="1">
        <f t="array" aca="1" ref="HN52" ca="1">SUM(INDIRECT(ADDRESS(expenses_min_row, COLUMN()) &amp; ":" &amp; ADDRESS(expenses_max_row, COLUMN())))</f>
        <v>0</v>
      </c>
      <c r="HO52" s="18" cm="1">
        <f t="array" aca="1" ref="HO52" ca="1">SUM(INDIRECT(ADDRESS(expenses_min_row, COLUMN()) &amp; ":" &amp; ADDRESS(expenses_max_row, COLUMN())))</f>
        <v>0</v>
      </c>
      <c r="HP52" s="18" cm="1">
        <f t="array" aca="1" ref="HP52" ca="1">SUM(INDIRECT(ADDRESS(expenses_min_row, COLUMN()) &amp; ":" &amp; ADDRESS(expenses_max_row, COLUMN())))</f>
        <v>0</v>
      </c>
      <c r="HQ52" s="18" cm="1">
        <f t="array" aca="1" ref="HQ52" ca="1">SUM(INDIRECT(ADDRESS(expenses_min_row, COLUMN()) &amp; ":" &amp; ADDRESS(expenses_max_row, COLUMN())))</f>
        <v>0</v>
      </c>
      <c r="HR52" s="18" cm="1">
        <f t="array" aca="1" ref="HR52" ca="1">SUM(INDIRECT(ADDRESS(expenses_min_row, COLUMN()) &amp; ":" &amp; ADDRESS(expenses_max_row, COLUMN())))</f>
        <v>0</v>
      </c>
      <c r="HS52" s="18" cm="1">
        <f t="array" aca="1" ref="HS52" ca="1">SUM(INDIRECT(ADDRESS(expenses_min_row, COLUMN()) &amp; ":" &amp; ADDRESS(expenses_max_row, COLUMN())))</f>
        <v>0</v>
      </c>
      <c r="HU52" s="18" cm="1">
        <f t="array" aca="1" ref="HU52" ca="1">SUM(INDIRECT(ADDRESS(expenses_min_row, COLUMN()) &amp; ":" &amp; ADDRESS(expenses_max_row, COLUMN())))</f>
        <v>0</v>
      </c>
      <c r="HV52" s="18" cm="1">
        <f t="array" aca="1" ref="HV52" ca="1">SUM(INDIRECT(ADDRESS(expenses_min_row, COLUMN()) &amp; ":" &amp; ADDRESS(expenses_max_row, COLUMN())))</f>
        <v>0</v>
      </c>
      <c r="HW52" s="18" cm="1">
        <f t="array" aca="1" ref="HW52" ca="1">SUM(INDIRECT(ADDRESS(expenses_min_row, COLUMN()) &amp; ":" &amp; ADDRESS(expenses_max_row, COLUMN())))</f>
        <v>0</v>
      </c>
      <c r="HX52" s="18" cm="1">
        <f t="array" aca="1" ref="HX52" ca="1">SUM(INDIRECT(ADDRESS(expenses_min_row, COLUMN()) &amp; ":" &amp; ADDRESS(expenses_max_row, COLUMN())))</f>
        <v>0</v>
      </c>
      <c r="HY52" s="18" cm="1">
        <f t="array" aca="1" ref="HY52" ca="1">SUM(INDIRECT(ADDRESS(expenses_min_row, COLUMN()) &amp; ":" &amp; ADDRESS(expenses_max_row, COLUMN())))</f>
        <v>0</v>
      </c>
      <c r="HZ52" s="18" cm="1">
        <f t="array" aca="1" ref="HZ52" ca="1">SUM(INDIRECT(ADDRESS(expenses_min_row, COLUMN()) &amp; ":" &amp; ADDRESS(expenses_max_row, COLUMN())))</f>
        <v>0</v>
      </c>
      <c r="IA52" s="18" cm="1">
        <f t="array" aca="1" ref="IA52" ca="1">SUM(INDIRECT(ADDRESS(expenses_min_row, COLUMN()) &amp; ":" &amp; ADDRESS(expenses_max_row, COLUMN())))</f>
        <v>0</v>
      </c>
      <c r="IB52" s="18" cm="1">
        <f t="array" aca="1" ref="IB52" ca="1">SUM(INDIRECT(ADDRESS(expenses_min_row, COLUMN()) &amp; ":" &amp; ADDRESS(expenses_max_row, COLUMN())))</f>
        <v>0</v>
      </c>
      <c r="IC52" s="18" cm="1">
        <f t="array" aca="1" ref="IC52" ca="1">SUM(INDIRECT(ADDRESS(expenses_min_row, COLUMN()) &amp; ":" &amp; ADDRESS(expenses_max_row, COLUMN())))</f>
        <v>0</v>
      </c>
      <c r="ID52" s="18" cm="1">
        <f t="array" aca="1" ref="ID52" ca="1">SUM(INDIRECT(ADDRESS(expenses_min_row, COLUMN()) &amp; ":" &amp; ADDRESS(expenses_max_row, COLUMN())))</f>
        <v>0</v>
      </c>
      <c r="IE52" s="18" cm="1">
        <f t="array" aca="1" ref="IE52" ca="1">SUM(INDIRECT(ADDRESS(expenses_min_row, COLUMN()) &amp; ":" &amp; ADDRESS(expenses_max_row, COLUMN())))</f>
        <v>0</v>
      </c>
      <c r="IF52" s="18" cm="1">
        <f t="array" aca="1" ref="IF52" ca="1">SUM(INDIRECT(ADDRESS(expenses_min_row, COLUMN()) &amp; ":" &amp; ADDRESS(expenses_max_row, COLUMN())))</f>
        <v>0</v>
      </c>
      <c r="IG52" s="18" cm="1">
        <f t="array" aca="1" ref="IG52" ca="1">SUM(INDIRECT(ADDRESS(expenses_min_row, COLUMN()) &amp; ":" &amp; ADDRESS(expenses_max_row, COLUMN())))</f>
        <v>0</v>
      </c>
    </row>
    <row r="54" spans="3:241" x14ac:dyDescent="0.2">
      <c r="C54" s="13" t="s">
        <v>17</v>
      </c>
      <c r="E54" s="23">
        <f>DATE(E$6,1,1)</f>
        <v>45658</v>
      </c>
      <c r="F54" s="23">
        <f>DATE(E$6,2,1)</f>
        <v>45689</v>
      </c>
      <c r="G54" s="23">
        <f>DATE(E$6,3,1)</f>
        <v>45717</v>
      </c>
      <c r="H54" s="23">
        <f>DATE(E$6,4,1)</f>
        <v>45748</v>
      </c>
      <c r="I54" s="23">
        <f>DATE(E$6,5,1)</f>
        <v>45778</v>
      </c>
      <c r="J54" s="23">
        <f>DATE(E$6,6,1)</f>
        <v>45809</v>
      </c>
      <c r="K54" s="23">
        <f>DATE(E$6,7,1)</f>
        <v>45839</v>
      </c>
      <c r="L54" s="23">
        <f>DATE(E$6,8,1)</f>
        <v>45870</v>
      </c>
      <c r="M54" s="23">
        <f>DATE(E$6,9,1)</f>
        <v>45901</v>
      </c>
      <c r="N54" s="23">
        <f>DATE(E$6,10,1)</f>
        <v>45931</v>
      </c>
      <c r="O54" s="23">
        <f>DATE(E$6,11,1)</f>
        <v>45962</v>
      </c>
      <c r="P54" s="23">
        <f>DATE(E$6,12,1)</f>
        <v>45992</v>
      </c>
      <c r="Q54" s="24">
        <f>E$6</f>
        <v>2025</v>
      </c>
      <c r="S54" s="23">
        <f>DATE(S$6,1,1)</f>
        <v>46023</v>
      </c>
      <c r="T54" s="23">
        <f>DATE(S$6,2,1)</f>
        <v>46054</v>
      </c>
      <c r="U54" s="23">
        <f>DATE(S$6,3,1)</f>
        <v>46082</v>
      </c>
      <c r="V54" s="23">
        <f>DATE(S$6,4,1)</f>
        <v>46113</v>
      </c>
      <c r="W54" s="23">
        <f>DATE(S$6,5,1)</f>
        <v>46143</v>
      </c>
      <c r="X54" s="23">
        <f>DATE(S$6,6,1)</f>
        <v>46174</v>
      </c>
      <c r="Y54" s="23">
        <f>DATE(S$6,7,1)</f>
        <v>46204</v>
      </c>
      <c r="Z54" s="23">
        <f>DATE(S$6,8,1)</f>
        <v>46235</v>
      </c>
      <c r="AA54" s="23">
        <f>DATE(S$6,9,1)</f>
        <v>46266</v>
      </c>
      <c r="AB54" s="23">
        <f>DATE(S$6,10,1)</f>
        <v>46296</v>
      </c>
      <c r="AC54" s="23">
        <f>DATE(S$6,11,1)</f>
        <v>46327</v>
      </c>
      <c r="AD54" s="23">
        <f>DATE(S$6,12,1)</f>
        <v>46357</v>
      </c>
      <c r="AE54" s="24">
        <f>S$6</f>
        <v>2026</v>
      </c>
      <c r="AG54" s="23">
        <f>DATE(AG$6,1,1)</f>
        <v>46388</v>
      </c>
      <c r="AH54" s="23">
        <f>DATE(AG$6,2,1)</f>
        <v>46419</v>
      </c>
      <c r="AI54" s="23">
        <f>DATE(AG$6,3,1)</f>
        <v>46447</v>
      </c>
      <c r="AJ54" s="23">
        <f>DATE(AG$6,4,1)</f>
        <v>46478</v>
      </c>
      <c r="AK54" s="23">
        <f>DATE(AG$6,5,1)</f>
        <v>46508</v>
      </c>
      <c r="AL54" s="23">
        <f>DATE(AG$6,6,1)</f>
        <v>46539</v>
      </c>
      <c r="AM54" s="23">
        <f>DATE(AG$6,7,1)</f>
        <v>46569</v>
      </c>
      <c r="AN54" s="23">
        <f>DATE(AG$6,8,1)</f>
        <v>46600</v>
      </c>
      <c r="AO54" s="23">
        <f>DATE(AG$6,9,1)</f>
        <v>46631</v>
      </c>
      <c r="AP54" s="23">
        <f>DATE(AG$6,10,1)</f>
        <v>46661</v>
      </c>
      <c r="AQ54" s="23">
        <f>DATE(AG$6,11,1)</f>
        <v>46692</v>
      </c>
      <c r="AR54" s="23">
        <f>DATE(AG$6,12,1)</f>
        <v>46722</v>
      </c>
      <c r="AS54" s="24">
        <f>AG$6</f>
        <v>2027</v>
      </c>
      <c r="AU54" s="23">
        <f>DATE(AU$6,1,1)</f>
        <v>46753</v>
      </c>
      <c r="AV54" s="23">
        <f>DATE(AU$6,2,1)</f>
        <v>46784</v>
      </c>
      <c r="AW54" s="23">
        <f>DATE(AU$6,3,1)</f>
        <v>46813</v>
      </c>
      <c r="AX54" s="23">
        <f>DATE(AU$6,4,1)</f>
        <v>46844</v>
      </c>
      <c r="AY54" s="23">
        <f>DATE(AU$6,5,1)</f>
        <v>46874</v>
      </c>
      <c r="AZ54" s="23">
        <f>DATE(AU$6,6,1)</f>
        <v>46905</v>
      </c>
      <c r="BA54" s="23">
        <f>DATE(AU$6,7,1)</f>
        <v>46935</v>
      </c>
      <c r="BB54" s="23">
        <f>DATE(AU$6,8,1)</f>
        <v>46966</v>
      </c>
      <c r="BC54" s="23">
        <f>DATE(AU$6,9,1)</f>
        <v>46997</v>
      </c>
      <c r="BD54" s="23">
        <f>DATE(AU$6,10,1)</f>
        <v>47027</v>
      </c>
      <c r="BE54" s="23">
        <f>DATE(AU$6,11,1)</f>
        <v>47058</v>
      </c>
      <c r="BF54" s="23">
        <f>DATE(AU$6,12,1)</f>
        <v>47088</v>
      </c>
      <c r="BG54" s="24">
        <f>AU$6</f>
        <v>2028</v>
      </c>
      <c r="BI54" s="23">
        <f>DATE(BI$6,1,1)</f>
        <v>47119</v>
      </c>
      <c r="BJ54" s="23">
        <f>DATE(BI$6,2,1)</f>
        <v>47150</v>
      </c>
      <c r="BK54" s="23">
        <f>DATE(BI$6,3,1)</f>
        <v>47178</v>
      </c>
      <c r="BL54" s="23">
        <f>DATE(BI$6,4,1)</f>
        <v>47209</v>
      </c>
      <c r="BM54" s="23">
        <f>DATE(BI$6,5,1)</f>
        <v>47239</v>
      </c>
      <c r="BN54" s="23">
        <f>DATE(BI$6,6,1)</f>
        <v>47270</v>
      </c>
      <c r="BO54" s="23">
        <f>DATE(BI$6,7,1)</f>
        <v>47300</v>
      </c>
      <c r="BP54" s="23">
        <f>DATE(BI$6,8,1)</f>
        <v>47331</v>
      </c>
      <c r="BQ54" s="23">
        <f>DATE(BI$6,9,1)</f>
        <v>47362</v>
      </c>
      <c r="BR54" s="23">
        <f>DATE(BI$6,10,1)</f>
        <v>47392</v>
      </c>
      <c r="BS54" s="23">
        <f>DATE(BI$6,11,1)</f>
        <v>47423</v>
      </c>
      <c r="BT54" s="23">
        <f>DATE(BI$6,12,1)</f>
        <v>47453</v>
      </c>
      <c r="BU54" s="24">
        <f>BI$6</f>
        <v>2029</v>
      </c>
      <c r="BW54" s="23">
        <f>DATE(BW$6,1,1)</f>
        <v>47484</v>
      </c>
      <c r="BX54" s="23">
        <f>DATE(BW$6,2,1)</f>
        <v>47515</v>
      </c>
      <c r="BY54" s="23">
        <f>DATE(BW$6,3,1)</f>
        <v>47543</v>
      </c>
      <c r="BZ54" s="23">
        <f>DATE(BW$6,4,1)</f>
        <v>47574</v>
      </c>
      <c r="CA54" s="23">
        <f>DATE(BW$6,5,1)</f>
        <v>47604</v>
      </c>
      <c r="CB54" s="23">
        <f>DATE(BW$6,6,1)</f>
        <v>47635</v>
      </c>
      <c r="CC54" s="23">
        <f>DATE(BW$6,7,1)</f>
        <v>47665</v>
      </c>
      <c r="CD54" s="23">
        <f>DATE(BW$6,8,1)</f>
        <v>47696</v>
      </c>
      <c r="CE54" s="23">
        <f>DATE(BW$6,9,1)</f>
        <v>47727</v>
      </c>
      <c r="CF54" s="23">
        <f>DATE(BW$6,10,1)</f>
        <v>47757</v>
      </c>
      <c r="CG54" s="23">
        <f>DATE(BW$6,11,1)</f>
        <v>47788</v>
      </c>
      <c r="CH54" s="23">
        <f>DATE(BW$6,12,1)</f>
        <v>47818</v>
      </c>
      <c r="CI54" s="24">
        <f>BW$6</f>
        <v>2030</v>
      </c>
      <c r="CK54" s="23">
        <f>DATE(CK$6,1,1)</f>
        <v>47849</v>
      </c>
      <c r="CL54" s="23">
        <f>DATE(CK$6,2,1)</f>
        <v>47880</v>
      </c>
      <c r="CM54" s="23">
        <f>DATE(CK$6,3,1)</f>
        <v>47908</v>
      </c>
      <c r="CN54" s="23">
        <f>DATE(CK$6,4,1)</f>
        <v>47939</v>
      </c>
      <c r="CO54" s="23">
        <f>DATE(CK$6,5,1)</f>
        <v>47969</v>
      </c>
      <c r="CP54" s="23">
        <f>DATE(CK$6,6,1)</f>
        <v>48000</v>
      </c>
      <c r="CQ54" s="23">
        <f>DATE(CK$6,7,1)</f>
        <v>48030</v>
      </c>
      <c r="CR54" s="23">
        <f>DATE(CK$6,8,1)</f>
        <v>48061</v>
      </c>
      <c r="CS54" s="23">
        <f>DATE(CK$6,9,1)</f>
        <v>48092</v>
      </c>
      <c r="CT54" s="23">
        <f>DATE(CK$6,10,1)</f>
        <v>48122</v>
      </c>
      <c r="CU54" s="23">
        <f>DATE(CK$6,11,1)</f>
        <v>48153</v>
      </c>
      <c r="CV54" s="23">
        <f>DATE(CK$6,12,1)</f>
        <v>48183</v>
      </c>
      <c r="CW54" s="24">
        <f>CK$6</f>
        <v>2031</v>
      </c>
      <c r="CY54" s="23">
        <f>DATE(CY$6,1,1)</f>
        <v>48214</v>
      </c>
      <c r="CZ54" s="23">
        <f>DATE(CY$6,2,1)</f>
        <v>48245</v>
      </c>
      <c r="DA54" s="23">
        <f>DATE(CY$6,3,1)</f>
        <v>48274</v>
      </c>
      <c r="DB54" s="23">
        <f>DATE(CY$6,4,1)</f>
        <v>48305</v>
      </c>
      <c r="DC54" s="23">
        <f>DATE(CY$6,5,1)</f>
        <v>48335</v>
      </c>
      <c r="DD54" s="23">
        <f>DATE(CY$6,6,1)</f>
        <v>48366</v>
      </c>
      <c r="DE54" s="23">
        <f>DATE(CY$6,7,1)</f>
        <v>48396</v>
      </c>
      <c r="DF54" s="23">
        <f>DATE(CY$6,8,1)</f>
        <v>48427</v>
      </c>
      <c r="DG54" s="23">
        <f>DATE(CY$6,9,1)</f>
        <v>48458</v>
      </c>
      <c r="DH54" s="23">
        <f>DATE(CY$6,10,1)</f>
        <v>48488</v>
      </c>
      <c r="DI54" s="23">
        <f>DATE(CY$6,11,1)</f>
        <v>48519</v>
      </c>
      <c r="DJ54" s="23">
        <f>DATE(CY$6,12,1)</f>
        <v>48549</v>
      </c>
      <c r="DK54" s="24">
        <f>CY$6</f>
        <v>2032</v>
      </c>
      <c r="DM54" s="23">
        <f>DATE(DM$6,1,1)</f>
        <v>48580</v>
      </c>
      <c r="DN54" s="23">
        <f>DATE(DM$6,2,1)</f>
        <v>48611</v>
      </c>
      <c r="DO54" s="23">
        <f>DATE(DM$6,3,1)</f>
        <v>48639</v>
      </c>
      <c r="DP54" s="23">
        <f>DATE(DM$6,4,1)</f>
        <v>48670</v>
      </c>
      <c r="DQ54" s="23">
        <f>DATE(DM$6,5,1)</f>
        <v>48700</v>
      </c>
      <c r="DR54" s="23">
        <f>DATE(DM$6,6,1)</f>
        <v>48731</v>
      </c>
      <c r="DS54" s="23">
        <f>DATE(DM$6,7,1)</f>
        <v>48761</v>
      </c>
      <c r="DT54" s="23">
        <f>DATE(DM$6,8,1)</f>
        <v>48792</v>
      </c>
      <c r="DU54" s="23">
        <f>DATE(DM$6,9,1)</f>
        <v>48823</v>
      </c>
      <c r="DV54" s="23">
        <f>DATE(DM$6,10,1)</f>
        <v>48853</v>
      </c>
      <c r="DW54" s="23">
        <f>DATE(DM$6,11,1)</f>
        <v>48884</v>
      </c>
      <c r="DX54" s="23">
        <f>DATE(DM$6,12,1)</f>
        <v>48914</v>
      </c>
      <c r="DY54" s="24">
        <f>DM$6</f>
        <v>2033</v>
      </c>
      <c r="EA54" s="23">
        <f>DATE(EA$6,1,1)</f>
        <v>48945</v>
      </c>
      <c r="EB54" s="23">
        <f>DATE(EA$6,2,1)</f>
        <v>48976</v>
      </c>
      <c r="EC54" s="23">
        <f>DATE(EA$6,3,1)</f>
        <v>49004</v>
      </c>
      <c r="ED54" s="23">
        <f>DATE(EA$6,4,1)</f>
        <v>49035</v>
      </c>
      <c r="EE54" s="23">
        <f>DATE(EA$6,5,1)</f>
        <v>49065</v>
      </c>
      <c r="EF54" s="23">
        <f>DATE(EA$6,6,1)</f>
        <v>49096</v>
      </c>
      <c r="EG54" s="23">
        <f>DATE(EA$6,7,1)</f>
        <v>49126</v>
      </c>
      <c r="EH54" s="23">
        <f>DATE(EA$6,8,1)</f>
        <v>49157</v>
      </c>
      <c r="EI54" s="23">
        <f>DATE(EA$6,9,1)</f>
        <v>49188</v>
      </c>
      <c r="EJ54" s="23">
        <f>DATE(EA$6,10,1)</f>
        <v>49218</v>
      </c>
      <c r="EK54" s="23">
        <f>DATE(EA$6,11,1)</f>
        <v>49249</v>
      </c>
      <c r="EL54" s="23">
        <f>DATE(EA$6,12,1)</f>
        <v>49279</v>
      </c>
      <c r="EM54" s="24">
        <f>EA$6</f>
        <v>2034</v>
      </c>
      <c r="EO54" s="23">
        <f>DATE(EO$6,1,1)</f>
        <v>49310</v>
      </c>
      <c r="EP54" s="23">
        <f>DATE(EO$6,2,1)</f>
        <v>49341</v>
      </c>
      <c r="EQ54" s="23">
        <f>DATE(EO$6,3,1)</f>
        <v>49369</v>
      </c>
      <c r="ER54" s="23">
        <f>DATE(EO$6,4,1)</f>
        <v>49400</v>
      </c>
      <c r="ES54" s="23">
        <f>DATE(EO$6,5,1)</f>
        <v>49430</v>
      </c>
      <c r="ET54" s="23">
        <f>DATE(EO$6,6,1)</f>
        <v>49461</v>
      </c>
      <c r="EU54" s="23">
        <f>DATE(EO$6,7,1)</f>
        <v>49491</v>
      </c>
      <c r="EV54" s="23">
        <f>DATE(EO$6,8,1)</f>
        <v>49522</v>
      </c>
      <c r="EW54" s="23">
        <f>DATE(EO$6,9,1)</f>
        <v>49553</v>
      </c>
      <c r="EX54" s="23">
        <f>DATE(EO$6,10,1)</f>
        <v>49583</v>
      </c>
      <c r="EY54" s="23">
        <f>DATE(EO$6,11,1)</f>
        <v>49614</v>
      </c>
      <c r="EZ54" s="23">
        <f>DATE(EO$6,12,1)</f>
        <v>49644</v>
      </c>
      <c r="FA54" s="24">
        <f>EO$6</f>
        <v>2035</v>
      </c>
      <c r="FC54" s="23">
        <f>DATE(FC$6,1,1)</f>
        <v>49675</v>
      </c>
      <c r="FD54" s="23">
        <f>DATE(FC$6,2,1)</f>
        <v>49706</v>
      </c>
      <c r="FE54" s="23">
        <f>DATE(FC$6,3,1)</f>
        <v>49735</v>
      </c>
      <c r="FF54" s="23">
        <f>DATE(FC$6,4,1)</f>
        <v>49766</v>
      </c>
      <c r="FG54" s="23">
        <f>DATE(FC$6,5,1)</f>
        <v>49796</v>
      </c>
      <c r="FH54" s="23">
        <f>DATE(FC$6,6,1)</f>
        <v>49827</v>
      </c>
      <c r="FI54" s="23">
        <f>DATE(FC$6,7,1)</f>
        <v>49857</v>
      </c>
      <c r="FJ54" s="23">
        <f>DATE(FC$6,8,1)</f>
        <v>49888</v>
      </c>
      <c r="FK54" s="23">
        <f>DATE(FC$6,9,1)</f>
        <v>49919</v>
      </c>
      <c r="FL54" s="23">
        <f>DATE(FC$6,10,1)</f>
        <v>49949</v>
      </c>
      <c r="FM54" s="23">
        <f>DATE(FC$6,11,1)</f>
        <v>49980</v>
      </c>
      <c r="FN54" s="23">
        <f>DATE(FC$6,12,1)</f>
        <v>50010</v>
      </c>
      <c r="FO54" s="24">
        <f>FC$6</f>
        <v>2036</v>
      </c>
      <c r="FQ54" s="23">
        <f>DATE(FQ$6,1,1)</f>
        <v>50041</v>
      </c>
      <c r="FR54" s="23">
        <f>DATE(FQ$6,2,1)</f>
        <v>50072</v>
      </c>
      <c r="FS54" s="23">
        <f>DATE(FQ$6,3,1)</f>
        <v>50100</v>
      </c>
      <c r="FT54" s="23">
        <f>DATE(FQ$6,4,1)</f>
        <v>50131</v>
      </c>
      <c r="FU54" s="23">
        <f>DATE(FQ$6,5,1)</f>
        <v>50161</v>
      </c>
      <c r="FV54" s="23">
        <f>DATE(FQ$6,6,1)</f>
        <v>50192</v>
      </c>
      <c r="FW54" s="23">
        <f>DATE(FQ$6,7,1)</f>
        <v>50222</v>
      </c>
      <c r="FX54" s="23">
        <f>DATE(FQ$6,8,1)</f>
        <v>50253</v>
      </c>
      <c r="FY54" s="23">
        <f>DATE(FQ$6,9,1)</f>
        <v>50284</v>
      </c>
      <c r="FZ54" s="23">
        <f>DATE(FQ$6,10,1)</f>
        <v>50314</v>
      </c>
      <c r="GA54" s="23">
        <f>DATE(FQ$6,11,1)</f>
        <v>50345</v>
      </c>
      <c r="GB54" s="23">
        <f>DATE(FQ$6,12,1)</f>
        <v>50375</v>
      </c>
      <c r="GC54" s="24">
        <f>FQ$6</f>
        <v>2037</v>
      </c>
      <c r="GE54" s="23">
        <f>DATE(GE$6,1,1)</f>
        <v>50406</v>
      </c>
      <c r="GF54" s="23">
        <f>DATE(GE$6,2,1)</f>
        <v>50437</v>
      </c>
      <c r="GG54" s="23">
        <f>DATE(GE$6,3,1)</f>
        <v>50465</v>
      </c>
      <c r="GH54" s="23">
        <f>DATE(GE$6,4,1)</f>
        <v>50496</v>
      </c>
      <c r="GI54" s="23">
        <f>DATE(GE$6,5,1)</f>
        <v>50526</v>
      </c>
      <c r="GJ54" s="23">
        <f>DATE(GE$6,6,1)</f>
        <v>50557</v>
      </c>
      <c r="GK54" s="23">
        <f>DATE(GE$6,7,1)</f>
        <v>50587</v>
      </c>
      <c r="GL54" s="23">
        <f>DATE(GE$6,8,1)</f>
        <v>50618</v>
      </c>
      <c r="GM54" s="23">
        <f>DATE(GE$6,9,1)</f>
        <v>50649</v>
      </c>
      <c r="GN54" s="23">
        <f>DATE(GE$6,10,1)</f>
        <v>50679</v>
      </c>
      <c r="GO54" s="23">
        <f>DATE(GE$6,11,1)</f>
        <v>50710</v>
      </c>
      <c r="GP54" s="23">
        <f>DATE(GE$6,12,1)</f>
        <v>50740</v>
      </c>
      <c r="GQ54" s="24">
        <f>GE$6</f>
        <v>2038</v>
      </c>
      <c r="GS54" s="23">
        <f>DATE(GS$6,1,1)</f>
        <v>50771</v>
      </c>
      <c r="GT54" s="23">
        <f>DATE(GS$6,2,1)</f>
        <v>50802</v>
      </c>
      <c r="GU54" s="23">
        <f>DATE(GS$6,3,1)</f>
        <v>50830</v>
      </c>
      <c r="GV54" s="23">
        <f>DATE(GS$6,4,1)</f>
        <v>50861</v>
      </c>
      <c r="GW54" s="23">
        <f>DATE(GS$6,5,1)</f>
        <v>50891</v>
      </c>
      <c r="GX54" s="23">
        <f>DATE(GS$6,6,1)</f>
        <v>50922</v>
      </c>
      <c r="GY54" s="23">
        <f>DATE(GS$6,7,1)</f>
        <v>50952</v>
      </c>
      <c r="GZ54" s="23">
        <f>DATE(GS$6,8,1)</f>
        <v>50983</v>
      </c>
      <c r="HA54" s="23">
        <f>DATE(GS$6,9,1)</f>
        <v>51014</v>
      </c>
      <c r="HB54" s="23">
        <f>DATE(GS$6,10,1)</f>
        <v>51044</v>
      </c>
      <c r="HC54" s="23">
        <f>DATE(GS$6,11,1)</f>
        <v>51075</v>
      </c>
      <c r="HD54" s="23">
        <f>DATE(GS$6,12,1)</f>
        <v>51105</v>
      </c>
      <c r="HE54" s="24">
        <f>GS$6</f>
        <v>2039</v>
      </c>
      <c r="HG54" s="23">
        <f>DATE(HG$6,1,1)</f>
        <v>51136</v>
      </c>
      <c r="HH54" s="23">
        <f>DATE(HG$6,2,1)</f>
        <v>51167</v>
      </c>
      <c r="HI54" s="23">
        <f>DATE(HG$6,3,1)</f>
        <v>51196</v>
      </c>
      <c r="HJ54" s="23">
        <f>DATE(HG$6,4,1)</f>
        <v>51227</v>
      </c>
      <c r="HK54" s="23">
        <f>DATE(HG$6,5,1)</f>
        <v>51257</v>
      </c>
      <c r="HL54" s="23">
        <f>DATE(HG$6,6,1)</f>
        <v>51288</v>
      </c>
      <c r="HM54" s="23">
        <f>DATE(HG$6,7,1)</f>
        <v>51318</v>
      </c>
      <c r="HN54" s="23">
        <f>DATE(HG$6,8,1)</f>
        <v>51349</v>
      </c>
      <c r="HO54" s="23">
        <f>DATE(HG$6,9,1)</f>
        <v>51380</v>
      </c>
      <c r="HP54" s="23">
        <f>DATE(HG$6,10,1)</f>
        <v>51410</v>
      </c>
      <c r="HQ54" s="23">
        <f>DATE(HG$6,11,1)</f>
        <v>51441</v>
      </c>
      <c r="HR54" s="23">
        <f>DATE(HG$6,12,1)</f>
        <v>51471</v>
      </c>
      <c r="HS54" s="24">
        <f>HG$6</f>
        <v>2040</v>
      </c>
      <c r="HU54" s="23">
        <f>DATE(HU$6,1,1)</f>
        <v>51502</v>
      </c>
      <c r="HV54" s="23">
        <f>DATE(HU$6,2,1)</f>
        <v>51533</v>
      </c>
      <c r="HW54" s="23">
        <f>DATE(HU$6,3,1)</f>
        <v>51561</v>
      </c>
      <c r="HX54" s="23">
        <f>DATE(HU$6,4,1)</f>
        <v>51592</v>
      </c>
      <c r="HY54" s="23">
        <f>DATE(HU$6,5,1)</f>
        <v>51622</v>
      </c>
      <c r="HZ54" s="23">
        <f>DATE(HU$6,6,1)</f>
        <v>51653</v>
      </c>
      <c r="IA54" s="23">
        <f>DATE(HU$6,7,1)</f>
        <v>51683</v>
      </c>
      <c r="IB54" s="23">
        <f>DATE(HU$6,8,1)</f>
        <v>51714</v>
      </c>
      <c r="IC54" s="23">
        <f>DATE(HU$6,9,1)</f>
        <v>51745</v>
      </c>
      <c r="ID54" s="23">
        <f>DATE(HU$6,10,1)</f>
        <v>51775</v>
      </c>
      <c r="IE54" s="23">
        <f>DATE(HU$6,11,1)</f>
        <v>51806</v>
      </c>
      <c r="IF54" s="23">
        <f>DATE(HU$6,12,1)</f>
        <v>51836</v>
      </c>
      <c r="IG54" s="24">
        <f>HU$6</f>
        <v>2041</v>
      </c>
    </row>
    <row r="55" spans="3:241" x14ac:dyDescent="0.2">
      <c r="C55" s="20" t="s">
        <v>216</v>
      </c>
      <c r="E55" s="16"/>
      <c r="F55" s="16"/>
      <c r="G55" s="16"/>
      <c r="H55" s="16"/>
      <c r="I55" s="16"/>
      <c r="J55" s="16"/>
      <c r="K55" s="16"/>
      <c r="L55" s="16"/>
      <c r="M55" s="16"/>
      <c r="N55" s="16"/>
      <c r="O55" s="16"/>
      <c r="P55" s="16"/>
      <c r="Q55" s="19">
        <f t="shared" ref="Q55:Q65" si="19">SUM(E55:P55)</f>
        <v>0</v>
      </c>
      <c r="S55" s="16"/>
      <c r="T55" s="16"/>
      <c r="U55" s="16"/>
      <c r="V55" s="16"/>
      <c r="W55" s="16"/>
      <c r="X55" s="16"/>
      <c r="Y55" s="16"/>
      <c r="Z55" s="16"/>
      <c r="AA55" s="16"/>
      <c r="AB55" s="16"/>
      <c r="AC55" s="16"/>
      <c r="AD55" s="16"/>
      <c r="AE55" s="19">
        <f t="shared" ref="AE55:AE65" si="20">SUM(S55:AD55)</f>
        <v>0</v>
      </c>
      <c r="AG55" s="16"/>
      <c r="AH55" s="16"/>
      <c r="AI55" s="16"/>
      <c r="AJ55" s="16"/>
      <c r="AK55" s="16"/>
      <c r="AL55" s="16"/>
      <c r="AM55" s="16"/>
      <c r="AN55" s="16"/>
      <c r="AO55" s="16"/>
      <c r="AP55" s="16"/>
      <c r="AQ55" s="16"/>
      <c r="AR55" s="16"/>
      <c r="AS55" s="19">
        <f t="shared" ref="AS55:AS65" si="21">SUM(AG55:AR55)</f>
        <v>0</v>
      </c>
      <c r="AU55" s="16"/>
      <c r="AV55" s="16"/>
      <c r="AW55" s="16"/>
      <c r="AX55" s="16"/>
      <c r="AY55" s="16"/>
      <c r="AZ55" s="16"/>
      <c r="BA55" s="16"/>
      <c r="BB55" s="16"/>
      <c r="BC55" s="16"/>
      <c r="BD55" s="16"/>
      <c r="BE55" s="16"/>
      <c r="BF55" s="16"/>
      <c r="BG55" s="19">
        <f t="shared" ref="BG55:BG65" si="22">SUM(AU55:BF55)</f>
        <v>0</v>
      </c>
      <c r="BI55" s="16"/>
      <c r="BJ55" s="16"/>
      <c r="BK55" s="16"/>
      <c r="BL55" s="16"/>
      <c r="BM55" s="16"/>
      <c r="BN55" s="16"/>
      <c r="BO55" s="16"/>
      <c r="BP55" s="16"/>
      <c r="BQ55" s="16"/>
      <c r="BR55" s="16"/>
      <c r="BS55" s="16"/>
      <c r="BT55" s="16"/>
      <c r="BU55" s="19">
        <f t="shared" ref="BU55:BU65" si="23">SUM(BI55:BT55)</f>
        <v>0</v>
      </c>
      <c r="BW55" s="16"/>
      <c r="BX55" s="16"/>
      <c r="BY55" s="16"/>
      <c r="BZ55" s="16"/>
      <c r="CA55" s="16"/>
      <c r="CB55" s="16"/>
      <c r="CC55" s="16"/>
      <c r="CD55" s="16"/>
      <c r="CE55" s="16"/>
      <c r="CF55" s="16"/>
      <c r="CG55" s="16"/>
      <c r="CH55" s="16"/>
      <c r="CI55" s="19">
        <f t="shared" ref="CI55:CI65" si="24">SUM(BW55:CH55)</f>
        <v>0</v>
      </c>
      <c r="CK55" s="16"/>
      <c r="CL55" s="16"/>
      <c r="CM55" s="16"/>
      <c r="CN55" s="16"/>
      <c r="CO55" s="16"/>
      <c r="CP55" s="16"/>
      <c r="CQ55" s="16"/>
      <c r="CR55" s="16"/>
      <c r="CS55" s="16"/>
      <c r="CT55" s="16"/>
      <c r="CU55" s="16"/>
      <c r="CV55" s="16"/>
      <c r="CW55" s="19">
        <f t="shared" ref="CW55:CW65" si="25">SUM(CK55:CV55)</f>
        <v>0</v>
      </c>
      <c r="CY55" s="16"/>
      <c r="CZ55" s="16"/>
      <c r="DA55" s="16"/>
      <c r="DB55" s="16"/>
      <c r="DC55" s="16"/>
      <c r="DD55" s="16"/>
      <c r="DE55" s="16"/>
      <c r="DF55" s="16"/>
      <c r="DG55" s="16"/>
      <c r="DH55" s="16"/>
      <c r="DI55" s="16"/>
      <c r="DJ55" s="16"/>
      <c r="DK55" s="19">
        <f t="shared" ref="DK55:DK65" si="26">SUM(CY55:DJ55)</f>
        <v>0</v>
      </c>
      <c r="DM55" s="16"/>
      <c r="DN55" s="16"/>
      <c r="DO55" s="16"/>
      <c r="DP55" s="16"/>
      <c r="DQ55" s="16"/>
      <c r="DR55" s="16"/>
      <c r="DS55" s="16"/>
      <c r="DT55" s="16"/>
      <c r="DU55" s="16"/>
      <c r="DV55" s="16"/>
      <c r="DW55" s="16"/>
      <c r="DX55" s="16"/>
      <c r="DY55" s="19">
        <f t="shared" ref="DY55:DY65" si="27">SUM(DM55:DX55)</f>
        <v>0</v>
      </c>
      <c r="EA55" s="16"/>
      <c r="EB55" s="16"/>
      <c r="EC55" s="16"/>
      <c r="ED55" s="16"/>
      <c r="EE55" s="16"/>
      <c r="EF55" s="16"/>
      <c r="EG55" s="16"/>
      <c r="EH55" s="16"/>
      <c r="EI55" s="16"/>
      <c r="EJ55" s="16"/>
      <c r="EK55" s="16"/>
      <c r="EL55" s="16"/>
      <c r="EM55" s="19">
        <f t="shared" ref="EM55:EM65" si="28">SUM(EA55:EL55)</f>
        <v>0</v>
      </c>
      <c r="EO55" s="16"/>
      <c r="EP55" s="16"/>
      <c r="EQ55" s="16"/>
      <c r="ER55" s="16"/>
      <c r="ES55" s="16"/>
      <c r="ET55" s="16"/>
      <c r="EU55" s="16"/>
      <c r="EV55" s="16"/>
      <c r="EW55" s="16"/>
      <c r="EX55" s="16"/>
      <c r="EY55" s="16"/>
      <c r="EZ55" s="16"/>
      <c r="FA55" s="19">
        <f t="shared" ref="FA55:FA65" si="29">SUM(EO55:EZ55)</f>
        <v>0</v>
      </c>
      <c r="FC55" s="16"/>
      <c r="FD55" s="16"/>
      <c r="FE55" s="16"/>
      <c r="FF55" s="16"/>
      <c r="FG55" s="16"/>
      <c r="FH55" s="16"/>
      <c r="FI55" s="16"/>
      <c r="FJ55" s="16"/>
      <c r="FK55" s="16"/>
      <c r="FL55" s="16"/>
      <c r="FM55" s="16"/>
      <c r="FN55" s="16"/>
      <c r="FO55" s="19">
        <f t="shared" ref="FO55:FO65" si="30">SUM(FC55:FN55)</f>
        <v>0</v>
      </c>
      <c r="FQ55" s="16"/>
      <c r="FR55" s="16"/>
      <c r="FS55" s="16"/>
      <c r="FT55" s="16"/>
      <c r="FU55" s="16"/>
      <c r="FV55" s="16"/>
      <c r="FW55" s="16"/>
      <c r="FX55" s="16"/>
      <c r="FY55" s="16"/>
      <c r="FZ55" s="16"/>
      <c r="GA55" s="16"/>
      <c r="GB55" s="16"/>
      <c r="GC55" s="19">
        <f t="shared" ref="GC55:GC65" si="31">SUM(FQ55:GB55)</f>
        <v>0</v>
      </c>
      <c r="GE55" s="16"/>
      <c r="GF55" s="16"/>
      <c r="GG55" s="16"/>
      <c r="GH55" s="16"/>
      <c r="GI55" s="16"/>
      <c r="GJ55" s="16"/>
      <c r="GK55" s="16"/>
      <c r="GL55" s="16"/>
      <c r="GM55" s="16"/>
      <c r="GN55" s="16"/>
      <c r="GO55" s="16"/>
      <c r="GP55" s="16"/>
      <c r="GQ55" s="19">
        <f t="shared" ref="GQ55:GQ65" si="32">SUM(GE55:GP55)</f>
        <v>0</v>
      </c>
      <c r="GS55" s="16"/>
      <c r="GT55" s="16"/>
      <c r="GU55" s="16"/>
      <c r="GV55" s="16"/>
      <c r="GW55" s="16"/>
      <c r="GX55" s="16"/>
      <c r="GY55" s="16"/>
      <c r="GZ55" s="16"/>
      <c r="HA55" s="16"/>
      <c r="HB55" s="16"/>
      <c r="HC55" s="16"/>
      <c r="HD55" s="16"/>
      <c r="HE55" s="19">
        <f t="shared" ref="HE55:HE65" si="33">SUM(GS55:HD55)</f>
        <v>0</v>
      </c>
      <c r="HG55" s="16"/>
      <c r="HH55" s="16"/>
      <c r="HI55" s="16"/>
      <c r="HJ55" s="16"/>
      <c r="HK55" s="16"/>
      <c r="HL55" s="16"/>
      <c r="HM55" s="16"/>
      <c r="HN55" s="16"/>
      <c r="HO55" s="16"/>
      <c r="HP55" s="16"/>
      <c r="HQ55" s="16"/>
      <c r="HR55" s="16"/>
      <c r="HS55" s="19">
        <f t="shared" ref="HS55:HS65" si="34">SUM(HG55:HR55)</f>
        <v>0</v>
      </c>
      <c r="HU55" s="16"/>
      <c r="HV55" s="16"/>
      <c r="HW55" s="16"/>
      <c r="HX55" s="16"/>
      <c r="HY55" s="16"/>
      <c r="HZ55" s="16"/>
      <c r="IA55" s="16"/>
      <c r="IB55" s="16"/>
      <c r="IC55" s="16"/>
      <c r="ID55" s="16"/>
      <c r="IE55" s="16"/>
      <c r="IF55" s="16"/>
      <c r="IG55" s="19">
        <f t="shared" ref="IG55:IG65" si="35">SUM(HU55:IF55)</f>
        <v>0</v>
      </c>
    </row>
    <row r="56" spans="3:241" x14ac:dyDescent="0.2">
      <c r="C56" s="20" t="s">
        <v>18</v>
      </c>
      <c r="E56" s="16"/>
      <c r="F56" s="16"/>
      <c r="G56" s="16"/>
      <c r="H56" s="16"/>
      <c r="I56" s="16"/>
      <c r="J56" s="16"/>
      <c r="K56" s="16"/>
      <c r="L56" s="16"/>
      <c r="M56" s="16"/>
      <c r="N56" s="16"/>
      <c r="O56" s="16"/>
      <c r="P56" s="16"/>
      <c r="Q56" s="19"/>
      <c r="S56" s="16"/>
      <c r="T56" s="16"/>
      <c r="U56" s="16"/>
      <c r="V56" s="16"/>
      <c r="W56" s="16"/>
      <c r="X56" s="16"/>
      <c r="Y56" s="16"/>
      <c r="Z56" s="16"/>
      <c r="AA56" s="16"/>
      <c r="AB56" s="16"/>
      <c r="AC56" s="16"/>
      <c r="AD56" s="16"/>
      <c r="AE56" s="19"/>
      <c r="AG56" s="16"/>
      <c r="AH56" s="16"/>
      <c r="AI56" s="16"/>
      <c r="AJ56" s="16"/>
      <c r="AK56" s="16"/>
      <c r="AL56" s="16"/>
      <c r="AM56" s="16"/>
      <c r="AN56" s="16"/>
      <c r="AO56" s="16"/>
      <c r="AP56" s="16"/>
      <c r="AQ56" s="16"/>
      <c r="AR56" s="16"/>
      <c r="AS56" s="19"/>
      <c r="AU56" s="16"/>
      <c r="AV56" s="16"/>
      <c r="AW56" s="16"/>
      <c r="AX56" s="16"/>
      <c r="AY56" s="16"/>
      <c r="AZ56" s="16"/>
      <c r="BA56" s="16"/>
      <c r="BB56" s="16"/>
      <c r="BC56" s="16"/>
      <c r="BD56" s="16"/>
      <c r="BE56" s="16"/>
      <c r="BF56" s="16"/>
      <c r="BG56" s="19"/>
      <c r="BI56" s="16"/>
      <c r="BJ56" s="16"/>
      <c r="BK56" s="16"/>
      <c r="BL56" s="16"/>
      <c r="BM56" s="16"/>
      <c r="BN56" s="16"/>
      <c r="BO56" s="16"/>
      <c r="BP56" s="16"/>
      <c r="BQ56" s="16"/>
      <c r="BR56" s="16"/>
      <c r="BS56" s="16"/>
      <c r="BT56" s="16"/>
      <c r="BU56" s="19"/>
      <c r="BW56" s="16"/>
      <c r="BX56" s="16"/>
      <c r="BY56" s="16"/>
      <c r="BZ56" s="16"/>
      <c r="CA56" s="16"/>
      <c r="CB56" s="16"/>
      <c r="CC56" s="16"/>
      <c r="CD56" s="16"/>
      <c r="CE56" s="16"/>
      <c r="CF56" s="16"/>
      <c r="CG56" s="16"/>
      <c r="CH56" s="16"/>
      <c r="CI56" s="19"/>
      <c r="CK56" s="16"/>
      <c r="CL56" s="16"/>
      <c r="CM56" s="16"/>
      <c r="CN56" s="16"/>
      <c r="CO56" s="16"/>
      <c r="CP56" s="16"/>
      <c r="CQ56" s="16"/>
      <c r="CR56" s="16"/>
      <c r="CS56" s="16"/>
      <c r="CT56" s="16"/>
      <c r="CU56" s="16"/>
      <c r="CV56" s="16"/>
      <c r="CW56" s="19"/>
      <c r="CY56" s="16"/>
      <c r="CZ56" s="16"/>
      <c r="DA56" s="16"/>
      <c r="DB56" s="16"/>
      <c r="DC56" s="16"/>
      <c r="DD56" s="16"/>
      <c r="DE56" s="16"/>
      <c r="DF56" s="16"/>
      <c r="DG56" s="16"/>
      <c r="DH56" s="16"/>
      <c r="DI56" s="16"/>
      <c r="DJ56" s="16"/>
      <c r="DK56" s="19"/>
      <c r="DM56" s="16"/>
      <c r="DN56" s="16"/>
      <c r="DO56" s="16"/>
      <c r="DP56" s="16"/>
      <c r="DQ56" s="16"/>
      <c r="DR56" s="16"/>
      <c r="DS56" s="16"/>
      <c r="DT56" s="16"/>
      <c r="DU56" s="16"/>
      <c r="DV56" s="16"/>
      <c r="DW56" s="16"/>
      <c r="DX56" s="16"/>
      <c r="DY56" s="19"/>
      <c r="EA56" s="16"/>
      <c r="EB56" s="16"/>
      <c r="EC56" s="16"/>
      <c r="ED56" s="16"/>
      <c r="EE56" s="16"/>
      <c r="EF56" s="16"/>
      <c r="EG56" s="16"/>
      <c r="EH56" s="16"/>
      <c r="EI56" s="16"/>
      <c r="EJ56" s="16"/>
      <c r="EK56" s="16"/>
      <c r="EL56" s="16"/>
      <c r="EM56" s="19"/>
      <c r="EO56" s="16"/>
      <c r="EP56" s="16"/>
      <c r="EQ56" s="16"/>
      <c r="ER56" s="16"/>
      <c r="ES56" s="16"/>
      <c r="ET56" s="16"/>
      <c r="EU56" s="16"/>
      <c r="EV56" s="16"/>
      <c r="EW56" s="16"/>
      <c r="EX56" s="16"/>
      <c r="EY56" s="16"/>
      <c r="EZ56" s="16"/>
      <c r="FA56" s="19"/>
      <c r="FC56" s="16"/>
      <c r="FD56" s="16"/>
      <c r="FE56" s="16"/>
      <c r="FF56" s="16"/>
      <c r="FG56" s="16"/>
      <c r="FH56" s="16"/>
      <c r="FI56" s="16"/>
      <c r="FJ56" s="16"/>
      <c r="FK56" s="16"/>
      <c r="FL56" s="16"/>
      <c r="FM56" s="16"/>
      <c r="FN56" s="16"/>
      <c r="FO56" s="19"/>
      <c r="FQ56" s="16"/>
      <c r="FR56" s="16"/>
      <c r="FS56" s="16"/>
      <c r="FT56" s="16"/>
      <c r="FU56" s="16"/>
      <c r="FV56" s="16"/>
      <c r="FW56" s="16"/>
      <c r="FX56" s="16"/>
      <c r="FY56" s="16"/>
      <c r="FZ56" s="16"/>
      <c r="GA56" s="16"/>
      <c r="GB56" s="16"/>
      <c r="GC56" s="19"/>
      <c r="GE56" s="16"/>
      <c r="GF56" s="16"/>
      <c r="GG56" s="16"/>
      <c r="GH56" s="16"/>
      <c r="GI56" s="16"/>
      <c r="GJ56" s="16"/>
      <c r="GK56" s="16"/>
      <c r="GL56" s="16"/>
      <c r="GM56" s="16"/>
      <c r="GN56" s="16"/>
      <c r="GO56" s="16"/>
      <c r="GP56" s="16"/>
      <c r="GQ56" s="19"/>
      <c r="GS56" s="16"/>
      <c r="GT56" s="16"/>
      <c r="GU56" s="16"/>
      <c r="GV56" s="16"/>
      <c r="GW56" s="16"/>
      <c r="GX56" s="16"/>
      <c r="GY56" s="16"/>
      <c r="GZ56" s="16"/>
      <c r="HA56" s="16"/>
      <c r="HB56" s="16"/>
      <c r="HC56" s="16"/>
      <c r="HD56" s="16"/>
      <c r="HE56" s="19"/>
      <c r="HG56" s="16"/>
      <c r="HH56" s="16"/>
      <c r="HI56" s="16"/>
      <c r="HJ56" s="16"/>
      <c r="HK56" s="16"/>
      <c r="HL56" s="16"/>
      <c r="HM56" s="16"/>
      <c r="HN56" s="16"/>
      <c r="HO56" s="16"/>
      <c r="HP56" s="16"/>
      <c r="HQ56" s="16"/>
      <c r="HR56" s="16"/>
      <c r="HS56" s="19"/>
      <c r="HU56" s="16"/>
      <c r="HV56" s="16"/>
      <c r="HW56" s="16"/>
      <c r="HX56" s="16"/>
      <c r="HY56" s="16"/>
      <c r="HZ56" s="16"/>
      <c r="IA56" s="16"/>
      <c r="IB56" s="16"/>
      <c r="IC56" s="16"/>
      <c r="ID56" s="16"/>
      <c r="IE56" s="16"/>
      <c r="IF56" s="16"/>
      <c r="IG56" s="19"/>
    </row>
    <row r="57" spans="3:241" x14ac:dyDescent="0.2">
      <c r="C57" s="20" t="s">
        <v>19</v>
      </c>
      <c r="E57" s="16"/>
      <c r="F57" s="16"/>
      <c r="G57" s="16"/>
      <c r="H57" s="16"/>
      <c r="I57" s="16"/>
      <c r="J57" s="16"/>
      <c r="K57" s="16"/>
      <c r="L57" s="16"/>
      <c r="M57" s="16"/>
      <c r="N57" s="16"/>
      <c r="O57" s="16"/>
      <c r="P57" s="16"/>
      <c r="Q57" s="19">
        <f t="shared" si="19"/>
        <v>0</v>
      </c>
      <c r="S57" s="16"/>
      <c r="T57" s="16"/>
      <c r="U57" s="16"/>
      <c r="V57" s="16"/>
      <c r="W57" s="16"/>
      <c r="X57" s="16"/>
      <c r="Y57" s="16"/>
      <c r="Z57" s="16"/>
      <c r="AA57" s="16"/>
      <c r="AB57" s="16"/>
      <c r="AC57" s="16"/>
      <c r="AD57" s="16"/>
      <c r="AE57" s="19">
        <f t="shared" si="20"/>
        <v>0</v>
      </c>
      <c r="AG57" s="16"/>
      <c r="AH57" s="16"/>
      <c r="AI57" s="16"/>
      <c r="AJ57" s="16"/>
      <c r="AK57" s="16"/>
      <c r="AL57" s="16"/>
      <c r="AM57" s="16"/>
      <c r="AN57" s="16"/>
      <c r="AO57" s="16"/>
      <c r="AP57" s="16"/>
      <c r="AQ57" s="16"/>
      <c r="AR57" s="16"/>
      <c r="AS57" s="19">
        <f t="shared" si="21"/>
        <v>0</v>
      </c>
      <c r="AU57" s="16"/>
      <c r="AV57" s="16"/>
      <c r="AW57" s="16"/>
      <c r="AX57" s="16"/>
      <c r="AY57" s="16"/>
      <c r="AZ57" s="16"/>
      <c r="BA57" s="16"/>
      <c r="BB57" s="16"/>
      <c r="BC57" s="16"/>
      <c r="BD57" s="16"/>
      <c r="BE57" s="16"/>
      <c r="BF57" s="16"/>
      <c r="BG57" s="19">
        <f t="shared" si="22"/>
        <v>0</v>
      </c>
      <c r="BI57" s="16"/>
      <c r="BJ57" s="16"/>
      <c r="BK57" s="16"/>
      <c r="BL57" s="16"/>
      <c r="BM57" s="16"/>
      <c r="BN57" s="16"/>
      <c r="BO57" s="16"/>
      <c r="BP57" s="16"/>
      <c r="BQ57" s="16"/>
      <c r="BR57" s="16"/>
      <c r="BS57" s="16"/>
      <c r="BT57" s="16"/>
      <c r="BU57" s="19">
        <f t="shared" si="23"/>
        <v>0</v>
      </c>
      <c r="BW57" s="16"/>
      <c r="BX57" s="16"/>
      <c r="BY57" s="16"/>
      <c r="BZ57" s="16"/>
      <c r="CA57" s="16"/>
      <c r="CB57" s="16"/>
      <c r="CC57" s="16"/>
      <c r="CD57" s="16"/>
      <c r="CE57" s="16"/>
      <c r="CF57" s="16"/>
      <c r="CG57" s="16"/>
      <c r="CH57" s="16"/>
      <c r="CI57" s="19">
        <f t="shared" si="24"/>
        <v>0</v>
      </c>
      <c r="CK57" s="16"/>
      <c r="CL57" s="16"/>
      <c r="CM57" s="16"/>
      <c r="CN57" s="16"/>
      <c r="CO57" s="16"/>
      <c r="CP57" s="16"/>
      <c r="CQ57" s="16"/>
      <c r="CR57" s="16"/>
      <c r="CS57" s="16"/>
      <c r="CT57" s="16"/>
      <c r="CU57" s="16"/>
      <c r="CV57" s="16"/>
      <c r="CW57" s="19">
        <f t="shared" si="25"/>
        <v>0</v>
      </c>
      <c r="CY57" s="16"/>
      <c r="CZ57" s="16"/>
      <c r="DA57" s="16"/>
      <c r="DB57" s="16"/>
      <c r="DC57" s="16"/>
      <c r="DD57" s="16"/>
      <c r="DE57" s="16"/>
      <c r="DF57" s="16"/>
      <c r="DG57" s="16"/>
      <c r="DH57" s="16"/>
      <c r="DI57" s="16"/>
      <c r="DJ57" s="16"/>
      <c r="DK57" s="19">
        <f t="shared" si="26"/>
        <v>0</v>
      </c>
      <c r="DM57" s="16"/>
      <c r="DN57" s="16"/>
      <c r="DO57" s="16"/>
      <c r="DP57" s="16"/>
      <c r="DQ57" s="16"/>
      <c r="DR57" s="16"/>
      <c r="DS57" s="16"/>
      <c r="DT57" s="16"/>
      <c r="DU57" s="16"/>
      <c r="DV57" s="16"/>
      <c r="DW57" s="16"/>
      <c r="DX57" s="16"/>
      <c r="DY57" s="19">
        <f t="shared" si="27"/>
        <v>0</v>
      </c>
      <c r="EA57" s="16"/>
      <c r="EB57" s="16"/>
      <c r="EC57" s="16"/>
      <c r="ED57" s="16"/>
      <c r="EE57" s="16"/>
      <c r="EF57" s="16"/>
      <c r="EG57" s="16"/>
      <c r="EH57" s="16"/>
      <c r="EI57" s="16"/>
      <c r="EJ57" s="16"/>
      <c r="EK57" s="16"/>
      <c r="EL57" s="16"/>
      <c r="EM57" s="19">
        <f t="shared" si="28"/>
        <v>0</v>
      </c>
      <c r="EO57" s="16"/>
      <c r="EP57" s="16"/>
      <c r="EQ57" s="16"/>
      <c r="ER57" s="16"/>
      <c r="ES57" s="16"/>
      <c r="ET57" s="16"/>
      <c r="EU57" s="16"/>
      <c r="EV57" s="16"/>
      <c r="EW57" s="16"/>
      <c r="EX57" s="16"/>
      <c r="EY57" s="16"/>
      <c r="EZ57" s="16"/>
      <c r="FA57" s="19">
        <f t="shared" si="29"/>
        <v>0</v>
      </c>
      <c r="FC57" s="16"/>
      <c r="FD57" s="16"/>
      <c r="FE57" s="16"/>
      <c r="FF57" s="16"/>
      <c r="FG57" s="16"/>
      <c r="FH57" s="16"/>
      <c r="FI57" s="16"/>
      <c r="FJ57" s="16"/>
      <c r="FK57" s="16"/>
      <c r="FL57" s="16"/>
      <c r="FM57" s="16"/>
      <c r="FN57" s="16"/>
      <c r="FO57" s="19">
        <f t="shared" si="30"/>
        <v>0</v>
      </c>
      <c r="FQ57" s="16"/>
      <c r="FR57" s="16"/>
      <c r="FS57" s="16"/>
      <c r="FT57" s="16"/>
      <c r="FU57" s="16"/>
      <c r="FV57" s="16"/>
      <c r="FW57" s="16"/>
      <c r="FX57" s="16"/>
      <c r="FY57" s="16"/>
      <c r="FZ57" s="16"/>
      <c r="GA57" s="16"/>
      <c r="GB57" s="16"/>
      <c r="GC57" s="19">
        <f t="shared" si="31"/>
        <v>0</v>
      </c>
      <c r="GE57" s="16"/>
      <c r="GF57" s="16"/>
      <c r="GG57" s="16"/>
      <c r="GH57" s="16"/>
      <c r="GI57" s="16"/>
      <c r="GJ57" s="16"/>
      <c r="GK57" s="16"/>
      <c r="GL57" s="16"/>
      <c r="GM57" s="16"/>
      <c r="GN57" s="16"/>
      <c r="GO57" s="16"/>
      <c r="GP57" s="16"/>
      <c r="GQ57" s="19">
        <f t="shared" si="32"/>
        <v>0</v>
      </c>
      <c r="GS57" s="16"/>
      <c r="GT57" s="16"/>
      <c r="GU57" s="16"/>
      <c r="GV57" s="16"/>
      <c r="GW57" s="16"/>
      <c r="GX57" s="16"/>
      <c r="GY57" s="16"/>
      <c r="GZ57" s="16"/>
      <c r="HA57" s="16"/>
      <c r="HB57" s="16"/>
      <c r="HC57" s="16"/>
      <c r="HD57" s="16"/>
      <c r="HE57" s="19">
        <f t="shared" si="33"/>
        <v>0</v>
      </c>
      <c r="HG57" s="16"/>
      <c r="HH57" s="16"/>
      <c r="HI57" s="16"/>
      <c r="HJ57" s="16"/>
      <c r="HK57" s="16"/>
      <c r="HL57" s="16"/>
      <c r="HM57" s="16"/>
      <c r="HN57" s="16"/>
      <c r="HO57" s="16"/>
      <c r="HP57" s="16"/>
      <c r="HQ57" s="16"/>
      <c r="HR57" s="16"/>
      <c r="HS57" s="19">
        <f t="shared" si="34"/>
        <v>0</v>
      </c>
      <c r="HU57" s="16"/>
      <c r="HV57" s="16"/>
      <c r="HW57" s="16"/>
      <c r="HX57" s="16"/>
      <c r="HY57" s="16"/>
      <c r="HZ57" s="16"/>
      <c r="IA57" s="16"/>
      <c r="IB57" s="16"/>
      <c r="IC57" s="16"/>
      <c r="ID57" s="16"/>
      <c r="IE57" s="16"/>
      <c r="IF57" s="16"/>
      <c r="IG57" s="19">
        <f t="shared" si="35"/>
        <v>0</v>
      </c>
    </row>
    <row r="58" spans="3:241" x14ac:dyDescent="0.2">
      <c r="C58" s="20" t="s">
        <v>20</v>
      </c>
      <c r="E58" s="16"/>
      <c r="F58" s="16"/>
      <c r="G58" s="16"/>
      <c r="H58" s="16"/>
      <c r="I58" s="16"/>
      <c r="J58" s="16"/>
      <c r="K58" s="16"/>
      <c r="L58" s="16"/>
      <c r="M58" s="16"/>
      <c r="N58" s="16"/>
      <c r="O58" s="16"/>
      <c r="P58" s="16"/>
      <c r="Q58" s="19">
        <f t="shared" si="19"/>
        <v>0</v>
      </c>
      <c r="S58" s="16"/>
      <c r="T58" s="16"/>
      <c r="U58" s="16"/>
      <c r="V58" s="16"/>
      <c r="W58" s="16"/>
      <c r="X58" s="16"/>
      <c r="Y58" s="16"/>
      <c r="Z58" s="16"/>
      <c r="AA58" s="16"/>
      <c r="AB58" s="16"/>
      <c r="AC58" s="16"/>
      <c r="AD58" s="16"/>
      <c r="AE58" s="19">
        <f t="shared" si="20"/>
        <v>0</v>
      </c>
      <c r="AG58" s="16"/>
      <c r="AH58" s="16"/>
      <c r="AI58" s="16"/>
      <c r="AJ58" s="16"/>
      <c r="AK58" s="16"/>
      <c r="AL58" s="16"/>
      <c r="AM58" s="16"/>
      <c r="AN58" s="16"/>
      <c r="AO58" s="16"/>
      <c r="AP58" s="16"/>
      <c r="AQ58" s="16"/>
      <c r="AR58" s="16"/>
      <c r="AS58" s="19">
        <f t="shared" si="21"/>
        <v>0</v>
      </c>
      <c r="AU58" s="16"/>
      <c r="AV58" s="16"/>
      <c r="AW58" s="16"/>
      <c r="AX58" s="16"/>
      <c r="AY58" s="16"/>
      <c r="AZ58" s="16"/>
      <c r="BA58" s="16"/>
      <c r="BB58" s="16"/>
      <c r="BC58" s="16"/>
      <c r="BD58" s="16"/>
      <c r="BE58" s="16"/>
      <c r="BF58" s="16"/>
      <c r="BG58" s="19">
        <f t="shared" si="22"/>
        <v>0</v>
      </c>
      <c r="BI58" s="16"/>
      <c r="BJ58" s="16"/>
      <c r="BK58" s="16"/>
      <c r="BL58" s="16"/>
      <c r="BM58" s="16"/>
      <c r="BN58" s="16"/>
      <c r="BO58" s="16"/>
      <c r="BP58" s="16"/>
      <c r="BQ58" s="16"/>
      <c r="BR58" s="16"/>
      <c r="BS58" s="16"/>
      <c r="BT58" s="16"/>
      <c r="BU58" s="19">
        <f t="shared" si="23"/>
        <v>0</v>
      </c>
      <c r="BW58" s="16"/>
      <c r="BX58" s="16"/>
      <c r="BY58" s="16"/>
      <c r="BZ58" s="16"/>
      <c r="CA58" s="16"/>
      <c r="CB58" s="16"/>
      <c r="CC58" s="16"/>
      <c r="CD58" s="16"/>
      <c r="CE58" s="16"/>
      <c r="CF58" s="16"/>
      <c r="CG58" s="16"/>
      <c r="CH58" s="16"/>
      <c r="CI58" s="19">
        <f t="shared" si="24"/>
        <v>0</v>
      </c>
      <c r="CK58" s="16"/>
      <c r="CL58" s="16"/>
      <c r="CM58" s="16"/>
      <c r="CN58" s="16"/>
      <c r="CO58" s="16"/>
      <c r="CP58" s="16"/>
      <c r="CQ58" s="16"/>
      <c r="CR58" s="16"/>
      <c r="CS58" s="16"/>
      <c r="CT58" s="16"/>
      <c r="CU58" s="16"/>
      <c r="CV58" s="16"/>
      <c r="CW58" s="19">
        <f t="shared" si="25"/>
        <v>0</v>
      </c>
      <c r="CY58" s="16"/>
      <c r="CZ58" s="16"/>
      <c r="DA58" s="16"/>
      <c r="DB58" s="16"/>
      <c r="DC58" s="16"/>
      <c r="DD58" s="16"/>
      <c r="DE58" s="16"/>
      <c r="DF58" s="16"/>
      <c r="DG58" s="16"/>
      <c r="DH58" s="16"/>
      <c r="DI58" s="16"/>
      <c r="DJ58" s="16"/>
      <c r="DK58" s="19">
        <f t="shared" si="26"/>
        <v>0</v>
      </c>
      <c r="DM58" s="16"/>
      <c r="DN58" s="16"/>
      <c r="DO58" s="16"/>
      <c r="DP58" s="16"/>
      <c r="DQ58" s="16"/>
      <c r="DR58" s="16"/>
      <c r="DS58" s="16"/>
      <c r="DT58" s="16"/>
      <c r="DU58" s="16"/>
      <c r="DV58" s="16"/>
      <c r="DW58" s="16"/>
      <c r="DX58" s="16"/>
      <c r="DY58" s="19">
        <f t="shared" si="27"/>
        <v>0</v>
      </c>
      <c r="EA58" s="16"/>
      <c r="EB58" s="16"/>
      <c r="EC58" s="16"/>
      <c r="ED58" s="16"/>
      <c r="EE58" s="16"/>
      <c r="EF58" s="16"/>
      <c r="EG58" s="16"/>
      <c r="EH58" s="16"/>
      <c r="EI58" s="16"/>
      <c r="EJ58" s="16"/>
      <c r="EK58" s="16"/>
      <c r="EL58" s="16"/>
      <c r="EM58" s="19">
        <f t="shared" si="28"/>
        <v>0</v>
      </c>
      <c r="EO58" s="16"/>
      <c r="EP58" s="16"/>
      <c r="EQ58" s="16"/>
      <c r="ER58" s="16"/>
      <c r="ES58" s="16"/>
      <c r="ET58" s="16"/>
      <c r="EU58" s="16"/>
      <c r="EV58" s="16"/>
      <c r="EW58" s="16"/>
      <c r="EX58" s="16"/>
      <c r="EY58" s="16"/>
      <c r="EZ58" s="16"/>
      <c r="FA58" s="19">
        <f t="shared" si="29"/>
        <v>0</v>
      </c>
      <c r="FC58" s="16"/>
      <c r="FD58" s="16"/>
      <c r="FE58" s="16"/>
      <c r="FF58" s="16"/>
      <c r="FG58" s="16"/>
      <c r="FH58" s="16"/>
      <c r="FI58" s="16"/>
      <c r="FJ58" s="16"/>
      <c r="FK58" s="16"/>
      <c r="FL58" s="16"/>
      <c r="FM58" s="16"/>
      <c r="FN58" s="16"/>
      <c r="FO58" s="19">
        <f t="shared" si="30"/>
        <v>0</v>
      </c>
      <c r="FQ58" s="16"/>
      <c r="FR58" s="16"/>
      <c r="FS58" s="16"/>
      <c r="FT58" s="16"/>
      <c r="FU58" s="16"/>
      <c r="FV58" s="16"/>
      <c r="FW58" s="16"/>
      <c r="FX58" s="16"/>
      <c r="FY58" s="16"/>
      <c r="FZ58" s="16"/>
      <c r="GA58" s="16"/>
      <c r="GB58" s="16"/>
      <c r="GC58" s="19">
        <f t="shared" si="31"/>
        <v>0</v>
      </c>
      <c r="GE58" s="16"/>
      <c r="GF58" s="16"/>
      <c r="GG58" s="16"/>
      <c r="GH58" s="16"/>
      <c r="GI58" s="16"/>
      <c r="GJ58" s="16"/>
      <c r="GK58" s="16"/>
      <c r="GL58" s="16"/>
      <c r="GM58" s="16"/>
      <c r="GN58" s="16"/>
      <c r="GO58" s="16"/>
      <c r="GP58" s="16"/>
      <c r="GQ58" s="19">
        <f t="shared" si="32"/>
        <v>0</v>
      </c>
      <c r="GS58" s="16"/>
      <c r="GT58" s="16"/>
      <c r="GU58" s="16"/>
      <c r="GV58" s="16"/>
      <c r="GW58" s="16"/>
      <c r="GX58" s="16"/>
      <c r="GY58" s="16"/>
      <c r="GZ58" s="16"/>
      <c r="HA58" s="16"/>
      <c r="HB58" s="16"/>
      <c r="HC58" s="16"/>
      <c r="HD58" s="16"/>
      <c r="HE58" s="19">
        <f t="shared" si="33"/>
        <v>0</v>
      </c>
      <c r="HG58" s="16"/>
      <c r="HH58" s="16"/>
      <c r="HI58" s="16"/>
      <c r="HJ58" s="16"/>
      <c r="HK58" s="16"/>
      <c r="HL58" s="16"/>
      <c r="HM58" s="16"/>
      <c r="HN58" s="16"/>
      <c r="HO58" s="16"/>
      <c r="HP58" s="16"/>
      <c r="HQ58" s="16"/>
      <c r="HR58" s="16"/>
      <c r="HS58" s="19">
        <f t="shared" si="34"/>
        <v>0</v>
      </c>
      <c r="HU58" s="16"/>
      <c r="HV58" s="16"/>
      <c r="HW58" s="16"/>
      <c r="HX58" s="16"/>
      <c r="HY58" s="16"/>
      <c r="HZ58" s="16"/>
      <c r="IA58" s="16"/>
      <c r="IB58" s="16"/>
      <c r="IC58" s="16"/>
      <c r="ID58" s="16"/>
      <c r="IE58" s="16"/>
      <c r="IF58" s="16"/>
      <c r="IG58" s="19">
        <f t="shared" si="35"/>
        <v>0</v>
      </c>
    </row>
    <row r="59" spans="3:241" x14ac:dyDescent="0.2">
      <c r="C59" s="17" t="s">
        <v>26</v>
      </c>
      <c r="E59" s="16"/>
      <c r="F59" s="16"/>
      <c r="G59" s="16"/>
      <c r="H59" s="16"/>
      <c r="I59" s="16"/>
      <c r="J59" s="16"/>
      <c r="K59" s="16"/>
      <c r="L59" s="16"/>
      <c r="M59" s="16"/>
      <c r="N59" s="16"/>
      <c r="O59" s="16"/>
      <c r="P59" s="16"/>
      <c r="Q59" s="19">
        <f t="shared" si="19"/>
        <v>0</v>
      </c>
      <c r="S59" s="16"/>
      <c r="T59" s="16"/>
      <c r="U59" s="16"/>
      <c r="V59" s="16"/>
      <c r="W59" s="16"/>
      <c r="X59" s="16"/>
      <c r="Y59" s="16"/>
      <c r="Z59" s="16"/>
      <c r="AA59" s="16"/>
      <c r="AB59" s="16"/>
      <c r="AC59" s="16"/>
      <c r="AD59" s="16"/>
      <c r="AE59" s="19">
        <f t="shared" si="20"/>
        <v>0</v>
      </c>
      <c r="AG59" s="16"/>
      <c r="AH59" s="16"/>
      <c r="AI59" s="16"/>
      <c r="AJ59" s="16"/>
      <c r="AK59" s="16"/>
      <c r="AL59" s="16"/>
      <c r="AM59" s="16"/>
      <c r="AN59" s="16"/>
      <c r="AO59" s="16"/>
      <c r="AP59" s="16"/>
      <c r="AQ59" s="16"/>
      <c r="AR59" s="16"/>
      <c r="AS59" s="19">
        <f t="shared" si="21"/>
        <v>0</v>
      </c>
      <c r="AU59" s="16"/>
      <c r="AV59" s="16"/>
      <c r="AW59" s="16"/>
      <c r="AX59" s="16"/>
      <c r="AY59" s="16"/>
      <c r="AZ59" s="16"/>
      <c r="BA59" s="16"/>
      <c r="BB59" s="16"/>
      <c r="BC59" s="16"/>
      <c r="BD59" s="16"/>
      <c r="BE59" s="16"/>
      <c r="BF59" s="16"/>
      <c r="BG59" s="19">
        <f t="shared" si="22"/>
        <v>0</v>
      </c>
      <c r="BI59" s="16"/>
      <c r="BJ59" s="16"/>
      <c r="BK59" s="16"/>
      <c r="BL59" s="16"/>
      <c r="BM59" s="16"/>
      <c r="BN59" s="16"/>
      <c r="BO59" s="16"/>
      <c r="BP59" s="16"/>
      <c r="BQ59" s="16"/>
      <c r="BR59" s="16"/>
      <c r="BS59" s="16"/>
      <c r="BT59" s="16"/>
      <c r="BU59" s="19">
        <f t="shared" si="23"/>
        <v>0</v>
      </c>
      <c r="BW59" s="16"/>
      <c r="BX59" s="16"/>
      <c r="BY59" s="16"/>
      <c r="BZ59" s="16"/>
      <c r="CA59" s="16"/>
      <c r="CB59" s="16"/>
      <c r="CC59" s="16"/>
      <c r="CD59" s="16"/>
      <c r="CE59" s="16"/>
      <c r="CF59" s="16"/>
      <c r="CG59" s="16"/>
      <c r="CH59" s="16"/>
      <c r="CI59" s="19">
        <f t="shared" si="24"/>
        <v>0</v>
      </c>
      <c r="CK59" s="16"/>
      <c r="CL59" s="16"/>
      <c r="CM59" s="16"/>
      <c r="CN59" s="16"/>
      <c r="CO59" s="16"/>
      <c r="CP59" s="16"/>
      <c r="CQ59" s="16"/>
      <c r="CR59" s="16"/>
      <c r="CS59" s="16"/>
      <c r="CT59" s="16"/>
      <c r="CU59" s="16"/>
      <c r="CV59" s="16"/>
      <c r="CW59" s="19">
        <f t="shared" si="25"/>
        <v>0</v>
      </c>
      <c r="CY59" s="16"/>
      <c r="CZ59" s="16"/>
      <c r="DA59" s="16"/>
      <c r="DB59" s="16"/>
      <c r="DC59" s="16"/>
      <c r="DD59" s="16"/>
      <c r="DE59" s="16"/>
      <c r="DF59" s="16"/>
      <c r="DG59" s="16"/>
      <c r="DH59" s="16"/>
      <c r="DI59" s="16"/>
      <c r="DJ59" s="16"/>
      <c r="DK59" s="19">
        <f t="shared" si="26"/>
        <v>0</v>
      </c>
      <c r="DM59" s="16"/>
      <c r="DN59" s="16"/>
      <c r="DO59" s="16"/>
      <c r="DP59" s="16"/>
      <c r="DQ59" s="16"/>
      <c r="DR59" s="16"/>
      <c r="DS59" s="16"/>
      <c r="DT59" s="16"/>
      <c r="DU59" s="16"/>
      <c r="DV59" s="16"/>
      <c r="DW59" s="16"/>
      <c r="DX59" s="16"/>
      <c r="DY59" s="19">
        <f t="shared" si="27"/>
        <v>0</v>
      </c>
      <c r="EA59" s="16"/>
      <c r="EB59" s="16"/>
      <c r="EC59" s="16"/>
      <c r="ED59" s="16"/>
      <c r="EE59" s="16"/>
      <c r="EF59" s="16"/>
      <c r="EG59" s="16"/>
      <c r="EH59" s="16"/>
      <c r="EI59" s="16"/>
      <c r="EJ59" s="16"/>
      <c r="EK59" s="16"/>
      <c r="EL59" s="16"/>
      <c r="EM59" s="19">
        <f t="shared" si="28"/>
        <v>0</v>
      </c>
      <c r="EO59" s="16"/>
      <c r="EP59" s="16"/>
      <c r="EQ59" s="16"/>
      <c r="ER59" s="16"/>
      <c r="ES59" s="16"/>
      <c r="ET59" s="16"/>
      <c r="EU59" s="16"/>
      <c r="EV59" s="16"/>
      <c r="EW59" s="16"/>
      <c r="EX59" s="16"/>
      <c r="EY59" s="16"/>
      <c r="EZ59" s="16"/>
      <c r="FA59" s="19">
        <f t="shared" si="29"/>
        <v>0</v>
      </c>
      <c r="FC59" s="16"/>
      <c r="FD59" s="16"/>
      <c r="FE59" s="16"/>
      <c r="FF59" s="16"/>
      <c r="FG59" s="16"/>
      <c r="FH59" s="16"/>
      <c r="FI59" s="16"/>
      <c r="FJ59" s="16"/>
      <c r="FK59" s="16"/>
      <c r="FL59" s="16"/>
      <c r="FM59" s="16"/>
      <c r="FN59" s="16"/>
      <c r="FO59" s="19">
        <f t="shared" si="30"/>
        <v>0</v>
      </c>
      <c r="FQ59" s="16"/>
      <c r="FR59" s="16"/>
      <c r="FS59" s="16"/>
      <c r="FT59" s="16"/>
      <c r="FU59" s="16"/>
      <c r="FV59" s="16"/>
      <c r="FW59" s="16"/>
      <c r="FX59" s="16"/>
      <c r="FY59" s="16"/>
      <c r="FZ59" s="16"/>
      <c r="GA59" s="16"/>
      <c r="GB59" s="16"/>
      <c r="GC59" s="19">
        <f t="shared" si="31"/>
        <v>0</v>
      </c>
      <c r="GE59" s="16"/>
      <c r="GF59" s="16"/>
      <c r="GG59" s="16"/>
      <c r="GH59" s="16"/>
      <c r="GI59" s="16"/>
      <c r="GJ59" s="16"/>
      <c r="GK59" s="16"/>
      <c r="GL59" s="16"/>
      <c r="GM59" s="16"/>
      <c r="GN59" s="16"/>
      <c r="GO59" s="16"/>
      <c r="GP59" s="16"/>
      <c r="GQ59" s="19">
        <f t="shared" si="32"/>
        <v>0</v>
      </c>
      <c r="GS59" s="16"/>
      <c r="GT59" s="16"/>
      <c r="GU59" s="16"/>
      <c r="GV59" s="16"/>
      <c r="GW59" s="16"/>
      <c r="GX59" s="16"/>
      <c r="GY59" s="16"/>
      <c r="GZ59" s="16"/>
      <c r="HA59" s="16"/>
      <c r="HB59" s="16"/>
      <c r="HC59" s="16"/>
      <c r="HD59" s="16"/>
      <c r="HE59" s="19">
        <f t="shared" si="33"/>
        <v>0</v>
      </c>
      <c r="HG59" s="16"/>
      <c r="HH59" s="16"/>
      <c r="HI59" s="16"/>
      <c r="HJ59" s="16"/>
      <c r="HK59" s="16"/>
      <c r="HL59" s="16"/>
      <c r="HM59" s="16"/>
      <c r="HN59" s="16"/>
      <c r="HO59" s="16"/>
      <c r="HP59" s="16"/>
      <c r="HQ59" s="16"/>
      <c r="HR59" s="16"/>
      <c r="HS59" s="19">
        <f t="shared" si="34"/>
        <v>0</v>
      </c>
      <c r="HU59" s="16"/>
      <c r="HV59" s="16"/>
      <c r="HW59" s="16"/>
      <c r="HX59" s="16"/>
      <c r="HY59" s="16"/>
      <c r="HZ59" s="16"/>
      <c r="IA59" s="16"/>
      <c r="IB59" s="16"/>
      <c r="IC59" s="16"/>
      <c r="ID59" s="16"/>
      <c r="IE59" s="16"/>
      <c r="IF59" s="16"/>
      <c r="IG59" s="19">
        <f t="shared" si="35"/>
        <v>0</v>
      </c>
    </row>
    <row r="60" spans="3:241" x14ac:dyDescent="0.2">
      <c r="C60" s="17" t="s">
        <v>27</v>
      </c>
      <c r="E60" s="16"/>
      <c r="F60" s="16"/>
      <c r="G60" s="16"/>
      <c r="H60" s="16"/>
      <c r="I60" s="16"/>
      <c r="J60" s="16"/>
      <c r="K60" s="16"/>
      <c r="L60" s="16"/>
      <c r="M60" s="16"/>
      <c r="N60" s="16"/>
      <c r="O60" s="16"/>
      <c r="P60" s="16"/>
      <c r="Q60" s="19">
        <f t="shared" si="19"/>
        <v>0</v>
      </c>
      <c r="S60" s="16"/>
      <c r="T60" s="16"/>
      <c r="U60" s="16"/>
      <c r="V60" s="16"/>
      <c r="W60" s="16"/>
      <c r="X60" s="16"/>
      <c r="Y60" s="16"/>
      <c r="Z60" s="16"/>
      <c r="AA60" s="16"/>
      <c r="AB60" s="16"/>
      <c r="AC60" s="16"/>
      <c r="AD60" s="16"/>
      <c r="AE60" s="19">
        <f t="shared" si="20"/>
        <v>0</v>
      </c>
      <c r="AG60" s="16"/>
      <c r="AH60" s="16"/>
      <c r="AI60" s="16"/>
      <c r="AJ60" s="16"/>
      <c r="AK60" s="16"/>
      <c r="AL60" s="16"/>
      <c r="AM60" s="16"/>
      <c r="AN60" s="16"/>
      <c r="AO60" s="16"/>
      <c r="AP60" s="16"/>
      <c r="AQ60" s="16"/>
      <c r="AR60" s="16"/>
      <c r="AS60" s="19">
        <f t="shared" si="21"/>
        <v>0</v>
      </c>
      <c r="AU60" s="16"/>
      <c r="AV60" s="16"/>
      <c r="AW60" s="16"/>
      <c r="AX60" s="16"/>
      <c r="AY60" s="16"/>
      <c r="AZ60" s="16"/>
      <c r="BA60" s="16"/>
      <c r="BB60" s="16"/>
      <c r="BC60" s="16"/>
      <c r="BD60" s="16"/>
      <c r="BE60" s="16"/>
      <c r="BF60" s="16"/>
      <c r="BG60" s="19">
        <f t="shared" si="22"/>
        <v>0</v>
      </c>
      <c r="BI60" s="16"/>
      <c r="BJ60" s="16"/>
      <c r="BK60" s="16"/>
      <c r="BL60" s="16"/>
      <c r="BM60" s="16"/>
      <c r="BN60" s="16"/>
      <c r="BO60" s="16"/>
      <c r="BP60" s="16"/>
      <c r="BQ60" s="16"/>
      <c r="BR60" s="16"/>
      <c r="BS60" s="16"/>
      <c r="BT60" s="16"/>
      <c r="BU60" s="19">
        <f t="shared" si="23"/>
        <v>0</v>
      </c>
      <c r="BW60" s="16"/>
      <c r="BX60" s="16"/>
      <c r="BY60" s="16"/>
      <c r="BZ60" s="16"/>
      <c r="CA60" s="16"/>
      <c r="CB60" s="16"/>
      <c r="CC60" s="16"/>
      <c r="CD60" s="16"/>
      <c r="CE60" s="16"/>
      <c r="CF60" s="16"/>
      <c r="CG60" s="16"/>
      <c r="CH60" s="16"/>
      <c r="CI60" s="19">
        <f t="shared" si="24"/>
        <v>0</v>
      </c>
      <c r="CK60" s="16"/>
      <c r="CL60" s="16"/>
      <c r="CM60" s="16"/>
      <c r="CN60" s="16"/>
      <c r="CO60" s="16"/>
      <c r="CP60" s="16"/>
      <c r="CQ60" s="16"/>
      <c r="CR60" s="16"/>
      <c r="CS60" s="16"/>
      <c r="CT60" s="16"/>
      <c r="CU60" s="16"/>
      <c r="CV60" s="16"/>
      <c r="CW60" s="19">
        <f t="shared" si="25"/>
        <v>0</v>
      </c>
      <c r="CY60" s="16"/>
      <c r="CZ60" s="16"/>
      <c r="DA60" s="16"/>
      <c r="DB60" s="16"/>
      <c r="DC60" s="16"/>
      <c r="DD60" s="16"/>
      <c r="DE60" s="16"/>
      <c r="DF60" s="16"/>
      <c r="DG60" s="16"/>
      <c r="DH60" s="16"/>
      <c r="DI60" s="16"/>
      <c r="DJ60" s="16"/>
      <c r="DK60" s="19">
        <f t="shared" si="26"/>
        <v>0</v>
      </c>
      <c r="DM60" s="16"/>
      <c r="DN60" s="16"/>
      <c r="DO60" s="16"/>
      <c r="DP60" s="16"/>
      <c r="DQ60" s="16"/>
      <c r="DR60" s="16"/>
      <c r="DS60" s="16"/>
      <c r="DT60" s="16"/>
      <c r="DU60" s="16"/>
      <c r="DV60" s="16"/>
      <c r="DW60" s="16"/>
      <c r="DX60" s="16"/>
      <c r="DY60" s="19">
        <f t="shared" si="27"/>
        <v>0</v>
      </c>
      <c r="EA60" s="16"/>
      <c r="EB60" s="16"/>
      <c r="EC60" s="16"/>
      <c r="ED60" s="16"/>
      <c r="EE60" s="16"/>
      <c r="EF60" s="16"/>
      <c r="EG60" s="16"/>
      <c r="EH60" s="16"/>
      <c r="EI60" s="16"/>
      <c r="EJ60" s="16"/>
      <c r="EK60" s="16"/>
      <c r="EL60" s="16"/>
      <c r="EM60" s="19">
        <f t="shared" si="28"/>
        <v>0</v>
      </c>
      <c r="EO60" s="16"/>
      <c r="EP60" s="16"/>
      <c r="EQ60" s="16"/>
      <c r="ER60" s="16"/>
      <c r="ES60" s="16"/>
      <c r="ET60" s="16"/>
      <c r="EU60" s="16"/>
      <c r="EV60" s="16"/>
      <c r="EW60" s="16"/>
      <c r="EX60" s="16"/>
      <c r="EY60" s="16"/>
      <c r="EZ60" s="16"/>
      <c r="FA60" s="19">
        <f t="shared" si="29"/>
        <v>0</v>
      </c>
      <c r="FC60" s="16"/>
      <c r="FD60" s="16"/>
      <c r="FE60" s="16"/>
      <c r="FF60" s="16"/>
      <c r="FG60" s="16"/>
      <c r="FH60" s="16"/>
      <c r="FI60" s="16"/>
      <c r="FJ60" s="16"/>
      <c r="FK60" s="16"/>
      <c r="FL60" s="16"/>
      <c r="FM60" s="16"/>
      <c r="FN60" s="16"/>
      <c r="FO60" s="19">
        <f t="shared" si="30"/>
        <v>0</v>
      </c>
      <c r="FQ60" s="16"/>
      <c r="FR60" s="16"/>
      <c r="FS60" s="16"/>
      <c r="FT60" s="16"/>
      <c r="FU60" s="16"/>
      <c r="FV60" s="16"/>
      <c r="FW60" s="16"/>
      <c r="FX60" s="16"/>
      <c r="FY60" s="16"/>
      <c r="FZ60" s="16"/>
      <c r="GA60" s="16"/>
      <c r="GB60" s="16"/>
      <c r="GC60" s="19">
        <f t="shared" si="31"/>
        <v>0</v>
      </c>
      <c r="GE60" s="16"/>
      <c r="GF60" s="16"/>
      <c r="GG60" s="16"/>
      <c r="GH60" s="16"/>
      <c r="GI60" s="16"/>
      <c r="GJ60" s="16"/>
      <c r="GK60" s="16"/>
      <c r="GL60" s="16"/>
      <c r="GM60" s="16"/>
      <c r="GN60" s="16"/>
      <c r="GO60" s="16"/>
      <c r="GP60" s="16"/>
      <c r="GQ60" s="19">
        <f t="shared" si="32"/>
        <v>0</v>
      </c>
      <c r="GS60" s="16"/>
      <c r="GT60" s="16"/>
      <c r="GU60" s="16"/>
      <c r="GV60" s="16"/>
      <c r="GW60" s="16"/>
      <c r="GX60" s="16"/>
      <c r="GY60" s="16"/>
      <c r="GZ60" s="16"/>
      <c r="HA60" s="16"/>
      <c r="HB60" s="16"/>
      <c r="HC60" s="16"/>
      <c r="HD60" s="16"/>
      <c r="HE60" s="19">
        <f t="shared" si="33"/>
        <v>0</v>
      </c>
      <c r="HG60" s="16"/>
      <c r="HH60" s="16"/>
      <c r="HI60" s="16"/>
      <c r="HJ60" s="16"/>
      <c r="HK60" s="16"/>
      <c r="HL60" s="16"/>
      <c r="HM60" s="16"/>
      <c r="HN60" s="16"/>
      <c r="HO60" s="16"/>
      <c r="HP60" s="16"/>
      <c r="HQ60" s="16"/>
      <c r="HR60" s="16"/>
      <c r="HS60" s="19">
        <f t="shared" si="34"/>
        <v>0</v>
      </c>
      <c r="HU60" s="16"/>
      <c r="HV60" s="16"/>
      <c r="HW60" s="16"/>
      <c r="HX60" s="16"/>
      <c r="HY60" s="16"/>
      <c r="HZ60" s="16"/>
      <c r="IA60" s="16"/>
      <c r="IB60" s="16"/>
      <c r="IC60" s="16"/>
      <c r="ID60" s="16"/>
      <c r="IE60" s="16"/>
      <c r="IF60" s="16"/>
      <c r="IG60" s="19">
        <f t="shared" si="35"/>
        <v>0</v>
      </c>
    </row>
    <row r="61" spans="3:241" hidden="1" x14ac:dyDescent="0.2">
      <c r="C61" s="17" t="s">
        <v>21</v>
      </c>
      <c r="E61" s="16"/>
      <c r="F61" s="16"/>
      <c r="G61" s="16"/>
      <c r="H61" s="16"/>
      <c r="I61" s="16"/>
      <c r="J61" s="16"/>
      <c r="K61" s="16"/>
      <c r="L61" s="16"/>
      <c r="M61" s="16"/>
      <c r="N61" s="16"/>
      <c r="O61" s="16"/>
      <c r="P61" s="16"/>
      <c r="Q61" s="19">
        <f t="shared" si="19"/>
        <v>0</v>
      </c>
      <c r="S61" s="16"/>
      <c r="T61" s="16"/>
      <c r="U61" s="16"/>
      <c r="V61" s="16"/>
      <c r="W61" s="16"/>
      <c r="X61" s="16"/>
      <c r="Y61" s="16"/>
      <c r="Z61" s="16"/>
      <c r="AA61" s="16"/>
      <c r="AB61" s="16"/>
      <c r="AC61" s="16"/>
      <c r="AD61" s="16"/>
      <c r="AE61" s="19">
        <f t="shared" si="20"/>
        <v>0</v>
      </c>
      <c r="AG61" s="16"/>
      <c r="AH61" s="16"/>
      <c r="AI61" s="16"/>
      <c r="AJ61" s="16"/>
      <c r="AK61" s="16"/>
      <c r="AL61" s="16"/>
      <c r="AM61" s="16"/>
      <c r="AN61" s="16"/>
      <c r="AO61" s="16"/>
      <c r="AP61" s="16"/>
      <c r="AQ61" s="16"/>
      <c r="AR61" s="16"/>
      <c r="AS61" s="19">
        <f t="shared" si="21"/>
        <v>0</v>
      </c>
      <c r="AU61" s="16"/>
      <c r="AV61" s="16"/>
      <c r="AW61" s="16"/>
      <c r="AX61" s="16"/>
      <c r="AY61" s="16"/>
      <c r="AZ61" s="16"/>
      <c r="BA61" s="16"/>
      <c r="BB61" s="16"/>
      <c r="BC61" s="16"/>
      <c r="BD61" s="16"/>
      <c r="BE61" s="16"/>
      <c r="BF61" s="16"/>
      <c r="BG61" s="19">
        <f t="shared" si="22"/>
        <v>0</v>
      </c>
      <c r="BI61" s="16"/>
      <c r="BJ61" s="16"/>
      <c r="BK61" s="16"/>
      <c r="BL61" s="16"/>
      <c r="BM61" s="16"/>
      <c r="BN61" s="16"/>
      <c r="BO61" s="16"/>
      <c r="BP61" s="16"/>
      <c r="BQ61" s="16"/>
      <c r="BR61" s="16"/>
      <c r="BS61" s="16"/>
      <c r="BT61" s="16"/>
      <c r="BU61" s="19">
        <f t="shared" si="23"/>
        <v>0</v>
      </c>
      <c r="BW61" s="16"/>
      <c r="BX61" s="16"/>
      <c r="BY61" s="16"/>
      <c r="BZ61" s="16"/>
      <c r="CA61" s="16"/>
      <c r="CB61" s="16"/>
      <c r="CC61" s="16"/>
      <c r="CD61" s="16"/>
      <c r="CE61" s="16"/>
      <c r="CF61" s="16"/>
      <c r="CG61" s="16"/>
      <c r="CH61" s="16"/>
      <c r="CI61" s="19">
        <f t="shared" si="24"/>
        <v>0</v>
      </c>
      <c r="CK61" s="16"/>
      <c r="CL61" s="16"/>
      <c r="CM61" s="16"/>
      <c r="CN61" s="16"/>
      <c r="CO61" s="16"/>
      <c r="CP61" s="16"/>
      <c r="CQ61" s="16"/>
      <c r="CR61" s="16"/>
      <c r="CS61" s="16"/>
      <c r="CT61" s="16"/>
      <c r="CU61" s="16"/>
      <c r="CV61" s="16"/>
      <c r="CW61" s="19">
        <f t="shared" si="25"/>
        <v>0</v>
      </c>
      <c r="CY61" s="16"/>
      <c r="CZ61" s="16"/>
      <c r="DA61" s="16"/>
      <c r="DB61" s="16"/>
      <c r="DC61" s="16"/>
      <c r="DD61" s="16"/>
      <c r="DE61" s="16"/>
      <c r="DF61" s="16"/>
      <c r="DG61" s="16"/>
      <c r="DH61" s="16"/>
      <c r="DI61" s="16"/>
      <c r="DJ61" s="16"/>
      <c r="DK61" s="19">
        <f t="shared" si="26"/>
        <v>0</v>
      </c>
      <c r="DM61" s="16"/>
      <c r="DN61" s="16"/>
      <c r="DO61" s="16"/>
      <c r="DP61" s="16"/>
      <c r="DQ61" s="16"/>
      <c r="DR61" s="16"/>
      <c r="DS61" s="16"/>
      <c r="DT61" s="16"/>
      <c r="DU61" s="16"/>
      <c r="DV61" s="16"/>
      <c r="DW61" s="16"/>
      <c r="DX61" s="16"/>
      <c r="DY61" s="19">
        <f t="shared" si="27"/>
        <v>0</v>
      </c>
      <c r="EA61" s="16"/>
      <c r="EB61" s="16"/>
      <c r="EC61" s="16"/>
      <c r="ED61" s="16"/>
      <c r="EE61" s="16"/>
      <c r="EF61" s="16"/>
      <c r="EG61" s="16"/>
      <c r="EH61" s="16"/>
      <c r="EI61" s="16"/>
      <c r="EJ61" s="16"/>
      <c r="EK61" s="16"/>
      <c r="EL61" s="16"/>
      <c r="EM61" s="19">
        <f t="shared" si="28"/>
        <v>0</v>
      </c>
      <c r="EO61" s="16"/>
      <c r="EP61" s="16"/>
      <c r="EQ61" s="16"/>
      <c r="ER61" s="16"/>
      <c r="ES61" s="16"/>
      <c r="ET61" s="16"/>
      <c r="EU61" s="16"/>
      <c r="EV61" s="16"/>
      <c r="EW61" s="16"/>
      <c r="EX61" s="16"/>
      <c r="EY61" s="16"/>
      <c r="EZ61" s="16"/>
      <c r="FA61" s="19">
        <f t="shared" si="29"/>
        <v>0</v>
      </c>
      <c r="FC61" s="16"/>
      <c r="FD61" s="16"/>
      <c r="FE61" s="16"/>
      <c r="FF61" s="16"/>
      <c r="FG61" s="16"/>
      <c r="FH61" s="16"/>
      <c r="FI61" s="16"/>
      <c r="FJ61" s="16"/>
      <c r="FK61" s="16"/>
      <c r="FL61" s="16"/>
      <c r="FM61" s="16"/>
      <c r="FN61" s="16"/>
      <c r="FO61" s="19">
        <f t="shared" si="30"/>
        <v>0</v>
      </c>
      <c r="FQ61" s="16"/>
      <c r="FR61" s="16"/>
      <c r="FS61" s="16"/>
      <c r="FT61" s="16"/>
      <c r="FU61" s="16"/>
      <c r="FV61" s="16"/>
      <c r="FW61" s="16"/>
      <c r="FX61" s="16"/>
      <c r="FY61" s="16"/>
      <c r="FZ61" s="16"/>
      <c r="GA61" s="16"/>
      <c r="GB61" s="16"/>
      <c r="GC61" s="19">
        <f t="shared" si="31"/>
        <v>0</v>
      </c>
      <c r="GE61" s="16"/>
      <c r="GF61" s="16"/>
      <c r="GG61" s="16"/>
      <c r="GH61" s="16"/>
      <c r="GI61" s="16"/>
      <c r="GJ61" s="16"/>
      <c r="GK61" s="16"/>
      <c r="GL61" s="16"/>
      <c r="GM61" s="16"/>
      <c r="GN61" s="16"/>
      <c r="GO61" s="16"/>
      <c r="GP61" s="16"/>
      <c r="GQ61" s="19">
        <f t="shared" si="32"/>
        <v>0</v>
      </c>
      <c r="GS61" s="16"/>
      <c r="GT61" s="16"/>
      <c r="GU61" s="16"/>
      <c r="GV61" s="16"/>
      <c r="GW61" s="16"/>
      <c r="GX61" s="16"/>
      <c r="GY61" s="16"/>
      <c r="GZ61" s="16"/>
      <c r="HA61" s="16"/>
      <c r="HB61" s="16"/>
      <c r="HC61" s="16"/>
      <c r="HD61" s="16"/>
      <c r="HE61" s="19">
        <f t="shared" si="33"/>
        <v>0</v>
      </c>
      <c r="HG61" s="16"/>
      <c r="HH61" s="16"/>
      <c r="HI61" s="16"/>
      <c r="HJ61" s="16"/>
      <c r="HK61" s="16"/>
      <c r="HL61" s="16"/>
      <c r="HM61" s="16"/>
      <c r="HN61" s="16"/>
      <c r="HO61" s="16"/>
      <c r="HP61" s="16"/>
      <c r="HQ61" s="16"/>
      <c r="HR61" s="16"/>
      <c r="HS61" s="19">
        <f t="shared" si="34"/>
        <v>0</v>
      </c>
      <c r="HU61" s="16"/>
      <c r="HV61" s="16"/>
      <c r="HW61" s="16"/>
      <c r="HX61" s="16"/>
      <c r="HY61" s="16"/>
      <c r="HZ61" s="16"/>
      <c r="IA61" s="16"/>
      <c r="IB61" s="16"/>
      <c r="IC61" s="16"/>
      <c r="ID61" s="16"/>
      <c r="IE61" s="16"/>
      <c r="IF61" s="16"/>
      <c r="IG61" s="19">
        <f t="shared" si="35"/>
        <v>0</v>
      </c>
    </row>
    <row r="62" spans="3:241" hidden="1" x14ac:dyDescent="0.2">
      <c r="C62" s="17" t="s">
        <v>21</v>
      </c>
      <c r="E62" s="16"/>
      <c r="F62" s="16"/>
      <c r="G62" s="16"/>
      <c r="H62" s="16"/>
      <c r="I62" s="16"/>
      <c r="J62" s="16"/>
      <c r="K62" s="16"/>
      <c r="L62" s="16"/>
      <c r="M62" s="16"/>
      <c r="N62" s="16"/>
      <c r="O62" s="16"/>
      <c r="P62" s="16"/>
      <c r="Q62" s="19">
        <f t="shared" si="19"/>
        <v>0</v>
      </c>
      <c r="S62" s="16"/>
      <c r="T62" s="16"/>
      <c r="U62" s="16"/>
      <c r="V62" s="16"/>
      <c r="W62" s="16"/>
      <c r="X62" s="16"/>
      <c r="Y62" s="16"/>
      <c r="Z62" s="16"/>
      <c r="AA62" s="16"/>
      <c r="AB62" s="16"/>
      <c r="AC62" s="16"/>
      <c r="AD62" s="16"/>
      <c r="AE62" s="19">
        <f t="shared" si="20"/>
        <v>0</v>
      </c>
      <c r="AG62" s="16"/>
      <c r="AH62" s="16"/>
      <c r="AI62" s="16"/>
      <c r="AJ62" s="16"/>
      <c r="AK62" s="16"/>
      <c r="AL62" s="16"/>
      <c r="AM62" s="16"/>
      <c r="AN62" s="16"/>
      <c r="AO62" s="16"/>
      <c r="AP62" s="16"/>
      <c r="AQ62" s="16"/>
      <c r="AR62" s="16"/>
      <c r="AS62" s="19">
        <f t="shared" si="21"/>
        <v>0</v>
      </c>
      <c r="AU62" s="16"/>
      <c r="AV62" s="16"/>
      <c r="AW62" s="16"/>
      <c r="AX62" s="16"/>
      <c r="AY62" s="16"/>
      <c r="AZ62" s="16"/>
      <c r="BA62" s="16"/>
      <c r="BB62" s="16"/>
      <c r="BC62" s="16"/>
      <c r="BD62" s="16"/>
      <c r="BE62" s="16"/>
      <c r="BF62" s="16"/>
      <c r="BG62" s="19">
        <f t="shared" si="22"/>
        <v>0</v>
      </c>
      <c r="BI62" s="16"/>
      <c r="BJ62" s="16"/>
      <c r="BK62" s="16"/>
      <c r="BL62" s="16"/>
      <c r="BM62" s="16"/>
      <c r="BN62" s="16"/>
      <c r="BO62" s="16"/>
      <c r="BP62" s="16"/>
      <c r="BQ62" s="16"/>
      <c r="BR62" s="16"/>
      <c r="BS62" s="16"/>
      <c r="BT62" s="16"/>
      <c r="BU62" s="19">
        <f t="shared" si="23"/>
        <v>0</v>
      </c>
      <c r="BW62" s="16"/>
      <c r="BX62" s="16"/>
      <c r="BY62" s="16"/>
      <c r="BZ62" s="16"/>
      <c r="CA62" s="16"/>
      <c r="CB62" s="16"/>
      <c r="CC62" s="16"/>
      <c r="CD62" s="16"/>
      <c r="CE62" s="16"/>
      <c r="CF62" s="16"/>
      <c r="CG62" s="16"/>
      <c r="CH62" s="16"/>
      <c r="CI62" s="19">
        <f t="shared" si="24"/>
        <v>0</v>
      </c>
      <c r="CK62" s="16"/>
      <c r="CL62" s="16"/>
      <c r="CM62" s="16"/>
      <c r="CN62" s="16"/>
      <c r="CO62" s="16"/>
      <c r="CP62" s="16"/>
      <c r="CQ62" s="16"/>
      <c r="CR62" s="16"/>
      <c r="CS62" s="16"/>
      <c r="CT62" s="16"/>
      <c r="CU62" s="16"/>
      <c r="CV62" s="16"/>
      <c r="CW62" s="19">
        <f t="shared" si="25"/>
        <v>0</v>
      </c>
      <c r="CY62" s="16"/>
      <c r="CZ62" s="16"/>
      <c r="DA62" s="16"/>
      <c r="DB62" s="16"/>
      <c r="DC62" s="16"/>
      <c r="DD62" s="16"/>
      <c r="DE62" s="16"/>
      <c r="DF62" s="16"/>
      <c r="DG62" s="16"/>
      <c r="DH62" s="16"/>
      <c r="DI62" s="16"/>
      <c r="DJ62" s="16"/>
      <c r="DK62" s="19">
        <f t="shared" si="26"/>
        <v>0</v>
      </c>
      <c r="DM62" s="16"/>
      <c r="DN62" s="16"/>
      <c r="DO62" s="16"/>
      <c r="DP62" s="16"/>
      <c r="DQ62" s="16"/>
      <c r="DR62" s="16"/>
      <c r="DS62" s="16"/>
      <c r="DT62" s="16"/>
      <c r="DU62" s="16"/>
      <c r="DV62" s="16"/>
      <c r="DW62" s="16"/>
      <c r="DX62" s="16"/>
      <c r="DY62" s="19">
        <f t="shared" si="27"/>
        <v>0</v>
      </c>
      <c r="EA62" s="16"/>
      <c r="EB62" s="16"/>
      <c r="EC62" s="16"/>
      <c r="ED62" s="16"/>
      <c r="EE62" s="16"/>
      <c r="EF62" s="16"/>
      <c r="EG62" s="16"/>
      <c r="EH62" s="16"/>
      <c r="EI62" s="16"/>
      <c r="EJ62" s="16"/>
      <c r="EK62" s="16"/>
      <c r="EL62" s="16"/>
      <c r="EM62" s="19">
        <f t="shared" si="28"/>
        <v>0</v>
      </c>
      <c r="EO62" s="16"/>
      <c r="EP62" s="16"/>
      <c r="EQ62" s="16"/>
      <c r="ER62" s="16"/>
      <c r="ES62" s="16"/>
      <c r="ET62" s="16"/>
      <c r="EU62" s="16"/>
      <c r="EV62" s="16"/>
      <c r="EW62" s="16"/>
      <c r="EX62" s="16"/>
      <c r="EY62" s="16"/>
      <c r="EZ62" s="16"/>
      <c r="FA62" s="19">
        <f t="shared" si="29"/>
        <v>0</v>
      </c>
      <c r="FC62" s="16"/>
      <c r="FD62" s="16"/>
      <c r="FE62" s="16"/>
      <c r="FF62" s="16"/>
      <c r="FG62" s="16"/>
      <c r="FH62" s="16"/>
      <c r="FI62" s="16"/>
      <c r="FJ62" s="16"/>
      <c r="FK62" s="16"/>
      <c r="FL62" s="16"/>
      <c r="FM62" s="16"/>
      <c r="FN62" s="16"/>
      <c r="FO62" s="19">
        <f t="shared" si="30"/>
        <v>0</v>
      </c>
      <c r="FQ62" s="16"/>
      <c r="FR62" s="16"/>
      <c r="FS62" s="16"/>
      <c r="FT62" s="16"/>
      <c r="FU62" s="16"/>
      <c r="FV62" s="16"/>
      <c r="FW62" s="16"/>
      <c r="FX62" s="16"/>
      <c r="FY62" s="16"/>
      <c r="FZ62" s="16"/>
      <c r="GA62" s="16"/>
      <c r="GB62" s="16"/>
      <c r="GC62" s="19">
        <f t="shared" si="31"/>
        <v>0</v>
      </c>
      <c r="GE62" s="16"/>
      <c r="GF62" s="16"/>
      <c r="GG62" s="16"/>
      <c r="GH62" s="16"/>
      <c r="GI62" s="16"/>
      <c r="GJ62" s="16"/>
      <c r="GK62" s="16"/>
      <c r="GL62" s="16"/>
      <c r="GM62" s="16"/>
      <c r="GN62" s="16"/>
      <c r="GO62" s="16"/>
      <c r="GP62" s="16"/>
      <c r="GQ62" s="19">
        <f t="shared" si="32"/>
        <v>0</v>
      </c>
      <c r="GS62" s="16"/>
      <c r="GT62" s="16"/>
      <c r="GU62" s="16"/>
      <c r="GV62" s="16"/>
      <c r="GW62" s="16"/>
      <c r="GX62" s="16"/>
      <c r="GY62" s="16"/>
      <c r="GZ62" s="16"/>
      <c r="HA62" s="16"/>
      <c r="HB62" s="16"/>
      <c r="HC62" s="16"/>
      <c r="HD62" s="16"/>
      <c r="HE62" s="19">
        <f t="shared" si="33"/>
        <v>0</v>
      </c>
      <c r="HG62" s="16"/>
      <c r="HH62" s="16"/>
      <c r="HI62" s="16"/>
      <c r="HJ62" s="16"/>
      <c r="HK62" s="16"/>
      <c r="HL62" s="16"/>
      <c r="HM62" s="16"/>
      <c r="HN62" s="16"/>
      <c r="HO62" s="16"/>
      <c r="HP62" s="16"/>
      <c r="HQ62" s="16"/>
      <c r="HR62" s="16"/>
      <c r="HS62" s="19">
        <f t="shared" si="34"/>
        <v>0</v>
      </c>
      <c r="HU62" s="16"/>
      <c r="HV62" s="16"/>
      <c r="HW62" s="16"/>
      <c r="HX62" s="16"/>
      <c r="HY62" s="16"/>
      <c r="HZ62" s="16"/>
      <c r="IA62" s="16"/>
      <c r="IB62" s="16"/>
      <c r="IC62" s="16"/>
      <c r="ID62" s="16"/>
      <c r="IE62" s="16"/>
      <c r="IF62" s="16"/>
      <c r="IG62" s="19">
        <f t="shared" si="35"/>
        <v>0</v>
      </c>
    </row>
    <row r="63" spans="3:241" hidden="1" x14ac:dyDescent="0.2">
      <c r="C63" s="17" t="s">
        <v>21</v>
      </c>
      <c r="E63" s="16"/>
      <c r="F63" s="16" t="s">
        <v>9</v>
      </c>
      <c r="G63" s="16"/>
      <c r="H63" s="16"/>
      <c r="I63" s="16"/>
      <c r="J63" s="16"/>
      <c r="K63" s="16"/>
      <c r="L63" s="16"/>
      <c r="M63" s="16"/>
      <c r="N63" s="16"/>
      <c r="O63" s="16"/>
      <c r="P63" s="16"/>
      <c r="Q63" s="19">
        <f t="shared" si="19"/>
        <v>0</v>
      </c>
      <c r="S63" s="16"/>
      <c r="T63" s="16" t="s">
        <v>9</v>
      </c>
      <c r="U63" s="16"/>
      <c r="V63" s="16"/>
      <c r="W63" s="16"/>
      <c r="X63" s="16"/>
      <c r="Y63" s="16"/>
      <c r="Z63" s="16"/>
      <c r="AA63" s="16"/>
      <c r="AB63" s="16"/>
      <c r="AC63" s="16"/>
      <c r="AD63" s="16"/>
      <c r="AE63" s="19">
        <f t="shared" si="20"/>
        <v>0</v>
      </c>
      <c r="AG63" s="16"/>
      <c r="AH63" s="16" t="s">
        <v>9</v>
      </c>
      <c r="AI63" s="16"/>
      <c r="AJ63" s="16"/>
      <c r="AK63" s="16"/>
      <c r="AL63" s="16"/>
      <c r="AM63" s="16"/>
      <c r="AN63" s="16"/>
      <c r="AO63" s="16"/>
      <c r="AP63" s="16"/>
      <c r="AQ63" s="16"/>
      <c r="AR63" s="16"/>
      <c r="AS63" s="19">
        <f t="shared" si="21"/>
        <v>0</v>
      </c>
      <c r="AU63" s="16"/>
      <c r="AV63" s="16" t="s">
        <v>9</v>
      </c>
      <c r="AW63" s="16"/>
      <c r="AX63" s="16"/>
      <c r="AY63" s="16"/>
      <c r="AZ63" s="16"/>
      <c r="BA63" s="16"/>
      <c r="BB63" s="16"/>
      <c r="BC63" s="16"/>
      <c r="BD63" s="16"/>
      <c r="BE63" s="16"/>
      <c r="BF63" s="16"/>
      <c r="BG63" s="19">
        <f t="shared" si="22"/>
        <v>0</v>
      </c>
      <c r="BI63" s="16"/>
      <c r="BJ63" s="16" t="s">
        <v>9</v>
      </c>
      <c r="BK63" s="16"/>
      <c r="BL63" s="16"/>
      <c r="BM63" s="16"/>
      <c r="BN63" s="16"/>
      <c r="BO63" s="16"/>
      <c r="BP63" s="16"/>
      <c r="BQ63" s="16"/>
      <c r="BR63" s="16"/>
      <c r="BS63" s="16"/>
      <c r="BT63" s="16"/>
      <c r="BU63" s="19">
        <f t="shared" si="23"/>
        <v>0</v>
      </c>
      <c r="BW63" s="16"/>
      <c r="BX63" s="16" t="s">
        <v>9</v>
      </c>
      <c r="BY63" s="16"/>
      <c r="BZ63" s="16"/>
      <c r="CA63" s="16"/>
      <c r="CB63" s="16"/>
      <c r="CC63" s="16"/>
      <c r="CD63" s="16"/>
      <c r="CE63" s="16"/>
      <c r="CF63" s="16"/>
      <c r="CG63" s="16"/>
      <c r="CH63" s="16"/>
      <c r="CI63" s="19">
        <f t="shared" si="24"/>
        <v>0</v>
      </c>
      <c r="CK63" s="16"/>
      <c r="CL63" s="16" t="s">
        <v>9</v>
      </c>
      <c r="CM63" s="16"/>
      <c r="CN63" s="16"/>
      <c r="CO63" s="16"/>
      <c r="CP63" s="16"/>
      <c r="CQ63" s="16"/>
      <c r="CR63" s="16"/>
      <c r="CS63" s="16"/>
      <c r="CT63" s="16"/>
      <c r="CU63" s="16"/>
      <c r="CV63" s="16"/>
      <c r="CW63" s="19">
        <f t="shared" si="25"/>
        <v>0</v>
      </c>
      <c r="CY63" s="16"/>
      <c r="CZ63" s="16" t="s">
        <v>9</v>
      </c>
      <c r="DA63" s="16"/>
      <c r="DB63" s="16"/>
      <c r="DC63" s="16"/>
      <c r="DD63" s="16"/>
      <c r="DE63" s="16"/>
      <c r="DF63" s="16"/>
      <c r="DG63" s="16"/>
      <c r="DH63" s="16"/>
      <c r="DI63" s="16"/>
      <c r="DJ63" s="16"/>
      <c r="DK63" s="19">
        <f t="shared" si="26"/>
        <v>0</v>
      </c>
      <c r="DM63" s="16"/>
      <c r="DN63" s="16" t="s">
        <v>9</v>
      </c>
      <c r="DO63" s="16"/>
      <c r="DP63" s="16"/>
      <c r="DQ63" s="16"/>
      <c r="DR63" s="16"/>
      <c r="DS63" s="16"/>
      <c r="DT63" s="16"/>
      <c r="DU63" s="16"/>
      <c r="DV63" s="16"/>
      <c r="DW63" s="16"/>
      <c r="DX63" s="16"/>
      <c r="DY63" s="19">
        <f t="shared" si="27"/>
        <v>0</v>
      </c>
      <c r="EA63" s="16"/>
      <c r="EB63" s="16" t="s">
        <v>9</v>
      </c>
      <c r="EC63" s="16"/>
      <c r="ED63" s="16"/>
      <c r="EE63" s="16"/>
      <c r="EF63" s="16"/>
      <c r="EG63" s="16"/>
      <c r="EH63" s="16"/>
      <c r="EI63" s="16"/>
      <c r="EJ63" s="16"/>
      <c r="EK63" s="16"/>
      <c r="EL63" s="16"/>
      <c r="EM63" s="19">
        <f t="shared" si="28"/>
        <v>0</v>
      </c>
      <c r="EO63" s="16"/>
      <c r="EP63" s="16" t="s">
        <v>9</v>
      </c>
      <c r="EQ63" s="16"/>
      <c r="ER63" s="16"/>
      <c r="ES63" s="16"/>
      <c r="ET63" s="16"/>
      <c r="EU63" s="16"/>
      <c r="EV63" s="16"/>
      <c r="EW63" s="16"/>
      <c r="EX63" s="16"/>
      <c r="EY63" s="16"/>
      <c r="EZ63" s="16"/>
      <c r="FA63" s="19">
        <f t="shared" si="29"/>
        <v>0</v>
      </c>
      <c r="FC63" s="16"/>
      <c r="FD63" s="16" t="s">
        <v>9</v>
      </c>
      <c r="FE63" s="16"/>
      <c r="FF63" s="16"/>
      <c r="FG63" s="16"/>
      <c r="FH63" s="16"/>
      <c r="FI63" s="16"/>
      <c r="FJ63" s="16"/>
      <c r="FK63" s="16"/>
      <c r="FL63" s="16"/>
      <c r="FM63" s="16"/>
      <c r="FN63" s="16"/>
      <c r="FO63" s="19">
        <f t="shared" si="30"/>
        <v>0</v>
      </c>
      <c r="FQ63" s="16"/>
      <c r="FR63" s="16" t="s">
        <v>9</v>
      </c>
      <c r="FS63" s="16"/>
      <c r="FT63" s="16"/>
      <c r="FU63" s="16"/>
      <c r="FV63" s="16"/>
      <c r="FW63" s="16"/>
      <c r="FX63" s="16"/>
      <c r="FY63" s="16"/>
      <c r="FZ63" s="16"/>
      <c r="GA63" s="16"/>
      <c r="GB63" s="16"/>
      <c r="GC63" s="19">
        <f t="shared" si="31"/>
        <v>0</v>
      </c>
      <c r="GE63" s="16"/>
      <c r="GF63" s="16" t="s">
        <v>9</v>
      </c>
      <c r="GG63" s="16"/>
      <c r="GH63" s="16"/>
      <c r="GI63" s="16"/>
      <c r="GJ63" s="16"/>
      <c r="GK63" s="16"/>
      <c r="GL63" s="16"/>
      <c r="GM63" s="16"/>
      <c r="GN63" s="16"/>
      <c r="GO63" s="16"/>
      <c r="GP63" s="16"/>
      <c r="GQ63" s="19">
        <f t="shared" si="32"/>
        <v>0</v>
      </c>
      <c r="GS63" s="16"/>
      <c r="GT63" s="16" t="s">
        <v>9</v>
      </c>
      <c r="GU63" s="16"/>
      <c r="GV63" s="16"/>
      <c r="GW63" s="16"/>
      <c r="GX63" s="16"/>
      <c r="GY63" s="16"/>
      <c r="GZ63" s="16"/>
      <c r="HA63" s="16"/>
      <c r="HB63" s="16"/>
      <c r="HC63" s="16"/>
      <c r="HD63" s="16"/>
      <c r="HE63" s="19">
        <f t="shared" si="33"/>
        <v>0</v>
      </c>
      <c r="HG63" s="16"/>
      <c r="HH63" s="16" t="s">
        <v>9</v>
      </c>
      <c r="HI63" s="16"/>
      <c r="HJ63" s="16"/>
      <c r="HK63" s="16"/>
      <c r="HL63" s="16"/>
      <c r="HM63" s="16"/>
      <c r="HN63" s="16"/>
      <c r="HO63" s="16"/>
      <c r="HP63" s="16"/>
      <c r="HQ63" s="16"/>
      <c r="HR63" s="16"/>
      <c r="HS63" s="19">
        <f t="shared" si="34"/>
        <v>0</v>
      </c>
      <c r="HU63" s="16"/>
      <c r="HV63" s="16" t="s">
        <v>9</v>
      </c>
      <c r="HW63" s="16"/>
      <c r="HX63" s="16"/>
      <c r="HY63" s="16"/>
      <c r="HZ63" s="16"/>
      <c r="IA63" s="16"/>
      <c r="IB63" s="16"/>
      <c r="IC63" s="16"/>
      <c r="ID63" s="16"/>
      <c r="IE63" s="16"/>
      <c r="IF63" s="16"/>
      <c r="IG63" s="19">
        <f t="shared" si="35"/>
        <v>0</v>
      </c>
    </row>
    <row r="64" spans="3:241" hidden="1" x14ac:dyDescent="0.2">
      <c r="C64" s="17" t="s">
        <v>21</v>
      </c>
      <c r="E64" s="16"/>
      <c r="F64" s="16"/>
      <c r="G64" s="16"/>
      <c r="H64" s="16"/>
      <c r="I64" s="16"/>
      <c r="J64" s="16"/>
      <c r="K64" s="16"/>
      <c r="L64" s="16"/>
      <c r="M64" s="16"/>
      <c r="N64" s="16"/>
      <c r="O64" s="16"/>
      <c r="P64" s="16"/>
      <c r="Q64" s="19">
        <f t="shared" si="19"/>
        <v>0</v>
      </c>
      <c r="S64" s="16"/>
      <c r="T64" s="16"/>
      <c r="U64" s="16"/>
      <c r="V64" s="16"/>
      <c r="W64" s="16"/>
      <c r="X64" s="16"/>
      <c r="Y64" s="16"/>
      <c r="Z64" s="16"/>
      <c r="AA64" s="16"/>
      <c r="AB64" s="16"/>
      <c r="AC64" s="16"/>
      <c r="AD64" s="16"/>
      <c r="AE64" s="19">
        <f t="shared" si="20"/>
        <v>0</v>
      </c>
      <c r="AG64" s="16"/>
      <c r="AH64" s="16"/>
      <c r="AI64" s="16"/>
      <c r="AJ64" s="16"/>
      <c r="AK64" s="16"/>
      <c r="AL64" s="16"/>
      <c r="AM64" s="16"/>
      <c r="AN64" s="16"/>
      <c r="AO64" s="16"/>
      <c r="AP64" s="16"/>
      <c r="AQ64" s="16"/>
      <c r="AR64" s="16"/>
      <c r="AS64" s="19">
        <f t="shared" si="21"/>
        <v>0</v>
      </c>
      <c r="AU64" s="16"/>
      <c r="AV64" s="16"/>
      <c r="AW64" s="16"/>
      <c r="AX64" s="16"/>
      <c r="AY64" s="16"/>
      <c r="AZ64" s="16"/>
      <c r="BA64" s="16"/>
      <c r="BB64" s="16"/>
      <c r="BC64" s="16"/>
      <c r="BD64" s="16"/>
      <c r="BE64" s="16"/>
      <c r="BF64" s="16"/>
      <c r="BG64" s="19">
        <f t="shared" si="22"/>
        <v>0</v>
      </c>
      <c r="BI64" s="16"/>
      <c r="BJ64" s="16"/>
      <c r="BK64" s="16"/>
      <c r="BL64" s="16"/>
      <c r="BM64" s="16"/>
      <c r="BN64" s="16"/>
      <c r="BO64" s="16"/>
      <c r="BP64" s="16"/>
      <c r="BQ64" s="16"/>
      <c r="BR64" s="16"/>
      <c r="BS64" s="16"/>
      <c r="BT64" s="16"/>
      <c r="BU64" s="19">
        <f t="shared" si="23"/>
        <v>0</v>
      </c>
      <c r="BW64" s="16"/>
      <c r="BX64" s="16"/>
      <c r="BY64" s="16"/>
      <c r="BZ64" s="16"/>
      <c r="CA64" s="16"/>
      <c r="CB64" s="16"/>
      <c r="CC64" s="16"/>
      <c r="CD64" s="16"/>
      <c r="CE64" s="16"/>
      <c r="CF64" s="16"/>
      <c r="CG64" s="16"/>
      <c r="CH64" s="16"/>
      <c r="CI64" s="19">
        <f t="shared" si="24"/>
        <v>0</v>
      </c>
      <c r="CK64" s="16"/>
      <c r="CL64" s="16"/>
      <c r="CM64" s="16"/>
      <c r="CN64" s="16"/>
      <c r="CO64" s="16"/>
      <c r="CP64" s="16"/>
      <c r="CQ64" s="16"/>
      <c r="CR64" s="16"/>
      <c r="CS64" s="16"/>
      <c r="CT64" s="16"/>
      <c r="CU64" s="16"/>
      <c r="CV64" s="16"/>
      <c r="CW64" s="19">
        <f t="shared" si="25"/>
        <v>0</v>
      </c>
      <c r="CY64" s="16"/>
      <c r="CZ64" s="16"/>
      <c r="DA64" s="16"/>
      <c r="DB64" s="16"/>
      <c r="DC64" s="16"/>
      <c r="DD64" s="16"/>
      <c r="DE64" s="16"/>
      <c r="DF64" s="16"/>
      <c r="DG64" s="16"/>
      <c r="DH64" s="16"/>
      <c r="DI64" s="16"/>
      <c r="DJ64" s="16"/>
      <c r="DK64" s="19">
        <f t="shared" si="26"/>
        <v>0</v>
      </c>
      <c r="DM64" s="16"/>
      <c r="DN64" s="16"/>
      <c r="DO64" s="16"/>
      <c r="DP64" s="16"/>
      <c r="DQ64" s="16"/>
      <c r="DR64" s="16"/>
      <c r="DS64" s="16"/>
      <c r="DT64" s="16"/>
      <c r="DU64" s="16"/>
      <c r="DV64" s="16"/>
      <c r="DW64" s="16"/>
      <c r="DX64" s="16"/>
      <c r="DY64" s="19">
        <f t="shared" si="27"/>
        <v>0</v>
      </c>
      <c r="EA64" s="16"/>
      <c r="EB64" s="16"/>
      <c r="EC64" s="16"/>
      <c r="ED64" s="16"/>
      <c r="EE64" s="16"/>
      <c r="EF64" s="16"/>
      <c r="EG64" s="16"/>
      <c r="EH64" s="16"/>
      <c r="EI64" s="16"/>
      <c r="EJ64" s="16"/>
      <c r="EK64" s="16"/>
      <c r="EL64" s="16"/>
      <c r="EM64" s="19">
        <f t="shared" si="28"/>
        <v>0</v>
      </c>
      <c r="EO64" s="16"/>
      <c r="EP64" s="16"/>
      <c r="EQ64" s="16"/>
      <c r="ER64" s="16"/>
      <c r="ES64" s="16"/>
      <c r="ET64" s="16"/>
      <c r="EU64" s="16"/>
      <c r="EV64" s="16"/>
      <c r="EW64" s="16"/>
      <c r="EX64" s="16"/>
      <c r="EY64" s="16"/>
      <c r="EZ64" s="16"/>
      <c r="FA64" s="19">
        <f t="shared" si="29"/>
        <v>0</v>
      </c>
      <c r="FC64" s="16"/>
      <c r="FD64" s="16"/>
      <c r="FE64" s="16"/>
      <c r="FF64" s="16"/>
      <c r="FG64" s="16"/>
      <c r="FH64" s="16"/>
      <c r="FI64" s="16"/>
      <c r="FJ64" s="16"/>
      <c r="FK64" s="16"/>
      <c r="FL64" s="16"/>
      <c r="FM64" s="16"/>
      <c r="FN64" s="16"/>
      <c r="FO64" s="19">
        <f t="shared" si="30"/>
        <v>0</v>
      </c>
      <c r="FQ64" s="16"/>
      <c r="FR64" s="16"/>
      <c r="FS64" s="16"/>
      <c r="FT64" s="16"/>
      <c r="FU64" s="16"/>
      <c r="FV64" s="16"/>
      <c r="FW64" s="16"/>
      <c r="FX64" s="16"/>
      <c r="FY64" s="16"/>
      <c r="FZ64" s="16"/>
      <c r="GA64" s="16"/>
      <c r="GB64" s="16"/>
      <c r="GC64" s="19">
        <f t="shared" si="31"/>
        <v>0</v>
      </c>
      <c r="GE64" s="16"/>
      <c r="GF64" s="16"/>
      <c r="GG64" s="16"/>
      <c r="GH64" s="16"/>
      <c r="GI64" s="16"/>
      <c r="GJ64" s="16"/>
      <c r="GK64" s="16"/>
      <c r="GL64" s="16"/>
      <c r="GM64" s="16"/>
      <c r="GN64" s="16"/>
      <c r="GO64" s="16"/>
      <c r="GP64" s="16"/>
      <c r="GQ64" s="19">
        <f t="shared" si="32"/>
        <v>0</v>
      </c>
      <c r="GS64" s="16"/>
      <c r="GT64" s="16"/>
      <c r="GU64" s="16"/>
      <c r="GV64" s="16"/>
      <c r="GW64" s="16"/>
      <c r="GX64" s="16"/>
      <c r="GY64" s="16"/>
      <c r="GZ64" s="16"/>
      <c r="HA64" s="16"/>
      <c r="HB64" s="16"/>
      <c r="HC64" s="16"/>
      <c r="HD64" s="16"/>
      <c r="HE64" s="19">
        <f t="shared" si="33"/>
        <v>0</v>
      </c>
      <c r="HG64" s="16"/>
      <c r="HH64" s="16"/>
      <c r="HI64" s="16"/>
      <c r="HJ64" s="16"/>
      <c r="HK64" s="16"/>
      <c r="HL64" s="16"/>
      <c r="HM64" s="16"/>
      <c r="HN64" s="16"/>
      <c r="HO64" s="16"/>
      <c r="HP64" s="16"/>
      <c r="HQ64" s="16"/>
      <c r="HR64" s="16"/>
      <c r="HS64" s="19">
        <f t="shared" si="34"/>
        <v>0</v>
      </c>
      <c r="HU64" s="16"/>
      <c r="HV64" s="16"/>
      <c r="HW64" s="16"/>
      <c r="HX64" s="16"/>
      <c r="HY64" s="16"/>
      <c r="HZ64" s="16"/>
      <c r="IA64" s="16"/>
      <c r="IB64" s="16"/>
      <c r="IC64" s="16"/>
      <c r="ID64" s="16"/>
      <c r="IE64" s="16"/>
      <c r="IF64" s="16"/>
      <c r="IG64" s="19">
        <f t="shared" si="35"/>
        <v>0</v>
      </c>
    </row>
    <row r="65" spans="3:241" hidden="1" x14ac:dyDescent="0.2">
      <c r="C65" s="17" t="s">
        <v>21</v>
      </c>
      <c r="E65" s="16"/>
      <c r="F65" s="16"/>
      <c r="G65" s="16"/>
      <c r="H65" s="16"/>
      <c r="I65" s="16"/>
      <c r="J65" s="16"/>
      <c r="K65" s="16"/>
      <c r="L65" s="16"/>
      <c r="M65" s="16"/>
      <c r="N65" s="16"/>
      <c r="O65" s="16"/>
      <c r="P65" s="16"/>
      <c r="Q65" s="19">
        <f t="shared" si="19"/>
        <v>0</v>
      </c>
      <c r="S65" s="16"/>
      <c r="T65" s="16"/>
      <c r="U65" s="16"/>
      <c r="V65" s="16"/>
      <c r="W65" s="16"/>
      <c r="X65" s="16"/>
      <c r="Y65" s="16"/>
      <c r="Z65" s="16"/>
      <c r="AA65" s="16"/>
      <c r="AB65" s="16"/>
      <c r="AC65" s="16"/>
      <c r="AD65" s="16"/>
      <c r="AE65" s="19">
        <f t="shared" si="20"/>
        <v>0</v>
      </c>
      <c r="AG65" s="16"/>
      <c r="AH65" s="16"/>
      <c r="AI65" s="16"/>
      <c r="AJ65" s="16"/>
      <c r="AK65" s="16"/>
      <c r="AL65" s="16"/>
      <c r="AM65" s="16"/>
      <c r="AN65" s="16"/>
      <c r="AO65" s="16"/>
      <c r="AP65" s="16"/>
      <c r="AQ65" s="16"/>
      <c r="AR65" s="16"/>
      <c r="AS65" s="19">
        <f t="shared" si="21"/>
        <v>0</v>
      </c>
      <c r="AU65" s="16"/>
      <c r="AV65" s="16"/>
      <c r="AW65" s="16"/>
      <c r="AX65" s="16"/>
      <c r="AY65" s="16"/>
      <c r="AZ65" s="16"/>
      <c r="BA65" s="16"/>
      <c r="BB65" s="16"/>
      <c r="BC65" s="16"/>
      <c r="BD65" s="16"/>
      <c r="BE65" s="16"/>
      <c r="BF65" s="16"/>
      <c r="BG65" s="19">
        <f t="shared" si="22"/>
        <v>0</v>
      </c>
      <c r="BI65" s="16"/>
      <c r="BJ65" s="16"/>
      <c r="BK65" s="16"/>
      <c r="BL65" s="16"/>
      <c r="BM65" s="16"/>
      <c r="BN65" s="16"/>
      <c r="BO65" s="16"/>
      <c r="BP65" s="16"/>
      <c r="BQ65" s="16"/>
      <c r="BR65" s="16"/>
      <c r="BS65" s="16"/>
      <c r="BT65" s="16"/>
      <c r="BU65" s="19">
        <f t="shared" si="23"/>
        <v>0</v>
      </c>
      <c r="BW65" s="16"/>
      <c r="BX65" s="16"/>
      <c r="BY65" s="16"/>
      <c r="BZ65" s="16"/>
      <c r="CA65" s="16"/>
      <c r="CB65" s="16"/>
      <c r="CC65" s="16"/>
      <c r="CD65" s="16"/>
      <c r="CE65" s="16"/>
      <c r="CF65" s="16"/>
      <c r="CG65" s="16"/>
      <c r="CH65" s="16"/>
      <c r="CI65" s="19">
        <f t="shared" si="24"/>
        <v>0</v>
      </c>
      <c r="CK65" s="16"/>
      <c r="CL65" s="16"/>
      <c r="CM65" s="16"/>
      <c r="CN65" s="16"/>
      <c r="CO65" s="16"/>
      <c r="CP65" s="16"/>
      <c r="CQ65" s="16"/>
      <c r="CR65" s="16"/>
      <c r="CS65" s="16"/>
      <c r="CT65" s="16"/>
      <c r="CU65" s="16"/>
      <c r="CV65" s="16"/>
      <c r="CW65" s="19">
        <f t="shared" si="25"/>
        <v>0</v>
      </c>
      <c r="CY65" s="16"/>
      <c r="CZ65" s="16"/>
      <c r="DA65" s="16"/>
      <c r="DB65" s="16"/>
      <c r="DC65" s="16"/>
      <c r="DD65" s="16"/>
      <c r="DE65" s="16"/>
      <c r="DF65" s="16"/>
      <c r="DG65" s="16"/>
      <c r="DH65" s="16"/>
      <c r="DI65" s="16"/>
      <c r="DJ65" s="16"/>
      <c r="DK65" s="19">
        <f t="shared" si="26"/>
        <v>0</v>
      </c>
      <c r="DM65" s="16"/>
      <c r="DN65" s="16"/>
      <c r="DO65" s="16"/>
      <c r="DP65" s="16"/>
      <c r="DQ65" s="16"/>
      <c r="DR65" s="16"/>
      <c r="DS65" s="16"/>
      <c r="DT65" s="16"/>
      <c r="DU65" s="16"/>
      <c r="DV65" s="16"/>
      <c r="DW65" s="16"/>
      <c r="DX65" s="16"/>
      <c r="DY65" s="19">
        <f t="shared" si="27"/>
        <v>0</v>
      </c>
      <c r="EA65" s="16"/>
      <c r="EB65" s="16"/>
      <c r="EC65" s="16"/>
      <c r="ED65" s="16"/>
      <c r="EE65" s="16"/>
      <c r="EF65" s="16"/>
      <c r="EG65" s="16"/>
      <c r="EH65" s="16"/>
      <c r="EI65" s="16"/>
      <c r="EJ65" s="16"/>
      <c r="EK65" s="16"/>
      <c r="EL65" s="16"/>
      <c r="EM65" s="19">
        <f t="shared" si="28"/>
        <v>0</v>
      </c>
      <c r="EO65" s="16"/>
      <c r="EP65" s="16"/>
      <c r="EQ65" s="16"/>
      <c r="ER65" s="16"/>
      <c r="ES65" s="16"/>
      <c r="ET65" s="16"/>
      <c r="EU65" s="16"/>
      <c r="EV65" s="16"/>
      <c r="EW65" s="16"/>
      <c r="EX65" s="16"/>
      <c r="EY65" s="16"/>
      <c r="EZ65" s="16"/>
      <c r="FA65" s="19">
        <f t="shared" si="29"/>
        <v>0</v>
      </c>
      <c r="FC65" s="16"/>
      <c r="FD65" s="16"/>
      <c r="FE65" s="16"/>
      <c r="FF65" s="16"/>
      <c r="FG65" s="16"/>
      <c r="FH65" s="16"/>
      <c r="FI65" s="16"/>
      <c r="FJ65" s="16"/>
      <c r="FK65" s="16"/>
      <c r="FL65" s="16"/>
      <c r="FM65" s="16"/>
      <c r="FN65" s="16"/>
      <c r="FO65" s="19">
        <f t="shared" si="30"/>
        <v>0</v>
      </c>
      <c r="FQ65" s="16"/>
      <c r="FR65" s="16"/>
      <c r="FS65" s="16"/>
      <c r="FT65" s="16"/>
      <c r="FU65" s="16"/>
      <c r="FV65" s="16"/>
      <c r="FW65" s="16"/>
      <c r="FX65" s="16"/>
      <c r="FY65" s="16"/>
      <c r="FZ65" s="16"/>
      <c r="GA65" s="16"/>
      <c r="GB65" s="16"/>
      <c r="GC65" s="19">
        <f t="shared" si="31"/>
        <v>0</v>
      </c>
      <c r="GE65" s="16"/>
      <c r="GF65" s="16"/>
      <c r="GG65" s="16"/>
      <c r="GH65" s="16"/>
      <c r="GI65" s="16"/>
      <c r="GJ65" s="16"/>
      <c r="GK65" s="16"/>
      <c r="GL65" s="16"/>
      <c r="GM65" s="16"/>
      <c r="GN65" s="16"/>
      <c r="GO65" s="16"/>
      <c r="GP65" s="16"/>
      <c r="GQ65" s="19">
        <f t="shared" si="32"/>
        <v>0</v>
      </c>
      <c r="GS65" s="16"/>
      <c r="GT65" s="16"/>
      <c r="GU65" s="16"/>
      <c r="GV65" s="16"/>
      <c r="GW65" s="16"/>
      <c r="GX65" s="16"/>
      <c r="GY65" s="16"/>
      <c r="GZ65" s="16"/>
      <c r="HA65" s="16"/>
      <c r="HB65" s="16"/>
      <c r="HC65" s="16"/>
      <c r="HD65" s="16"/>
      <c r="HE65" s="19">
        <f t="shared" si="33"/>
        <v>0</v>
      </c>
      <c r="HG65" s="16"/>
      <c r="HH65" s="16"/>
      <c r="HI65" s="16"/>
      <c r="HJ65" s="16"/>
      <c r="HK65" s="16"/>
      <c r="HL65" s="16"/>
      <c r="HM65" s="16"/>
      <c r="HN65" s="16"/>
      <c r="HO65" s="16"/>
      <c r="HP65" s="16"/>
      <c r="HQ65" s="16"/>
      <c r="HR65" s="16"/>
      <c r="HS65" s="19">
        <f t="shared" si="34"/>
        <v>0</v>
      </c>
      <c r="HU65" s="16"/>
      <c r="HV65" s="16"/>
      <c r="HW65" s="16"/>
      <c r="HX65" s="16"/>
      <c r="HY65" s="16"/>
      <c r="HZ65" s="16"/>
      <c r="IA65" s="16"/>
      <c r="IB65" s="16"/>
      <c r="IC65" s="16"/>
      <c r="ID65" s="16"/>
      <c r="IE65" s="16"/>
      <c r="IF65" s="16"/>
      <c r="IG65" s="19">
        <f t="shared" si="35"/>
        <v>0</v>
      </c>
    </row>
    <row r="66" spans="3:241" x14ac:dyDescent="0.2">
      <c r="C66" s="12" t="s">
        <v>12</v>
      </c>
      <c r="E66" s="18" cm="1">
        <f t="array" aca="1" ref="E66" ca="1">SUM(INDIRECT(ADDRESS(savings_min_row, COLUMN()) &amp; ":" &amp; ADDRESS(savings_max_row, COLUMN())))</f>
        <v>0</v>
      </c>
      <c r="F66" s="18" cm="1">
        <f t="array" aca="1" ref="F66" ca="1">SUM(INDIRECT(ADDRESS(savings_min_row, COLUMN()) &amp; ":" &amp; ADDRESS(savings_max_row, COLUMN())))</f>
        <v>0</v>
      </c>
      <c r="G66" s="18" cm="1">
        <f t="array" aca="1" ref="G66" ca="1">SUM(INDIRECT(ADDRESS(savings_min_row, COLUMN()) &amp; ":" &amp; ADDRESS(savings_max_row, COLUMN())))</f>
        <v>0</v>
      </c>
      <c r="H66" s="18" cm="1">
        <f t="array" aca="1" ref="H66" ca="1">SUM(INDIRECT(ADDRESS(savings_min_row, COLUMN()) &amp; ":" &amp; ADDRESS(savings_max_row, COLUMN())))</f>
        <v>0</v>
      </c>
      <c r="I66" s="18" cm="1">
        <f t="array" aca="1" ref="I66" ca="1">SUM(INDIRECT(ADDRESS(savings_min_row, COLUMN()) &amp; ":" &amp; ADDRESS(savings_max_row, COLUMN())))</f>
        <v>0</v>
      </c>
      <c r="J66" s="18" cm="1">
        <f t="array" aca="1" ref="J66" ca="1">SUM(INDIRECT(ADDRESS(savings_min_row, COLUMN()) &amp; ":" &amp; ADDRESS(savings_max_row, COLUMN())))</f>
        <v>0</v>
      </c>
      <c r="K66" s="18" cm="1">
        <f t="array" aca="1" ref="K66" ca="1">SUM(INDIRECT(ADDRESS(savings_min_row, COLUMN()) &amp; ":" &amp; ADDRESS(savings_max_row, COLUMN())))</f>
        <v>0</v>
      </c>
      <c r="L66" s="18" cm="1">
        <f t="array" aca="1" ref="L66" ca="1">SUM(INDIRECT(ADDRESS(savings_min_row, COLUMN()) &amp; ":" &amp; ADDRESS(savings_max_row, COLUMN())))</f>
        <v>0</v>
      </c>
      <c r="M66" s="18" cm="1">
        <f t="array" aca="1" ref="M66" ca="1">SUM(INDIRECT(ADDRESS(savings_min_row, COLUMN()) &amp; ":" &amp; ADDRESS(savings_max_row, COLUMN())))</f>
        <v>0</v>
      </c>
      <c r="N66" s="18" cm="1">
        <f t="array" aca="1" ref="N66" ca="1">SUM(INDIRECT(ADDRESS(savings_min_row, COLUMN()) &amp; ":" &amp; ADDRESS(savings_max_row, COLUMN())))</f>
        <v>0</v>
      </c>
      <c r="O66" s="18" cm="1">
        <f t="array" aca="1" ref="O66" ca="1">SUM(INDIRECT(ADDRESS(savings_min_row, COLUMN()) &amp; ":" &amp; ADDRESS(savings_max_row, COLUMN())))</f>
        <v>0</v>
      </c>
      <c r="P66" s="18" cm="1">
        <f t="array" aca="1" ref="P66" ca="1">SUM(INDIRECT(ADDRESS(savings_min_row, COLUMN()) &amp; ":" &amp; ADDRESS(savings_max_row, COLUMN())))</f>
        <v>0</v>
      </c>
      <c r="Q66" s="18" cm="1">
        <f t="array" aca="1" ref="Q66" ca="1">SUM(INDIRECT(ADDRESS(savings_min_row, COLUMN()) &amp; ":" &amp; ADDRESS(savings_max_row, COLUMN())))</f>
        <v>0</v>
      </c>
      <c r="S66" s="18" cm="1">
        <f t="array" aca="1" ref="S66" ca="1">SUM(INDIRECT(ADDRESS(savings_min_row, COLUMN()) &amp; ":" &amp; ADDRESS(savings_max_row, COLUMN())))</f>
        <v>0</v>
      </c>
      <c r="T66" s="18" cm="1">
        <f t="array" aca="1" ref="T66" ca="1">SUM(INDIRECT(ADDRESS(savings_min_row, COLUMN()) &amp; ":" &amp; ADDRESS(savings_max_row, COLUMN())))</f>
        <v>0</v>
      </c>
      <c r="U66" s="18" cm="1">
        <f t="array" aca="1" ref="U66" ca="1">SUM(INDIRECT(ADDRESS(savings_min_row, COLUMN()) &amp; ":" &amp; ADDRESS(savings_max_row, COLUMN())))</f>
        <v>0</v>
      </c>
      <c r="V66" s="18" cm="1">
        <f t="array" aca="1" ref="V66" ca="1">SUM(INDIRECT(ADDRESS(savings_min_row, COLUMN()) &amp; ":" &amp; ADDRESS(savings_max_row, COLUMN())))</f>
        <v>0</v>
      </c>
      <c r="W66" s="18" cm="1">
        <f t="array" aca="1" ref="W66" ca="1">SUM(INDIRECT(ADDRESS(savings_min_row, COLUMN()) &amp; ":" &amp; ADDRESS(savings_max_row, COLUMN())))</f>
        <v>0</v>
      </c>
      <c r="X66" s="18" cm="1">
        <f t="array" aca="1" ref="X66" ca="1">SUM(INDIRECT(ADDRESS(savings_min_row, COLUMN()) &amp; ":" &amp; ADDRESS(savings_max_row, COLUMN())))</f>
        <v>0</v>
      </c>
      <c r="Y66" s="18" cm="1">
        <f t="array" aca="1" ref="Y66" ca="1">SUM(INDIRECT(ADDRESS(savings_min_row, COLUMN()) &amp; ":" &amp; ADDRESS(savings_max_row, COLUMN())))</f>
        <v>0</v>
      </c>
      <c r="Z66" s="18" cm="1">
        <f t="array" aca="1" ref="Z66" ca="1">SUM(INDIRECT(ADDRESS(savings_min_row, COLUMN()) &amp; ":" &amp; ADDRESS(savings_max_row, COLUMN())))</f>
        <v>0</v>
      </c>
      <c r="AA66" s="18" cm="1">
        <f t="array" aca="1" ref="AA66" ca="1">SUM(INDIRECT(ADDRESS(savings_min_row, COLUMN()) &amp; ":" &amp; ADDRESS(savings_max_row, COLUMN())))</f>
        <v>0</v>
      </c>
      <c r="AB66" s="18" cm="1">
        <f t="array" aca="1" ref="AB66" ca="1">SUM(INDIRECT(ADDRESS(savings_min_row, COLUMN()) &amp; ":" &amp; ADDRESS(savings_max_row, COLUMN())))</f>
        <v>0</v>
      </c>
      <c r="AC66" s="18" cm="1">
        <f t="array" aca="1" ref="AC66" ca="1">SUM(INDIRECT(ADDRESS(savings_min_row, COLUMN()) &amp; ":" &amp; ADDRESS(savings_max_row, COLUMN())))</f>
        <v>0</v>
      </c>
      <c r="AD66" s="18" cm="1">
        <f t="array" aca="1" ref="AD66" ca="1">SUM(INDIRECT(ADDRESS(savings_min_row, COLUMN()) &amp; ":" &amp; ADDRESS(savings_max_row, COLUMN())))</f>
        <v>0</v>
      </c>
      <c r="AE66" s="18" cm="1">
        <f t="array" aca="1" ref="AE66" ca="1">SUM(INDIRECT(ADDRESS(savings_min_row, COLUMN()) &amp; ":" &amp; ADDRESS(savings_max_row, COLUMN())))</f>
        <v>0</v>
      </c>
      <c r="AG66" s="18" cm="1">
        <f t="array" aca="1" ref="AG66" ca="1">SUM(INDIRECT(ADDRESS(savings_min_row, COLUMN()) &amp; ":" &amp; ADDRESS(savings_max_row, COLUMN())))</f>
        <v>0</v>
      </c>
      <c r="AH66" s="18" cm="1">
        <f t="array" aca="1" ref="AH66" ca="1">SUM(INDIRECT(ADDRESS(savings_min_row, COLUMN()) &amp; ":" &amp; ADDRESS(savings_max_row, COLUMN())))</f>
        <v>0</v>
      </c>
      <c r="AI66" s="18" cm="1">
        <f t="array" aca="1" ref="AI66" ca="1">SUM(INDIRECT(ADDRESS(savings_min_row, COLUMN()) &amp; ":" &amp; ADDRESS(savings_max_row, COLUMN())))</f>
        <v>0</v>
      </c>
      <c r="AJ66" s="18" cm="1">
        <f t="array" aca="1" ref="AJ66" ca="1">SUM(INDIRECT(ADDRESS(savings_min_row, COLUMN()) &amp; ":" &amp; ADDRESS(savings_max_row, COLUMN())))</f>
        <v>0</v>
      </c>
      <c r="AK66" s="18" cm="1">
        <f t="array" aca="1" ref="AK66" ca="1">SUM(INDIRECT(ADDRESS(savings_min_row, COLUMN()) &amp; ":" &amp; ADDRESS(savings_max_row, COLUMN())))</f>
        <v>0</v>
      </c>
      <c r="AL66" s="18" cm="1">
        <f t="array" aca="1" ref="AL66" ca="1">SUM(INDIRECT(ADDRESS(savings_min_row, COLUMN()) &amp; ":" &amp; ADDRESS(savings_max_row, COLUMN())))</f>
        <v>0</v>
      </c>
      <c r="AM66" s="18" cm="1">
        <f t="array" aca="1" ref="AM66" ca="1">SUM(INDIRECT(ADDRESS(savings_min_row, COLUMN()) &amp; ":" &amp; ADDRESS(savings_max_row, COLUMN())))</f>
        <v>0</v>
      </c>
      <c r="AN66" s="18" cm="1">
        <f t="array" aca="1" ref="AN66" ca="1">SUM(INDIRECT(ADDRESS(savings_min_row, COLUMN()) &amp; ":" &amp; ADDRESS(savings_max_row, COLUMN())))</f>
        <v>0</v>
      </c>
      <c r="AO66" s="18" cm="1">
        <f t="array" aca="1" ref="AO66" ca="1">SUM(INDIRECT(ADDRESS(savings_min_row, COLUMN()) &amp; ":" &amp; ADDRESS(savings_max_row, COLUMN())))</f>
        <v>0</v>
      </c>
      <c r="AP66" s="18" cm="1">
        <f t="array" aca="1" ref="AP66" ca="1">SUM(INDIRECT(ADDRESS(savings_min_row, COLUMN()) &amp; ":" &amp; ADDRESS(savings_max_row, COLUMN())))</f>
        <v>0</v>
      </c>
      <c r="AQ66" s="18" cm="1">
        <f t="array" aca="1" ref="AQ66" ca="1">SUM(INDIRECT(ADDRESS(savings_min_row, COLUMN()) &amp; ":" &amp; ADDRESS(savings_max_row, COLUMN())))</f>
        <v>0</v>
      </c>
      <c r="AR66" s="18" cm="1">
        <f t="array" aca="1" ref="AR66" ca="1">SUM(INDIRECT(ADDRESS(savings_min_row, COLUMN()) &amp; ":" &amp; ADDRESS(savings_max_row, COLUMN())))</f>
        <v>0</v>
      </c>
      <c r="AS66" s="18" cm="1">
        <f t="array" aca="1" ref="AS66" ca="1">SUM(INDIRECT(ADDRESS(savings_min_row, COLUMN()) &amp; ":" &amp; ADDRESS(savings_max_row, COLUMN())))</f>
        <v>0</v>
      </c>
      <c r="AU66" s="18" cm="1">
        <f t="array" aca="1" ref="AU66" ca="1">SUM(INDIRECT(ADDRESS(savings_min_row, COLUMN()) &amp; ":" &amp; ADDRESS(savings_max_row, COLUMN())))</f>
        <v>0</v>
      </c>
      <c r="AV66" s="18" cm="1">
        <f t="array" aca="1" ref="AV66" ca="1">SUM(INDIRECT(ADDRESS(savings_min_row, COLUMN()) &amp; ":" &amp; ADDRESS(savings_max_row, COLUMN())))</f>
        <v>0</v>
      </c>
      <c r="AW66" s="18" cm="1">
        <f t="array" aca="1" ref="AW66" ca="1">SUM(INDIRECT(ADDRESS(savings_min_row, COLUMN()) &amp; ":" &amp; ADDRESS(savings_max_row, COLUMN())))</f>
        <v>0</v>
      </c>
      <c r="AX66" s="18" cm="1">
        <f t="array" aca="1" ref="AX66" ca="1">SUM(INDIRECT(ADDRESS(savings_min_row, COLUMN()) &amp; ":" &amp; ADDRESS(savings_max_row, COLUMN())))</f>
        <v>0</v>
      </c>
      <c r="AY66" s="18" cm="1">
        <f t="array" aca="1" ref="AY66" ca="1">SUM(INDIRECT(ADDRESS(savings_min_row, COLUMN()) &amp; ":" &amp; ADDRESS(savings_max_row, COLUMN())))</f>
        <v>0</v>
      </c>
      <c r="AZ66" s="18" cm="1">
        <f t="array" aca="1" ref="AZ66" ca="1">SUM(INDIRECT(ADDRESS(savings_min_row, COLUMN()) &amp; ":" &amp; ADDRESS(savings_max_row, COLUMN())))</f>
        <v>0</v>
      </c>
      <c r="BA66" s="18" cm="1">
        <f t="array" aca="1" ref="BA66" ca="1">SUM(INDIRECT(ADDRESS(savings_min_row, COLUMN()) &amp; ":" &amp; ADDRESS(savings_max_row, COLUMN())))</f>
        <v>0</v>
      </c>
      <c r="BB66" s="18" cm="1">
        <f t="array" aca="1" ref="BB66" ca="1">SUM(INDIRECT(ADDRESS(savings_min_row, COLUMN()) &amp; ":" &amp; ADDRESS(savings_max_row, COLUMN())))</f>
        <v>0</v>
      </c>
      <c r="BC66" s="18" cm="1">
        <f t="array" aca="1" ref="BC66" ca="1">SUM(INDIRECT(ADDRESS(savings_min_row, COLUMN()) &amp; ":" &amp; ADDRESS(savings_max_row, COLUMN())))</f>
        <v>0</v>
      </c>
      <c r="BD66" s="18" cm="1">
        <f t="array" aca="1" ref="BD66" ca="1">SUM(INDIRECT(ADDRESS(savings_min_row, COLUMN()) &amp; ":" &amp; ADDRESS(savings_max_row, COLUMN())))</f>
        <v>0</v>
      </c>
      <c r="BE66" s="18" cm="1">
        <f t="array" aca="1" ref="BE66" ca="1">SUM(INDIRECT(ADDRESS(savings_min_row, COLUMN()) &amp; ":" &amp; ADDRESS(savings_max_row, COLUMN())))</f>
        <v>0</v>
      </c>
      <c r="BF66" s="18" cm="1">
        <f t="array" aca="1" ref="BF66" ca="1">SUM(INDIRECT(ADDRESS(savings_min_row, COLUMN()) &amp; ":" &amp; ADDRESS(savings_max_row, COLUMN())))</f>
        <v>0</v>
      </c>
      <c r="BG66" s="18" cm="1">
        <f t="array" aca="1" ref="BG66" ca="1">SUM(INDIRECT(ADDRESS(savings_min_row, COLUMN()) &amp; ":" &amp; ADDRESS(savings_max_row, COLUMN())))</f>
        <v>0</v>
      </c>
      <c r="BI66" s="18" cm="1">
        <f t="array" aca="1" ref="BI66" ca="1">SUM(INDIRECT(ADDRESS(savings_min_row, COLUMN()) &amp; ":" &amp; ADDRESS(savings_max_row, COLUMN())))</f>
        <v>0</v>
      </c>
      <c r="BJ66" s="18" cm="1">
        <f t="array" aca="1" ref="BJ66" ca="1">SUM(INDIRECT(ADDRESS(savings_min_row, COLUMN()) &amp; ":" &amp; ADDRESS(savings_max_row, COLUMN())))</f>
        <v>0</v>
      </c>
      <c r="BK66" s="18" cm="1">
        <f t="array" aca="1" ref="BK66" ca="1">SUM(INDIRECT(ADDRESS(savings_min_row, COLUMN()) &amp; ":" &amp; ADDRESS(savings_max_row, COLUMN())))</f>
        <v>0</v>
      </c>
      <c r="BL66" s="18" cm="1">
        <f t="array" aca="1" ref="BL66" ca="1">SUM(INDIRECT(ADDRESS(savings_min_row, COLUMN()) &amp; ":" &amp; ADDRESS(savings_max_row, COLUMN())))</f>
        <v>0</v>
      </c>
      <c r="BM66" s="18" cm="1">
        <f t="array" aca="1" ref="BM66" ca="1">SUM(INDIRECT(ADDRESS(savings_min_row, COLUMN()) &amp; ":" &amp; ADDRESS(savings_max_row, COLUMN())))</f>
        <v>0</v>
      </c>
      <c r="BN66" s="18" cm="1">
        <f t="array" aca="1" ref="BN66" ca="1">SUM(INDIRECT(ADDRESS(savings_min_row, COLUMN()) &amp; ":" &amp; ADDRESS(savings_max_row, COLUMN())))</f>
        <v>0</v>
      </c>
      <c r="BO66" s="18" cm="1">
        <f t="array" aca="1" ref="BO66" ca="1">SUM(INDIRECT(ADDRESS(savings_min_row, COLUMN()) &amp; ":" &amp; ADDRESS(savings_max_row, COLUMN())))</f>
        <v>0</v>
      </c>
      <c r="BP66" s="18" cm="1">
        <f t="array" aca="1" ref="BP66" ca="1">SUM(INDIRECT(ADDRESS(savings_min_row, COLUMN()) &amp; ":" &amp; ADDRESS(savings_max_row, COLUMN())))</f>
        <v>0</v>
      </c>
      <c r="BQ66" s="18" cm="1">
        <f t="array" aca="1" ref="BQ66" ca="1">SUM(INDIRECT(ADDRESS(savings_min_row, COLUMN()) &amp; ":" &amp; ADDRESS(savings_max_row, COLUMN())))</f>
        <v>0</v>
      </c>
      <c r="BR66" s="18" cm="1">
        <f t="array" aca="1" ref="BR66" ca="1">SUM(INDIRECT(ADDRESS(savings_min_row, COLUMN()) &amp; ":" &amp; ADDRESS(savings_max_row, COLUMN())))</f>
        <v>0</v>
      </c>
      <c r="BS66" s="18" cm="1">
        <f t="array" aca="1" ref="BS66" ca="1">SUM(INDIRECT(ADDRESS(savings_min_row, COLUMN()) &amp; ":" &amp; ADDRESS(savings_max_row, COLUMN())))</f>
        <v>0</v>
      </c>
      <c r="BT66" s="18" cm="1">
        <f t="array" aca="1" ref="BT66" ca="1">SUM(INDIRECT(ADDRESS(savings_min_row, COLUMN()) &amp; ":" &amp; ADDRESS(savings_max_row, COLUMN())))</f>
        <v>0</v>
      </c>
      <c r="BU66" s="18" cm="1">
        <f t="array" aca="1" ref="BU66" ca="1">SUM(INDIRECT(ADDRESS(savings_min_row, COLUMN()) &amp; ":" &amp; ADDRESS(savings_max_row, COLUMN())))</f>
        <v>0</v>
      </c>
      <c r="BW66" s="18" cm="1">
        <f t="array" aca="1" ref="BW66" ca="1">SUM(INDIRECT(ADDRESS(savings_min_row, COLUMN()) &amp; ":" &amp; ADDRESS(savings_max_row, COLUMN())))</f>
        <v>0</v>
      </c>
      <c r="BX66" s="18" cm="1">
        <f t="array" aca="1" ref="BX66" ca="1">SUM(INDIRECT(ADDRESS(savings_min_row, COLUMN()) &amp; ":" &amp; ADDRESS(savings_max_row, COLUMN())))</f>
        <v>0</v>
      </c>
      <c r="BY66" s="18" cm="1">
        <f t="array" aca="1" ref="BY66" ca="1">SUM(INDIRECT(ADDRESS(savings_min_row, COLUMN()) &amp; ":" &amp; ADDRESS(savings_max_row, COLUMN())))</f>
        <v>0</v>
      </c>
      <c r="BZ66" s="18" cm="1">
        <f t="array" aca="1" ref="BZ66" ca="1">SUM(INDIRECT(ADDRESS(savings_min_row, COLUMN()) &amp; ":" &amp; ADDRESS(savings_max_row, COLUMN())))</f>
        <v>0</v>
      </c>
      <c r="CA66" s="18" cm="1">
        <f t="array" aca="1" ref="CA66" ca="1">SUM(INDIRECT(ADDRESS(savings_min_row, COLUMN()) &amp; ":" &amp; ADDRESS(savings_max_row, COLUMN())))</f>
        <v>0</v>
      </c>
      <c r="CB66" s="18" cm="1">
        <f t="array" aca="1" ref="CB66" ca="1">SUM(INDIRECT(ADDRESS(savings_min_row, COLUMN()) &amp; ":" &amp; ADDRESS(savings_max_row, COLUMN())))</f>
        <v>0</v>
      </c>
      <c r="CC66" s="18" cm="1">
        <f t="array" aca="1" ref="CC66" ca="1">SUM(INDIRECT(ADDRESS(savings_min_row, COLUMN()) &amp; ":" &amp; ADDRESS(savings_max_row, COLUMN())))</f>
        <v>0</v>
      </c>
      <c r="CD66" s="18" cm="1">
        <f t="array" aca="1" ref="CD66" ca="1">SUM(INDIRECT(ADDRESS(savings_min_row, COLUMN()) &amp; ":" &amp; ADDRESS(savings_max_row, COLUMN())))</f>
        <v>0</v>
      </c>
      <c r="CE66" s="18" cm="1">
        <f t="array" aca="1" ref="CE66" ca="1">SUM(INDIRECT(ADDRESS(savings_min_row, COLUMN()) &amp; ":" &amp; ADDRESS(savings_max_row, COLUMN())))</f>
        <v>0</v>
      </c>
      <c r="CF66" s="18" cm="1">
        <f t="array" aca="1" ref="CF66" ca="1">SUM(INDIRECT(ADDRESS(savings_min_row, COLUMN()) &amp; ":" &amp; ADDRESS(savings_max_row, COLUMN())))</f>
        <v>0</v>
      </c>
      <c r="CG66" s="18" cm="1">
        <f t="array" aca="1" ref="CG66" ca="1">SUM(INDIRECT(ADDRESS(savings_min_row, COLUMN()) &amp; ":" &amp; ADDRESS(savings_max_row, COLUMN())))</f>
        <v>0</v>
      </c>
      <c r="CH66" s="18" cm="1">
        <f t="array" aca="1" ref="CH66" ca="1">SUM(INDIRECT(ADDRESS(savings_min_row, COLUMN()) &amp; ":" &amp; ADDRESS(savings_max_row, COLUMN())))</f>
        <v>0</v>
      </c>
      <c r="CI66" s="18" cm="1">
        <f t="array" aca="1" ref="CI66" ca="1">SUM(INDIRECT(ADDRESS(savings_min_row, COLUMN()) &amp; ":" &amp; ADDRESS(savings_max_row, COLUMN())))</f>
        <v>0</v>
      </c>
      <c r="CK66" s="18" cm="1">
        <f t="array" aca="1" ref="CK66" ca="1">SUM(INDIRECT(ADDRESS(savings_min_row, COLUMN()) &amp; ":" &amp; ADDRESS(savings_max_row, COLUMN())))</f>
        <v>0</v>
      </c>
      <c r="CL66" s="18" cm="1">
        <f t="array" aca="1" ref="CL66" ca="1">SUM(INDIRECT(ADDRESS(savings_min_row, COLUMN()) &amp; ":" &amp; ADDRESS(savings_max_row, COLUMN())))</f>
        <v>0</v>
      </c>
      <c r="CM66" s="18" cm="1">
        <f t="array" aca="1" ref="CM66" ca="1">SUM(INDIRECT(ADDRESS(savings_min_row, COLUMN()) &amp; ":" &amp; ADDRESS(savings_max_row, COLUMN())))</f>
        <v>0</v>
      </c>
      <c r="CN66" s="18" cm="1">
        <f t="array" aca="1" ref="CN66" ca="1">SUM(INDIRECT(ADDRESS(savings_min_row, COLUMN()) &amp; ":" &amp; ADDRESS(savings_max_row, COLUMN())))</f>
        <v>0</v>
      </c>
      <c r="CO66" s="18" cm="1">
        <f t="array" aca="1" ref="CO66" ca="1">SUM(INDIRECT(ADDRESS(savings_min_row, COLUMN()) &amp; ":" &amp; ADDRESS(savings_max_row, COLUMN())))</f>
        <v>0</v>
      </c>
      <c r="CP66" s="18" cm="1">
        <f t="array" aca="1" ref="CP66" ca="1">SUM(INDIRECT(ADDRESS(savings_min_row, COLUMN()) &amp; ":" &amp; ADDRESS(savings_max_row, COLUMN())))</f>
        <v>0</v>
      </c>
      <c r="CQ66" s="18" cm="1">
        <f t="array" aca="1" ref="CQ66" ca="1">SUM(INDIRECT(ADDRESS(savings_min_row, COLUMN()) &amp; ":" &amp; ADDRESS(savings_max_row, COLUMN())))</f>
        <v>0</v>
      </c>
      <c r="CR66" s="18" cm="1">
        <f t="array" aca="1" ref="CR66" ca="1">SUM(INDIRECT(ADDRESS(savings_min_row, COLUMN()) &amp; ":" &amp; ADDRESS(savings_max_row, COLUMN())))</f>
        <v>0</v>
      </c>
      <c r="CS66" s="18" cm="1">
        <f t="array" aca="1" ref="CS66" ca="1">SUM(INDIRECT(ADDRESS(savings_min_row, COLUMN()) &amp; ":" &amp; ADDRESS(savings_max_row, COLUMN())))</f>
        <v>0</v>
      </c>
      <c r="CT66" s="18" cm="1">
        <f t="array" aca="1" ref="CT66" ca="1">SUM(INDIRECT(ADDRESS(savings_min_row, COLUMN()) &amp; ":" &amp; ADDRESS(savings_max_row, COLUMN())))</f>
        <v>0</v>
      </c>
      <c r="CU66" s="18" cm="1">
        <f t="array" aca="1" ref="CU66" ca="1">SUM(INDIRECT(ADDRESS(savings_min_row, COLUMN()) &amp; ":" &amp; ADDRESS(savings_max_row, COLUMN())))</f>
        <v>0</v>
      </c>
      <c r="CV66" s="18" cm="1">
        <f t="array" aca="1" ref="CV66" ca="1">SUM(INDIRECT(ADDRESS(savings_min_row, COLUMN()) &amp; ":" &amp; ADDRESS(savings_max_row, COLUMN())))</f>
        <v>0</v>
      </c>
      <c r="CW66" s="18" cm="1">
        <f t="array" aca="1" ref="CW66" ca="1">SUM(INDIRECT(ADDRESS(savings_min_row, COLUMN()) &amp; ":" &amp; ADDRESS(savings_max_row, COLUMN())))</f>
        <v>0</v>
      </c>
      <c r="CY66" s="18" cm="1">
        <f t="array" aca="1" ref="CY66" ca="1">SUM(INDIRECT(ADDRESS(savings_min_row, COLUMN()) &amp; ":" &amp; ADDRESS(savings_max_row, COLUMN())))</f>
        <v>0</v>
      </c>
      <c r="CZ66" s="18" cm="1">
        <f t="array" aca="1" ref="CZ66" ca="1">SUM(INDIRECT(ADDRESS(savings_min_row, COLUMN()) &amp; ":" &amp; ADDRESS(savings_max_row, COLUMN())))</f>
        <v>0</v>
      </c>
      <c r="DA66" s="18" cm="1">
        <f t="array" aca="1" ref="DA66" ca="1">SUM(INDIRECT(ADDRESS(savings_min_row, COLUMN()) &amp; ":" &amp; ADDRESS(savings_max_row, COLUMN())))</f>
        <v>0</v>
      </c>
      <c r="DB66" s="18" cm="1">
        <f t="array" aca="1" ref="DB66" ca="1">SUM(INDIRECT(ADDRESS(savings_min_row, COLUMN()) &amp; ":" &amp; ADDRESS(savings_max_row, COLUMN())))</f>
        <v>0</v>
      </c>
      <c r="DC66" s="18" cm="1">
        <f t="array" aca="1" ref="DC66" ca="1">SUM(INDIRECT(ADDRESS(savings_min_row, COLUMN()) &amp; ":" &amp; ADDRESS(savings_max_row, COLUMN())))</f>
        <v>0</v>
      </c>
      <c r="DD66" s="18" cm="1">
        <f t="array" aca="1" ref="DD66" ca="1">SUM(INDIRECT(ADDRESS(savings_min_row, COLUMN()) &amp; ":" &amp; ADDRESS(savings_max_row, COLUMN())))</f>
        <v>0</v>
      </c>
      <c r="DE66" s="18" cm="1">
        <f t="array" aca="1" ref="DE66" ca="1">SUM(INDIRECT(ADDRESS(savings_min_row, COLUMN()) &amp; ":" &amp; ADDRESS(savings_max_row, COLUMN())))</f>
        <v>0</v>
      </c>
      <c r="DF66" s="18" cm="1">
        <f t="array" aca="1" ref="DF66" ca="1">SUM(INDIRECT(ADDRESS(savings_min_row, COLUMN()) &amp; ":" &amp; ADDRESS(savings_max_row, COLUMN())))</f>
        <v>0</v>
      </c>
      <c r="DG66" s="18" cm="1">
        <f t="array" aca="1" ref="DG66" ca="1">SUM(INDIRECT(ADDRESS(savings_min_row, COLUMN()) &amp; ":" &amp; ADDRESS(savings_max_row, COLUMN())))</f>
        <v>0</v>
      </c>
      <c r="DH66" s="18" cm="1">
        <f t="array" aca="1" ref="DH66" ca="1">SUM(INDIRECT(ADDRESS(savings_min_row, COLUMN()) &amp; ":" &amp; ADDRESS(savings_max_row, COLUMN())))</f>
        <v>0</v>
      </c>
      <c r="DI66" s="18" cm="1">
        <f t="array" aca="1" ref="DI66" ca="1">SUM(INDIRECT(ADDRESS(savings_min_row, COLUMN()) &amp; ":" &amp; ADDRESS(savings_max_row, COLUMN())))</f>
        <v>0</v>
      </c>
      <c r="DJ66" s="18" cm="1">
        <f t="array" aca="1" ref="DJ66" ca="1">SUM(INDIRECT(ADDRESS(savings_min_row, COLUMN()) &amp; ":" &amp; ADDRESS(savings_max_row, COLUMN())))</f>
        <v>0</v>
      </c>
      <c r="DK66" s="18" cm="1">
        <f t="array" aca="1" ref="DK66" ca="1">SUM(INDIRECT(ADDRESS(savings_min_row, COLUMN()) &amp; ":" &amp; ADDRESS(savings_max_row, COLUMN())))</f>
        <v>0</v>
      </c>
      <c r="DM66" s="18" cm="1">
        <f t="array" aca="1" ref="DM66" ca="1">SUM(INDIRECT(ADDRESS(savings_min_row, COLUMN()) &amp; ":" &amp; ADDRESS(savings_max_row, COLUMN())))</f>
        <v>0</v>
      </c>
      <c r="DN66" s="18" cm="1">
        <f t="array" aca="1" ref="DN66" ca="1">SUM(INDIRECT(ADDRESS(savings_min_row, COLUMN()) &amp; ":" &amp; ADDRESS(savings_max_row, COLUMN())))</f>
        <v>0</v>
      </c>
      <c r="DO66" s="18" cm="1">
        <f t="array" aca="1" ref="DO66" ca="1">SUM(INDIRECT(ADDRESS(savings_min_row, COLUMN()) &amp; ":" &amp; ADDRESS(savings_max_row, COLUMN())))</f>
        <v>0</v>
      </c>
      <c r="DP66" s="18" cm="1">
        <f t="array" aca="1" ref="DP66" ca="1">SUM(INDIRECT(ADDRESS(savings_min_row, COLUMN()) &amp; ":" &amp; ADDRESS(savings_max_row, COLUMN())))</f>
        <v>0</v>
      </c>
      <c r="DQ66" s="18" cm="1">
        <f t="array" aca="1" ref="DQ66" ca="1">SUM(INDIRECT(ADDRESS(savings_min_row, COLUMN()) &amp; ":" &amp; ADDRESS(savings_max_row, COLUMN())))</f>
        <v>0</v>
      </c>
      <c r="DR66" s="18" cm="1">
        <f t="array" aca="1" ref="DR66" ca="1">SUM(INDIRECT(ADDRESS(savings_min_row, COLUMN()) &amp; ":" &amp; ADDRESS(savings_max_row, COLUMN())))</f>
        <v>0</v>
      </c>
      <c r="DS66" s="18" cm="1">
        <f t="array" aca="1" ref="DS66" ca="1">SUM(INDIRECT(ADDRESS(savings_min_row, COLUMN()) &amp; ":" &amp; ADDRESS(savings_max_row, COLUMN())))</f>
        <v>0</v>
      </c>
      <c r="DT66" s="18" cm="1">
        <f t="array" aca="1" ref="DT66" ca="1">SUM(INDIRECT(ADDRESS(savings_min_row, COLUMN()) &amp; ":" &amp; ADDRESS(savings_max_row, COLUMN())))</f>
        <v>0</v>
      </c>
      <c r="DU66" s="18" cm="1">
        <f t="array" aca="1" ref="DU66" ca="1">SUM(INDIRECT(ADDRESS(savings_min_row, COLUMN()) &amp; ":" &amp; ADDRESS(savings_max_row, COLUMN())))</f>
        <v>0</v>
      </c>
      <c r="DV66" s="18" cm="1">
        <f t="array" aca="1" ref="DV66" ca="1">SUM(INDIRECT(ADDRESS(savings_min_row, COLUMN()) &amp; ":" &amp; ADDRESS(savings_max_row, COLUMN())))</f>
        <v>0</v>
      </c>
      <c r="DW66" s="18" cm="1">
        <f t="array" aca="1" ref="DW66" ca="1">SUM(INDIRECT(ADDRESS(savings_min_row, COLUMN()) &amp; ":" &amp; ADDRESS(savings_max_row, COLUMN())))</f>
        <v>0</v>
      </c>
      <c r="DX66" s="18" cm="1">
        <f t="array" aca="1" ref="DX66" ca="1">SUM(INDIRECT(ADDRESS(savings_min_row, COLUMN()) &amp; ":" &amp; ADDRESS(savings_max_row, COLUMN())))</f>
        <v>0</v>
      </c>
      <c r="DY66" s="18" cm="1">
        <f t="array" aca="1" ref="DY66" ca="1">SUM(INDIRECT(ADDRESS(savings_min_row, COLUMN()) &amp; ":" &amp; ADDRESS(savings_max_row, COLUMN())))</f>
        <v>0</v>
      </c>
      <c r="EA66" s="18" cm="1">
        <f t="array" aca="1" ref="EA66" ca="1">SUM(INDIRECT(ADDRESS(savings_min_row, COLUMN()) &amp; ":" &amp; ADDRESS(savings_max_row, COLUMN())))</f>
        <v>0</v>
      </c>
      <c r="EB66" s="18" cm="1">
        <f t="array" aca="1" ref="EB66" ca="1">SUM(INDIRECT(ADDRESS(savings_min_row, COLUMN()) &amp; ":" &amp; ADDRESS(savings_max_row, COLUMN())))</f>
        <v>0</v>
      </c>
      <c r="EC66" s="18" cm="1">
        <f t="array" aca="1" ref="EC66" ca="1">SUM(INDIRECT(ADDRESS(savings_min_row, COLUMN()) &amp; ":" &amp; ADDRESS(savings_max_row, COLUMN())))</f>
        <v>0</v>
      </c>
      <c r="ED66" s="18" cm="1">
        <f t="array" aca="1" ref="ED66" ca="1">SUM(INDIRECT(ADDRESS(savings_min_row, COLUMN()) &amp; ":" &amp; ADDRESS(savings_max_row, COLUMN())))</f>
        <v>0</v>
      </c>
      <c r="EE66" s="18" cm="1">
        <f t="array" aca="1" ref="EE66" ca="1">SUM(INDIRECT(ADDRESS(savings_min_row, COLUMN()) &amp; ":" &amp; ADDRESS(savings_max_row, COLUMN())))</f>
        <v>0</v>
      </c>
      <c r="EF66" s="18" cm="1">
        <f t="array" aca="1" ref="EF66" ca="1">SUM(INDIRECT(ADDRESS(savings_min_row, COLUMN()) &amp; ":" &amp; ADDRESS(savings_max_row, COLUMN())))</f>
        <v>0</v>
      </c>
      <c r="EG66" s="18" cm="1">
        <f t="array" aca="1" ref="EG66" ca="1">SUM(INDIRECT(ADDRESS(savings_min_row, COLUMN()) &amp; ":" &amp; ADDRESS(savings_max_row, COLUMN())))</f>
        <v>0</v>
      </c>
      <c r="EH66" s="18" cm="1">
        <f t="array" aca="1" ref="EH66" ca="1">SUM(INDIRECT(ADDRESS(savings_min_row, COLUMN()) &amp; ":" &amp; ADDRESS(savings_max_row, COLUMN())))</f>
        <v>0</v>
      </c>
      <c r="EI66" s="18" cm="1">
        <f t="array" aca="1" ref="EI66" ca="1">SUM(INDIRECT(ADDRESS(savings_min_row, COLUMN()) &amp; ":" &amp; ADDRESS(savings_max_row, COLUMN())))</f>
        <v>0</v>
      </c>
      <c r="EJ66" s="18" cm="1">
        <f t="array" aca="1" ref="EJ66" ca="1">SUM(INDIRECT(ADDRESS(savings_min_row, COLUMN()) &amp; ":" &amp; ADDRESS(savings_max_row, COLUMN())))</f>
        <v>0</v>
      </c>
      <c r="EK66" s="18" cm="1">
        <f t="array" aca="1" ref="EK66" ca="1">SUM(INDIRECT(ADDRESS(savings_min_row, COLUMN()) &amp; ":" &amp; ADDRESS(savings_max_row, COLUMN())))</f>
        <v>0</v>
      </c>
      <c r="EL66" s="18" cm="1">
        <f t="array" aca="1" ref="EL66" ca="1">SUM(INDIRECT(ADDRESS(savings_min_row, COLUMN()) &amp; ":" &amp; ADDRESS(savings_max_row, COLUMN())))</f>
        <v>0</v>
      </c>
      <c r="EM66" s="18" cm="1">
        <f t="array" aca="1" ref="EM66" ca="1">SUM(INDIRECT(ADDRESS(savings_min_row, COLUMN()) &amp; ":" &amp; ADDRESS(savings_max_row, COLUMN())))</f>
        <v>0</v>
      </c>
      <c r="EO66" s="18" cm="1">
        <f t="array" aca="1" ref="EO66" ca="1">SUM(INDIRECT(ADDRESS(savings_min_row, COLUMN()) &amp; ":" &amp; ADDRESS(savings_max_row, COLUMN())))</f>
        <v>0</v>
      </c>
      <c r="EP66" s="18" cm="1">
        <f t="array" aca="1" ref="EP66" ca="1">SUM(INDIRECT(ADDRESS(savings_min_row, COLUMN()) &amp; ":" &amp; ADDRESS(savings_max_row, COLUMN())))</f>
        <v>0</v>
      </c>
      <c r="EQ66" s="18" cm="1">
        <f t="array" aca="1" ref="EQ66" ca="1">SUM(INDIRECT(ADDRESS(savings_min_row, COLUMN()) &amp; ":" &amp; ADDRESS(savings_max_row, COLUMN())))</f>
        <v>0</v>
      </c>
      <c r="ER66" s="18" cm="1">
        <f t="array" aca="1" ref="ER66" ca="1">SUM(INDIRECT(ADDRESS(savings_min_row, COLUMN()) &amp; ":" &amp; ADDRESS(savings_max_row, COLUMN())))</f>
        <v>0</v>
      </c>
      <c r="ES66" s="18" cm="1">
        <f t="array" aca="1" ref="ES66" ca="1">SUM(INDIRECT(ADDRESS(savings_min_row, COLUMN()) &amp; ":" &amp; ADDRESS(savings_max_row, COLUMN())))</f>
        <v>0</v>
      </c>
      <c r="ET66" s="18" cm="1">
        <f t="array" aca="1" ref="ET66" ca="1">SUM(INDIRECT(ADDRESS(savings_min_row, COLUMN()) &amp; ":" &amp; ADDRESS(savings_max_row, COLUMN())))</f>
        <v>0</v>
      </c>
      <c r="EU66" s="18" cm="1">
        <f t="array" aca="1" ref="EU66" ca="1">SUM(INDIRECT(ADDRESS(savings_min_row, COLUMN()) &amp; ":" &amp; ADDRESS(savings_max_row, COLUMN())))</f>
        <v>0</v>
      </c>
      <c r="EV66" s="18" cm="1">
        <f t="array" aca="1" ref="EV66" ca="1">SUM(INDIRECT(ADDRESS(savings_min_row, COLUMN()) &amp; ":" &amp; ADDRESS(savings_max_row, COLUMN())))</f>
        <v>0</v>
      </c>
      <c r="EW66" s="18" cm="1">
        <f t="array" aca="1" ref="EW66" ca="1">SUM(INDIRECT(ADDRESS(savings_min_row, COLUMN()) &amp; ":" &amp; ADDRESS(savings_max_row, COLUMN())))</f>
        <v>0</v>
      </c>
      <c r="EX66" s="18" cm="1">
        <f t="array" aca="1" ref="EX66" ca="1">SUM(INDIRECT(ADDRESS(savings_min_row, COLUMN()) &amp; ":" &amp; ADDRESS(savings_max_row, COLUMN())))</f>
        <v>0</v>
      </c>
      <c r="EY66" s="18" cm="1">
        <f t="array" aca="1" ref="EY66" ca="1">SUM(INDIRECT(ADDRESS(savings_min_row, COLUMN()) &amp; ":" &amp; ADDRESS(savings_max_row, COLUMN())))</f>
        <v>0</v>
      </c>
      <c r="EZ66" s="18" cm="1">
        <f t="array" aca="1" ref="EZ66" ca="1">SUM(INDIRECT(ADDRESS(savings_min_row, COLUMN()) &amp; ":" &amp; ADDRESS(savings_max_row, COLUMN())))</f>
        <v>0</v>
      </c>
      <c r="FA66" s="18" cm="1">
        <f t="array" aca="1" ref="FA66" ca="1">SUM(INDIRECT(ADDRESS(savings_min_row, COLUMN()) &amp; ":" &amp; ADDRESS(savings_max_row, COLUMN())))</f>
        <v>0</v>
      </c>
      <c r="FC66" s="18" cm="1">
        <f t="array" aca="1" ref="FC66" ca="1">SUM(INDIRECT(ADDRESS(savings_min_row, COLUMN()) &amp; ":" &amp; ADDRESS(savings_max_row, COLUMN())))</f>
        <v>0</v>
      </c>
      <c r="FD66" s="18" cm="1">
        <f t="array" aca="1" ref="FD66" ca="1">SUM(INDIRECT(ADDRESS(savings_min_row, COLUMN()) &amp; ":" &amp; ADDRESS(savings_max_row, COLUMN())))</f>
        <v>0</v>
      </c>
      <c r="FE66" s="18" cm="1">
        <f t="array" aca="1" ref="FE66" ca="1">SUM(INDIRECT(ADDRESS(savings_min_row, COLUMN()) &amp; ":" &amp; ADDRESS(savings_max_row, COLUMN())))</f>
        <v>0</v>
      </c>
      <c r="FF66" s="18" cm="1">
        <f t="array" aca="1" ref="FF66" ca="1">SUM(INDIRECT(ADDRESS(savings_min_row, COLUMN()) &amp; ":" &amp; ADDRESS(savings_max_row, COLUMN())))</f>
        <v>0</v>
      </c>
      <c r="FG66" s="18" cm="1">
        <f t="array" aca="1" ref="FG66" ca="1">SUM(INDIRECT(ADDRESS(savings_min_row, COLUMN()) &amp; ":" &amp; ADDRESS(savings_max_row, COLUMN())))</f>
        <v>0</v>
      </c>
      <c r="FH66" s="18" cm="1">
        <f t="array" aca="1" ref="FH66" ca="1">SUM(INDIRECT(ADDRESS(savings_min_row, COLUMN()) &amp; ":" &amp; ADDRESS(savings_max_row, COLUMN())))</f>
        <v>0</v>
      </c>
      <c r="FI66" s="18" cm="1">
        <f t="array" aca="1" ref="FI66" ca="1">SUM(INDIRECT(ADDRESS(savings_min_row, COLUMN()) &amp; ":" &amp; ADDRESS(savings_max_row, COLUMN())))</f>
        <v>0</v>
      </c>
      <c r="FJ66" s="18" cm="1">
        <f t="array" aca="1" ref="FJ66" ca="1">SUM(INDIRECT(ADDRESS(savings_min_row, COLUMN()) &amp; ":" &amp; ADDRESS(savings_max_row, COLUMN())))</f>
        <v>0</v>
      </c>
      <c r="FK66" s="18" cm="1">
        <f t="array" aca="1" ref="FK66" ca="1">SUM(INDIRECT(ADDRESS(savings_min_row, COLUMN()) &amp; ":" &amp; ADDRESS(savings_max_row, COLUMN())))</f>
        <v>0</v>
      </c>
      <c r="FL66" s="18" cm="1">
        <f t="array" aca="1" ref="FL66" ca="1">SUM(INDIRECT(ADDRESS(savings_min_row, COLUMN()) &amp; ":" &amp; ADDRESS(savings_max_row, COLUMN())))</f>
        <v>0</v>
      </c>
      <c r="FM66" s="18" cm="1">
        <f t="array" aca="1" ref="FM66" ca="1">SUM(INDIRECT(ADDRESS(savings_min_row, COLUMN()) &amp; ":" &amp; ADDRESS(savings_max_row, COLUMN())))</f>
        <v>0</v>
      </c>
      <c r="FN66" s="18" cm="1">
        <f t="array" aca="1" ref="FN66" ca="1">SUM(INDIRECT(ADDRESS(savings_min_row, COLUMN()) &amp; ":" &amp; ADDRESS(savings_max_row, COLUMN())))</f>
        <v>0</v>
      </c>
      <c r="FO66" s="18" cm="1">
        <f t="array" aca="1" ref="FO66" ca="1">SUM(INDIRECT(ADDRESS(savings_min_row, COLUMN()) &amp; ":" &amp; ADDRESS(savings_max_row, COLUMN())))</f>
        <v>0</v>
      </c>
      <c r="FQ66" s="18" cm="1">
        <f t="array" aca="1" ref="FQ66" ca="1">SUM(INDIRECT(ADDRESS(savings_min_row, COLUMN()) &amp; ":" &amp; ADDRESS(savings_max_row, COLUMN())))</f>
        <v>0</v>
      </c>
      <c r="FR66" s="18" cm="1">
        <f t="array" aca="1" ref="FR66" ca="1">SUM(INDIRECT(ADDRESS(savings_min_row, COLUMN()) &amp; ":" &amp; ADDRESS(savings_max_row, COLUMN())))</f>
        <v>0</v>
      </c>
      <c r="FS66" s="18" cm="1">
        <f t="array" aca="1" ref="FS66" ca="1">SUM(INDIRECT(ADDRESS(savings_min_row, COLUMN()) &amp; ":" &amp; ADDRESS(savings_max_row, COLUMN())))</f>
        <v>0</v>
      </c>
      <c r="FT66" s="18" cm="1">
        <f t="array" aca="1" ref="FT66" ca="1">SUM(INDIRECT(ADDRESS(savings_min_row, COLUMN()) &amp; ":" &amp; ADDRESS(savings_max_row, COLUMN())))</f>
        <v>0</v>
      </c>
      <c r="FU66" s="18" cm="1">
        <f t="array" aca="1" ref="FU66" ca="1">SUM(INDIRECT(ADDRESS(savings_min_row, COLUMN()) &amp; ":" &amp; ADDRESS(savings_max_row, COLUMN())))</f>
        <v>0</v>
      </c>
      <c r="FV66" s="18" cm="1">
        <f t="array" aca="1" ref="FV66" ca="1">SUM(INDIRECT(ADDRESS(savings_min_row, COLUMN()) &amp; ":" &amp; ADDRESS(savings_max_row, COLUMN())))</f>
        <v>0</v>
      </c>
      <c r="FW66" s="18" cm="1">
        <f t="array" aca="1" ref="FW66" ca="1">SUM(INDIRECT(ADDRESS(savings_min_row, COLUMN()) &amp; ":" &amp; ADDRESS(savings_max_row, COLUMN())))</f>
        <v>0</v>
      </c>
      <c r="FX66" s="18" cm="1">
        <f t="array" aca="1" ref="FX66" ca="1">SUM(INDIRECT(ADDRESS(savings_min_row, COLUMN()) &amp; ":" &amp; ADDRESS(savings_max_row, COLUMN())))</f>
        <v>0</v>
      </c>
      <c r="FY66" s="18" cm="1">
        <f t="array" aca="1" ref="FY66" ca="1">SUM(INDIRECT(ADDRESS(savings_min_row, COLUMN()) &amp; ":" &amp; ADDRESS(savings_max_row, COLUMN())))</f>
        <v>0</v>
      </c>
      <c r="FZ66" s="18" cm="1">
        <f t="array" aca="1" ref="FZ66" ca="1">SUM(INDIRECT(ADDRESS(savings_min_row, COLUMN()) &amp; ":" &amp; ADDRESS(savings_max_row, COLUMN())))</f>
        <v>0</v>
      </c>
      <c r="GA66" s="18" cm="1">
        <f t="array" aca="1" ref="GA66" ca="1">SUM(INDIRECT(ADDRESS(savings_min_row, COLUMN()) &amp; ":" &amp; ADDRESS(savings_max_row, COLUMN())))</f>
        <v>0</v>
      </c>
      <c r="GB66" s="18" cm="1">
        <f t="array" aca="1" ref="GB66" ca="1">SUM(INDIRECT(ADDRESS(savings_min_row, COLUMN()) &amp; ":" &amp; ADDRESS(savings_max_row, COLUMN())))</f>
        <v>0</v>
      </c>
      <c r="GC66" s="18" cm="1">
        <f t="array" aca="1" ref="GC66" ca="1">SUM(INDIRECT(ADDRESS(savings_min_row, COLUMN()) &amp; ":" &amp; ADDRESS(savings_max_row, COLUMN())))</f>
        <v>0</v>
      </c>
      <c r="GE66" s="18" cm="1">
        <f t="array" aca="1" ref="GE66" ca="1">SUM(INDIRECT(ADDRESS(savings_min_row, COLUMN()) &amp; ":" &amp; ADDRESS(savings_max_row, COLUMN())))</f>
        <v>0</v>
      </c>
      <c r="GF66" s="18" cm="1">
        <f t="array" aca="1" ref="GF66" ca="1">SUM(INDIRECT(ADDRESS(savings_min_row, COLUMN()) &amp; ":" &amp; ADDRESS(savings_max_row, COLUMN())))</f>
        <v>0</v>
      </c>
      <c r="GG66" s="18" cm="1">
        <f t="array" aca="1" ref="GG66" ca="1">SUM(INDIRECT(ADDRESS(savings_min_row, COLUMN()) &amp; ":" &amp; ADDRESS(savings_max_row, COLUMN())))</f>
        <v>0</v>
      </c>
      <c r="GH66" s="18" cm="1">
        <f t="array" aca="1" ref="GH66" ca="1">SUM(INDIRECT(ADDRESS(savings_min_row, COLUMN()) &amp; ":" &amp; ADDRESS(savings_max_row, COLUMN())))</f>
        <v>0</v>
      </c>
      <c r="GI66" s="18" cm="1">
        <f t="array" aca="1" ref="GI66" ca="1">SUM(INDIRECT(ADDRESS(savings_min_row, COLUMN()) &amp; ":" &amp; ADDRESS(savings_max_row, COLUMN())))</f>
        <v>0</v>
      </c>
      <c r="GJ66" s="18" cm="1">
        <f t="array" aca="1" ref="GJ66" ca="1">SUM(INDIRECT(ADDRESS(savings_min_row, COLUMN()) &amp; ":" &amp; ADDRESS(savings_max_row, COLUMN())))</f>
        <v>0</v>
      </c>
      <c r="GK66" s="18" cm="1">
        <f t="array" aca="1" ref="GK66" ca="1">SUM(INDIRECT(ADDRESS(savings_min_row, COLUMN()) &amp; ":" &amp; ADDRESS(savings_max_row, COLUMN())))</f>
        <v>0</v>
      </c>
      <c r="GL66" s="18" cm="1">
        <f t="array" aca="1" ref="GL66" ca="1">SUM(INDIRECT(ADDRESS(savings_min_row, COLUMN()) &amp; ":" &amp; ADDRESS(savings_max_row, COLUMN())))</f>
        <v>0</v>
      </c>
      <c r="GM66" s="18" cm="1">
        <f t="array" aca="1" ref="GM66" ca="1">SUM(INDIRECT(ADDRESS(savings_min_row, COLUMN()) &amp; ":" &amp; ADDRESS(savings_max_row, COLUMN())))</f>
        <v>0</v>
      </c>
      <c r="GN66" s="18" cm="1">
        <f t="array" aca="1" ref="GN66" ca="1">SUM(INDIRECT(ADDRESS(savings_min_row, COLUMN()) &amp; ":" &amp; ADDRESS(savings_max_row, COLUMN())))</f>
        <v>0</v>
      </c>
      <c r="GO66" s="18" cm="1">
        <f t="array" aca="1" ref="GO66" ca="1">SUM(INDIRECT(ADDRESS(savings_min_row, COLUMN()) &amp; ":" &amp; ADDRESS(savings_max_row, COLUMN())))</f>
        <v>0</v>
      </c>
      <c r="GP66" s="18" cm="1">
        <f t="array" aca="1" ref="GP66" ca="1">SUM(INDIRECT(ADDRESS(savings_min_row, COLUMN()) &amp; ":" &amp; ADDRESS(savings_max_row, COLUMN())))</f>
        <v>0</v>
      </c>
      <c r="GQ66" s="18" cm="1">
        <f t="array" aca="1" ref="GQ66" ca="1">SUM(INDIRECT(ADDRESS(savings_min_row, COLUMN()) &amp; ":" &amp; ADDRESS(savings_max_row, COLUMN())))</f>
        <v>0</v>
      </c>
      <c r="GS66" s="18" cm="1">
        <f t="array" aca="1" ref="GS66" ca="1">SUM(INDIRECT(ADDRESS(savings_min_row, COLUMN()) &amp; ":" &amp; ADDRESS(savings_max_row, COLUMN())))</f>
        <v>0</v>
      </c>
      <c r="GT66" s="18" cm="1">
        <f t="array" aca="1" ref="GT66" ca="1">SUM(INDIRECT(ADDRESS(savings_min_row, COLUMN()) &amp; ":" &amp; ADDRESS(savings_max_row, COLUMN())))</f>
        <v>0</v>
      </c>
      <c r="GU66" s="18" cm="1">
        <f t="array" aca="1" ref="GU66" ca="1">SUM(INDIRECT(ADDRESS(savings_min_row, COLUMN()) &amp; ":" &amp; ADDRESS(savings_max_row, COLUMN())))</f>
        <v>0</v>
      </c>
      <c r="GV66" s="18" cm="1">
        <f t="array" aca="1" ref="GV66" ca="1">SUM(INDIRECT(ADDRESS(savings_min_row, COLUMN()) &amp; ":" &amp; ADDRESS(savings_max_row, COLUMN())))</f>
        <v>0</v>
      </c>
      <c r="GW66" s="18" cm="1">
        <f t="array" aca="1" ref="GW66" ca="1">SUM(INDIRECT(ADDRESS(savings_min_row, COLUMN()) &amp; ":" &amp; ADDRESS(savings_max_row, COLUMN())))</f>
        <v>0</v>
      </c>
      <c r="GX66" s="18" cm="1">
        <f t="array" aca="1" ref="GX66" ca="1">SUM(INDIRECT(ADDRESS(savings_min_row, COLUMN()) &amp; ":" &amp; ADDRESS(savings_max_row, COLUMN())))</f>
        <v>0</v>
      </c>
      <c r="GY66" s="18" cm="1">
        <f t="array" aca="1" ref="GY66" ca="1">SUM(INDIRECT(ADDRESS(savings_min_row, COLUMN()) &amp; ":" &amp; ADDRESS(savings_max_row, COLUMN())))</f>
        <v>0</v>
      </c>
      <c r="GZ66" s="18" cm="1">
        <f t="array" aca="1" ref="GZ66" ca="1">SUM(INDIRECT(ADDRESS(savings_min_row, COLUMN()) &amp; ":" &amp; ADDRESS(savings_max_row, COLUMN())))</f>
        <v>0</v>
      </c>
      <c r="HA66" s="18" cm="1">
        <f t="array" aca="1" ref="HA66" ca="1">SUM(INDIRECT(ADDRESS(savings_min_row, COLUMN()) &amp; ":" &amp; ADDRESS(savings_max_row, COLUMN())))</f>
        <v>0</v>
      </c>
      <c r="HB66" s="18" cm="1">
        <f t="array" aca="1" ref="HB66" ca="1">SUM(INDIRECT(ADDRESS(savings_min_row, COLUMN()) &amp; ":" &amp; ADDRESS(savings_max_row, COLUMN())))</f>
        <v>0</v>
      </c>
      <c r="HC66" s="18" cm="1">
        <f t="array" aca="1" ref="HC66" ca="1">SUM(INDIRECT(ADDRESS(savings_min_row, COLUMN()) &amp; ":" &amp; ADDRESS(savings_max_row, COLUMN())))</f>
        <v>0</v>
      </c>
      <c r="HD66" s="18" cm="1">
        <f t="array" aca="1" ref="HD66" ca="1">SUM(INDIRECT(ADDRESS(savings_min_row, COLUMN()) &amp; ":" &amp; ADDRESS(savings_max_row, COLUMN())))</f>
        <v>0</v>
      </c>
      <c r="HE66" s="18" cm="1">
        <f t="array" aca="1" ref="HE66" ca="1">SUM(INDIRECT(ADDRESS(savings_min_row, COLUMN()) &amp; ":" &amp; ADDRESS(savings_max_row, COLUMN())))</f>
        <v>0</v>
      </c>
      <c r="HG66" s="18" cm="1">
        <f t="array" aca="1" ref="HG66" ca="1">SUM(INDIRECT(ADDRESS(savings_min_row, COLUMN()) &amp; ":" &amp; ADDRESS(savings_max_row, COLUMN())))</f>
        <v>0</v>
      </c>
      <c r="HH66" s="18" cm="1">
        <f t="array" aca="1" ref="HH66" ca="1">SUM(INDIRECT(ADDRESS(savings_min_row, COLUMN()) &amp; ":" &amp; ADDRESS(savings_max_row, COLUMN())))</f>
        <v>0</v>
      </c>
      <c r="HI66" s="18" cm="1">
        <f t="array" aca="1" ref="HI66" ca="1">SUM(INDIRECT(ADDRESS(savings_min_row, COLUMN()) &amp; ":" &amp; ADDRESS(savings_max_row, COLUMN())))</f>
        <v>0</v>
      </c>
      <c r="HJ66" s="18" cm="1">
        <f t="array" aca="1" ref="HJ66" ca="1">SUM(INDIRECT(ADDRESS(savings_min_row, COLUMN()) &amp; ":" &amp; ADDRESS(savings_max_row, COLUMN())))</f>
        <v>0</v>
      </c>
      <c r="HK66" s="18" cm="1">
        <f t="array" aca="1" ref="HK66" ca="1">SUM(INDIRECT(ADDRESS(savings_min_row, COLUMN()) &amp; ":" &amp; ADDRESS(savings_max_row, COLUMN())))</f>
        <v>0</v>
      </c>
      <c r="HL66" s="18" cm="1">
        <f t="array" aca="1" ref="HL66" ca="1">SUM(INDIRECT(ADDRESS(savings_min_row, COLUMN()) &amp; ":" &amp; ADDRESS(savings_max_row, COLUMN())))</f>
        <v>0</v>
      </c>
      <c r="HM66" s="18" cm="1">
        <f t="array" aca="1" ref="HM66" ca="1">SUM(INDIRECT(ADDRESS(savings_min_row, COLUMN()) &amp; ":" &amp; ADDRESS(savings_max_row, COLUMN())))</f>
        <v>0</v>
      </c>
      <c r="HN66" s="18" cm="1">
        <f t="array" aca="1" ref="HN66" ca="1">SUM(INDIRECT(ADDRESS(savings_min_row, COLUMN()) &amp; ":" &amp; ADDRESS(savings_max_row, COLUMN())))</f>
        <v>0</v>
      </c>
      <c r="HO66" s="18" cm="1">
        <f t="array" aca="1" ref="HO66" ca="1">SUM(INDIRECT(ADDRESS(savings_min_row, COLUMN()) &amp; ":" &amp; ADDRESS(savings_max_row, COLUMN())))</f>
        <v>0</v>
      </c>
      <c r="HP66" s="18" cm="1">
        <f t="array" aca="1" ref="HP66" ca="1">SUM(INDIRECT(ADDRESS(savings_min_row, COLUMN()) &amp; ":" &amp; ADDRESS(savings_max_row, COLUMN())))</f>
        <v>0</v>
      </c>
      <c r="HQ66" s="18" cm="1">
        <f t="array" aca="1" ref="HQ66" ca="1">SUM(INDIRECT(ADDRESS(savings_min_row, COLUMN()) &amp; ":" &amp; ADDRESS(savings_max_row, COLUMN())))</f>
        <v>0</v>
      </c>
      <c r="HR66" s="18" cm="1">
        <f t="array" aca="1" ref="HR66" ca="1">SUM(INDIRECT(ADDRESS(savings_min_row, COLUMN()) &amp; ":" &amp; ADDRESS(savings_max_row, COLUMN())))</f>
        <v>0</v>
      </c>
      <c r="HS66" s="18" cm="1">
        <f t="array" aca="1" ref="HS66" ca="1">SUM(INDIRECT(ADDRESS(savings_min_row, COLUMN()) &amp; ":" &amp; ADDRESS(savings_max_row, COLUMN())))</f>
        <v>0</v>
      </c>
      <c r="HU66" s="18" cm="1">
        <f t="array" aca="1" ref="HU66" ca="1">SUM(INDIRECT(ADDRESS(savings_min_row, COLUMN()) &amp; ":" &amp; ADDRESS(savings_max_row, COLUMN())))</f>
        <v>0</v>
      </c>
      <c r="HV66" s="18" cm="1">
        <f t="array" aca="1" ref="HV66" ca="1">SUM(INDIRECT(ADDRESS(savings_min_row, COLUMN()) &amp; ":" &amp; ADDRESS(savings_max_row, COLUMN())))</f>
        <v>0</v>
      </c>
      <c r="HW66" s="18" cm="1">
        <f t="array" aca="1" ref="HW66" ca="1">SUM(INDIRECT(ADDRESS(savings_min_row, COLUMN()) &amp; ":" &amp; ADDRESS(savings_max_row, COLUMN())))</f>
        <v>0</v>
      </c>
      <c r="HX66" s="18" cm="1">
        <f t="array" aca="1" ref="HX66" ca="1">SUM(INDIRECT(ADDRESS(savings_min_row, COLUMN()) &amp; ":" &amp; ADDRESS(savings_max_row, COLUMN())))</f>
        <v>0</v>
      </c>
      <c r="HY66" s="18" cm="1">
        <f t="array" aca="1" ref="HY66" ca="1">SUM(INDIRECT(ADDRESS(savings_min_row, COLUMN()) &amp; ":" &amp; ADDRESS(savings_max_row, COLUMN())))</f>
        <v>0</v>
      </c>
      <c r="HZ66" s="18" cm="1">
        <f t="array" aca="1" ref="HZ66" ca="1">SUM(INDIRECT(ADDRESS(savings_min_row, COLUMN()) &amp; ":" &amp; ADDRESS(savings_max_row, COLUMN())))</f>
        <v>0</v>
      </c>
      <c r="IA66" s="18" cm="1">
        <f t="array" aca="1" ref="IA66" ca="1">SUM(INDIRECT(ADDRESS(savings_min_row, COLUMN()) &amp; ":" &amp; ADDRESS(savings_max_row, COLUMN())))</f>
        <v>0</v>
      </c>
      <c r="IB66" s="18" cm="1">
        <f t="array" aca="1" ref="IB66" ca="1">SUM(INDIRECT(ADDRESS(savings_min_row, COLUMN()) &amp; ":" &amp; ADDRESS(savings_max_row, COLUMN())))</f>
        <v>0</v>
      </c>
      <c r="IC66" s="18" cm="1">
        <f t="array" aca="1" ref="IC66" ca="1">SUM(INDIRECT(ADDRESS(savings_min_row, COLUMN()) &amp; ":" &amp; ADDRESS(savings_max_row, COLUMN())))</f>
        <v>0</v>
      </c>
      <c r="ID66" s="18" cm="1">
        <f t="array" aca="1" ref="ID66" ca="1">SUM(INDIRECT(ADDRESS(savings_min_row, COLUMN()) &amp; ":" &amp; ADDRESS(savings_max_row, COLUMN())))</f>
        <v>0</v>
      </c>
      <c r="IE66" s="18" cm="1">
        <f t="array" aca="1" ref="IE66" ca="1">SUM(INDIRECT(ADDRESS(savings_min_row, COLUMN()) &amp; ":" &amp; ADDRESS(savings_max_row, COLUMN())))</f>
        <v>0</v>
      </c>
      <c r="IF66" s="18" cm="1">
        <f t="array" aca="1" ref="IF66" ca="1">SUM(INDIRECT(ADDRESS(savings_min_row, COLUMN()) &amp; ":" &amp; ADDRESS(savings_max_row, COLUMN())))</f>
        <v>0</v>
      </c>
      <c r="IG66" s="18" cm="1">
        <f t="array" aca="1" ref="IG66" ca="1">SUM(INDIRECT(ADDRESS(savings_min_row, COLUMN()) &amp; ":" &amp; ADDRESS(savings_max_row, COLUMN())))</f>
        <v>0</v>
      </c>
    </row>
  </sheetData>
  <mergeCells count="18">
    <mergeCell ref="HU6:IG6"/>
    <mergeCell ref="BW6:CI6"/>
    <mergeCell ref="CK6:CW6"/>
    <mergeCell ref="CY6:DK6"/>
    <mergeCell ref="DM6:DY6"/>
    <mergeCell ref="EA6:EM6"/>
    <mergeCell ref="EO6:FA6"/>
    <mergeCell ref="FC6:FO6"/>
    <mergeCell ref="FQ6:GC6"/>
    <mergeCell ref="GE6:GQ6"/>
    <mergeCell ref="GS6:HE6"/>
    <mergeCell ref="HG6:HS6"/>
    <mergeCell ref="BI6:BU6"/>
    <mergeCell ref="C2:F2"/>
    <mergeCell ref="E6:Q6"/>
    <mergeCell ref="S6:AE6"/>
    <mergeCell ref="AG6:AS6"/>
    <mergeCell ref="AU6:BG6"/>
  </mergeCells>
  <conditionalFormatting sqref="C13:C23 E13:Q23 AG13:AS23 AU13:BG23 BI13:BU23 BW13:CI23 CK13:CW23 CY13:DK23 DM13:DY23 EA13:EM23 EO13:FA23 FC13:FO23 FQ13:GC23 GE13:GQ23 GS13:HE23 HG13:HS23 HU13:IG23 S13:AE23">
    <cfRule type="expression" dxfId="35" priority="11">
      <formula>ROW(C13)&lt;=income_max_row</formula>
    </cfRule>
  </conditionalFormatting>
  <conditionalFormatting sqref="C27:C51 E27:Q51 AG27:AS51 AU27:BG51 BI27:BU51 BW27:CI51 CK27:CW51 CY27:DK51 DM27:DY51 EA27:EM51 EO27:FA51 FC27:FO51 FQ27:GC51 GE27:GQ51 GS27:HE51 HG27:HS51 HU27:IG51 S27:AE51">
    <cfRule type="expression" dxfId="34" priority="10" stopIfTrue="1">
      <formula>ROW(C27)&lt;=expenses_max_row</formula>
    </cfRule>
  </conditionalFormatting>
  <conditionalFormatting sqref="E55:Q65 S55:AE65 AG55:AS65 AU55:BG65 BI55:BU65 BW55:CI65 CK55:CW65 CY55:DK65 DM55:DY65 EA55:EM65 EO55:FA65 FC55:FO65 FQ55:GC65 GE55:GQ65 GS55:HE65 HG55:HS65 HU55:IG65 C55:C65">
    <cfRule type="expression" dxfId="33" priority="9">
      <formula>ROW(C55)&lt;=savings_max_row</formula>
    </cfRule>
  </conditionalFormatting>
  <conditionalFormatting sqref="S7:AE10 AG7:AS10 AU7:BG10 BI7:BU10 BW7:CI10 CK7:CW10 CY7:DK10 DM7:DY10 EA7:EM10 EO7:FA10 FC7:FO10 FQ7:GC10 GE7:GQ10 GS7:HE10 HG7:HS10 HU7:IG10 E7:Q10">
    <cfRule type="expression" dxfId="32" priority="68" stopIfTrue="1">
      <formula>AND(E$24=0, E$52=0, E$66=0)</formula>
    </cfRule>
    <cfRule type="expression" dxfId="31" priority="69">
      <formula>E$8=0</formula>
    </cfRule>
    <cfRule type="expression" dxfId="30" priority="70">
      <formula>E$8&lt;0</formula>
    </cfRule>
  </conditionalFormatting>
  <conditionalFormatting sqref="L9:Q9">
    <cfRule type="iconSet" priority="5">
      <iconSet iconSet="3Arrows">
        <cfvo type="percent" val="0"/>
        <cfvo type="percent" val="0"/>
        <cfvo type="percent" val="0"/>
      </iconSet>
    </cfRule>
  </conditionalFormatting>
  <pageMargins left="0.7" right="0.7" top="0.75" bottom="0.75" header="0.3" footer="0.3"/>
  <ignoredErrors>
    <ignoredError sqref="Q32" formula="1"/>
  </ignoredErrors>
  <legacy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05E1F-7DED-C64F-94A7-8CD2ADAEC1C1}">
  <sheetPr>
    <tabColor theme="8"/>
  </sheetPr>
  <dimension ref="B1:AR50"/>
  <sheetViews>
    <sheetView showGridLines="0" topLeftCell="A6" zoomScaleNormal="100" workbookViewId="0">
      <selection activeCell="AA39" sqref="AA39"/>
    </sheetView>
  </sheetViews>
  <sheetFormatPr baseColWidth="10" defaultRowHeight="16" x14ac:dyDescent="0.2"/>
  <cols>
    <col min="2" max="2" width="5" hidden="1" customWidth="1"/>
    <col min="3" max="9" width="10.83203125" hidden="1" customWidth="1"/>
    <col min="10" max="10" width="22.83203125" hidden="1" customWidth="1"/>
    <col min="11" max="12" width="10.83203125" hidden="1" customWidth="1"/>
    <col min="13" max="13" width="9.6640625" hidden="1" customWidth="1"/>
    <col min="14" max="14" width="10.83203125" hidden="1" customWidth="1"/>
    <col min="15" max="15" width="11.6640625" hidden="1" customWidth="1"/>
    <col min="16" max="16" width="10.83203125" hidden="1" customWidth="1"/>
    <col min="17" max="17" width="11.33203125" hidden="1" customWidth="1"/>
    <col min="18" max="19" width="10.83203125" hidden="1" customWidth="1"/>
    <col min="20" max="21" width="12" hidden="1" customWidth="1"/>
    <col min="22" max="22" width="19" hidden="1" customWidth="1"/>
    <col min="23" max="23" width="13" hidden="1" customWidth="1"/>
    <col min="24" max="24" width="19.5" hidden="1" customWidth="1"/>
    <col min="25" max="25" width="28" customWidth="1"/>
    <col min="26" max="27" width="12.33203125" customWidth="1"/>
    <col min="28" max="28" width="8.1640625" customWidth="1"/>
    <col min="29" max="30" width="12.33203125" customWidth="1"/>
    <col min="31" max="31" width="5.1640625" customWidth="1"/>
    <col min="32" max="33" width="16.5" customWidth="1"/>
    <col min="34" max="34" width="2" customWidth="1"/>
    <col min="35" max="35" width="19" customWidth="1"/>
    <col min="36" max="36" width="7.83203125" customWidth="1"/>
    <col min="37" max="37" width="6.6640625" customWidth="1"/>
    <col min="38" max="38" width="4" customWidth="1"/>
    <col min="39" max="40" width="16.5" customWidth="1"/>
    <col min="41" max="41" width="2" customWidth="1"/>
    <col min="42" max="42" width="19" customWidth="1"/>
    <col min="43" max="43" width="7.83203125" customWidth="1"/>
    <col min="44" max="44" width="6.6640625" customWidth="1"/>
  </cols>
  <sheetData>
    <row r="1" spans="3:44" s="1" customFormat="1" x14ac:dyDescent="0.2"/>
    <row r="2" spans="3:44" s="1" customFormat="1" ht="38" customHeight="1" x14ac:dyDescent="0.2">
      <c r="C2" s="123" t="s">
        <v>0</v>
      </c>
      <c r="D2" s="123"/>
      <c r="E2" s="123"/>
      <c r="F2" s="123"/>
      <c r="Y2" s="123" t="s">
        <v>0</v>
      </c>
      <c r="Z2" s="123"/>
      <c r="AA2" s="123"/>
      <c r="AB2" s="123"/>
      <c r="AC2" s="123"/>
      <c r="AD2" s="123"/>
      <c r="AE2" s="123"/>
      <c r="AF2" s="123"/>
      <c r="AG2" s="123"/>
      <c r="AH2" s="123"/>
      <c r="AI2" s="123"/>
      <c r="AJ2" s="123"/>
      <c r="AK2" s="123"/>
      <c r="AL2" s="123"/>
      <c r="AM2" s="123"/>
    </row>
    <row r="3" spans="3:44" s="1" customFormat="1" x14ac:dyDescent="0.2"/>
    <row r="5" spans="3:44" x14ac:dyDescent="0.2">
      <c r="AQ5" s="126" t="s">
        <v>47</v>
      </c>
      <c r="AR5" s="127"/>
    </row>
    <row r="6" spans="3:44" x14ac:dyDescent="0.2">
      <c r="AN6" s="129" t="s">
        <v>48</v>
      </c>
      <c r="AO6" s="129"/>
      <c r="AP6" s="129"/>
      <c r="AQ6" s="128">
        <v>2025</v>
      </c>
      <c r="AR6" s="128"/>
    </row>
    <row r="7" spans="3:44" x14ac:dyDescent="0.2">
      <c r="AN7" s="49"/>
      <c r="AO7" s="49"/>
      <c r="AP7" s="49"/>
      <c r="AQ7" s="50"/>
      <c r="AR7" s="50"/>
    </row>
    <row r="8" spans="3:44" x14ac:dyDescent="0.2">
      <c r="AQ8" s="126" t="s">
        <v>49</v>
      </c>
      <c r="AR8" s="127"/>
    </row>
    <row r="9" spans="3:44" x14ac:dyDescent="0.2">
      <c r="AN9" s="129" t="s">
        <v>50</v>
      </c>
      <c r="AO9" s="129"/>
      <c r="AP9" s="129"/>
      <c r="AQ9" s="130" t="s">
        <v>54</v>
      </c>
      <c r="AR9" s="130"/>
    </row>
    <row r="11" spans="3:44" x14ac:dyDescent="0.2">
      <c r="C11" s="1"/>
      <c r="D11" s="1"/>
      <c r="E11" s="1"/>
      <c r="F11" s="1"/>
      <c r="G11" s="1"/>
      <c r="H11" s="1"/>
      <c r="I11" s="1"/>
      <c r="J11" s="1"/>
      <c r="K11" s="1"/>
      <c r="L11" s="1"/>
      <c r="M11" s="1"/>
      <c r="N11" s="1"/>
      <c r="O11" s="1"/>
      <c r="P11" s="1"/>
      <c r="Q11" s="1"/>
      <c r="R11" s="1"/>
      <c r="S11" s="1"/>
      <c r="T11" s="1"/>
      <c r="U11" s="1"/>
      <c r="V11" s="1"/>
      <c r="W11" s="1"/>
      <c r="X11" s="1"/>
      <c r="Y11" s="124" t="str">
        <f>"Breakdown - " &amp; IF(selected_period="Total Year", selected_year &amp; " (Total Year)", selected_period_display &amp; " " &amp; selected_year)</f>
        <v>Breakdown - 2025 (Total Year)</v>
      </c>
      <c r="Z11" s="124"/>
      <c r="AA11" s="124"/>
      <c r="AB11" s="124"/>
      <c r="AC11" s="124"/>
      <c r="AD11" s="124"/>
      <c r="AF11" s="124" t="str">
        <f>"Summary - " &amp; IF(selected_period="Total Year", selected_year &amp; "(Total Year)", selected_period_display &amp; " " &amp; selected_year)</f>
        <v>Summary - 2025(Total Year)</v>
      </c>
      <c r="AG11" s="124"/>
      <c r="AH11" s="124"/>
      <c r="AI11" s="124"/>
      <c r="AJ11" s="124"/>
      <c r="AK11" s="124"/>
      <c r="AL11" s="124"/>
      <c r="AM11" s="124"/>
      <c r="AN11" s="124"/>
      <c r="AO11" s="124"/>
      <c r="AP11" s="124"/>
      <c r="AQ11" s="124"/>
      <c r="AR11" s="124"/>
    </row>
    <row r="12" spans="3:44" x14ac:dyDescent="0.2">
      <c r="C12" s="70" t="s">
        <v>60</v>
      </c>
      <c r="D12" s="71" t="s">
        <v>61</v>
      </c>
      <c r="E12" s="70" t="s">
        <v>62</v>
      </c>
      <c r="F12" s="72" t="s">
        <v>63</v>
      </c>
      <c r="G12" s="72" t="s">
        <v>69</v>
      </c>
      <c r="H12" s="71" t="s">
        <v>64</v>
      </c>
      <c r="I12" s="70" t="s">
        <v>65</v>
      </c>
      <c r="J12" s="72" t="s">
        <v>66</v>
      </c>
      <c r="K12" s="72" t="s">
        <v>67</v>
      </c>
      <c r="L12" s="71" t="s">
        <v>68</v>
      </c>
      <c r="M12" s="70" t="s">
        <v>72</v>
      </c>
      <c r="N12" s="71" t="s">
        <v>73</v>
      </c>
      <c r="O12" s="70" t="s">
        <v>74</v>
      </c>
      <c r="P12" s="72" t="s">
        <v>75</v>
      </c>
      <c r="Q12" s="72" t="s">
        <v>76</v>
      </c>
      <c r="R12" s="71" t="s">
        <v>77</v>
      </c>
      <c r="S12" s="61" t="s">
        <v>78</v>
      </c>
      <c r="T12" s="62" t="s">
        <v>79</v>
      </c>
      <c r="U12" s="62" t="s">
        <v>80</v>
      </c>
      <c r="V12" s="62" t="s">
        <v>81</v>
      </c>
      <c r="W12" s="71" t="s">
        <v>82</v>
      </c>
      <c r="X12" s="73" t="s">
        <v>83</v>
      </c>
      <c r="Y12" t="s">
        <v>9</v>
      </c>
    </row>
    <row r="13" spans="3:44" x14ac:dyDescent="0.2">
      <c r="C13" s="28" cm="1">
        <f t="array" ref="C13">income_header_row</f>
        <v>12</v>
      </c>
      <c r="D13" s="29">
        <f t="shared" ref="D13:D50" si="0">IF(is_header, row_id,
     IF(NOT(is_empty), D12, -1))</f>
        <v>12</v>
      </c>
      <c r="E13" s="28" cm="1">
        <f t="array" ref="E13">1*OR(row_id=income_header_row, row_id=expenses_header_row, row_id=savings_header_row)</f>
        <v>1</v>
      </c>
      <c r="F13">
        <f t="shared" ref="F13:F50" si="1">1*NOT(OR(is_header, is_total, is_empty))</f>
        <v>0</v>
      </c>
      <c r="G13" cm="1">
        <f t="array" ref="G13">1*OR(row_id=income_total_row, row_id=expenses_total_row, row_id=savings_total_row)</f>
        <v>0</v>
      </c>
      <c r="H13" s="29">
        <f t="shared" ref="H13:H50" si="2">1*OR(row_id="/1", row_id="/2", row_id=-1)</f>
        <v>0</v>
      </c>
      <c r="I13" s="28" t="str" cm="1">
        <f t="array" ref="I13">IFERROR(INDEX('Budget Planning'!$C:$C,header_row_id)," ")</f>
        <v>Income</v>
      </c>
      <c r="J13" t="str" cm="1">
        <f t="array" ref="J13">IFERROR(INDEX('Budget Planning'!$C:$C, row_id), " ")</f>
        <v>Income</v>
      </c>
      <c r="K13" s="68" t="str" cm="1">
        <f t="array" ref="K13">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
      </c>
      <c r="L13" s="69" t="str" cm="1">
        <f t="array" ref="L13">IF(OR(is_header, is_empty), "",
       INDEX('Budget Planning'!$E:$IG, row_id,
                  MATCH(IF(selected_period="Total Year", selected_year, DATE(selected_year, selected_period, 1)), 'Budget Planning'!$E$12:$IG$12, 0)))</f>
        <v/>
      </c>
      <c r="M13" s="28" t="str" cm="1">
        <f t="array" ref="M13">IF(is_cat,
        IF(header_row_id=income_header_row, MATCH(income_min_row, $C:$C,0),
            IF(header_row_id=expenses_header_row, MATCH(expenses_min_row, $C:$C,0),
                IF(header_row_id=savings_header_row, MATCH(savings_min_row, $C:$C,0), ""))), "")</f>
        <v/>
      </c>
      <c r="N13" s="29" t="str" cm="1">
        <f t="array" ref="N13">IF(is_cat,
        IF(header_row_id=income_header_row, MATCH(income_max_row, $C:$C,0),
            IF(header_row_id=expenses_header_row, MATCH(expenses_max_row, $C:$C,0),
                IF(header_row_id=savings_header_row, MATCH(savings_max_row, $C:$C,0), ""))), "")</f>
        <v/>
      </c>
      <c r="O13" s="28" t="str">
        <f t="shared" ref="O13:O50" si="3">IF(is_cat, ADDRESS(sort_min_row, COLUMN(tracked)) &amp; ":" &amp;  ADDRESS(sort_max_row, COLUMN(tracked)), "")</f>
        <v/>
      </c>
      <c r="P13" t="str">
        <f t="shared" ref="P13:P50" ca="1" si="4">IF(is_cat, RANK(tracked, INDIRECT(tracked_range), 0), "")</f>
        <v/>
      </c>
      <c r="Q13" t="str">
        <f t="shared" ref="Q13:Q50" si="5">IF(is_cat, ADDRESS(sort_min_row, COLUMN(budget)) &amp; ":" &amp;  ADDRESS(sort_max_row, COLUMN(budget)), "")</f>
        <v/>
      </c>
      <c r="R13" s="29" t="str">
        <f t="shared" ref="R13:R50" ca="1" si="6">IF(is_cat, RANK(budget, INDIRECT(budget_range), 0), "")</f>
        <v/>
      </c>
      <c r="S13" s="28" t="str">
        <f t="shared" ref="S13:S50" si="7">IF(is_cat, _xlfn.NUMBERVALUE(tracked_rank &amp; budget_rank), "")</f>
        <v/>
      </c>
      <c r="T13" t="str">
        <f t="shared" ref="T13:T50" si="8">IF(is_cat, ADDRESS(sort_min_row, COLUMN(comb_rank)) &amp; ":" &amp;  ADDRESS(sort_max_row, COLUMN(comb_rank)), "")</f>
        <v/>
      </c>
      <c r="U13" t="str">
        <f t="shared" ref="U13:U50" ca="1" si="9">IF(is_cat, RANK(comb_rank, INDIRECT(comb_rank_range), 1), "")</f>
        <v/>
      </c>
      <c r="V13" t="str">
        <f t="shared" ref="V13:V50" si="10">IF(is_cat, ADDRESS(sort_min_row, COLUMN(comb_rank_norm)) &amp; ":" &amp;  ADDRESS(ROW(), COLUMN(comb_rank_norm)), "")</f>
        <v/>
      </c>
      <c r="W13" s="29" t="str">
        <f t="shared" ref="W13:W50" ca="1" si="11">IF(is_cat, comb_rank_norm +COUNTIF(INDIRECT(comb_rank_norm_run_range), comb_rank_norm)-1, "")</f>
        <v/>
      </c>
      <c r="X13" s="74">
        <f t="shared" ref="X13:X50" si="12">IF(is_cat, header_row_id + comb_rank_unique, row_id)</f>
        <v>12</v>
      </c>
      <c r="Y13" s="51" t="str">
        <f t="shared" ref="Y13:Y50" si="13">IF(is_empty, "", INDEX($J:$J, MATCH(row_id, $X:$X, 0)))</f>
        <v>Income</v>
      </c>
      <c r="Z13" s="78" t="str">
        <f t="shared" ref="Z13:Z50" si="14">IF(is_empty, "", IF(is_header, "Tracked", INDEX($K:$K, MATCH(row_id, $X:$X,0))))</f>
        <v>Tracked</v>
      </c>
      <c r="AA13" s="78" t="str">
        <f t="shared" ref="AA13:AA50" si="15">IF(is_empty, "", IF(is_header, "Budget", INDEX($L:$L, MATCH(row_id, $X:$X,0))))</f>
        <v>Budget</v>
      </c>
      <c r="AB13" s="76" t="str">
        <f t="shared" ref="AB13:AB50" si="16">IF(is_empty, "", IF(is_header, "% Compl.", IFERROR(out_tracked / out_budget, "-")))</f>
        <v>% Compl.</v>
      </c>
      <c r="AC13" s="78" t="str">
        <f t="shared" ref="AC13:AC50" si="17">IF(is_empty, "", IF(is_header, "Remaining", IF(out_budget - out_tracked &gt; 0, out_budget - out_tracked, 0)))</f>
        <v>Remaining</v>
      </c>
      <c r="AD13" s="78" t="str">
        <f t="shared" ref="AD13:AD50" si="18">IF(is_empty, "", IF(is_header, "Excess", IF(out_budget - out_tracked &lt; 0, out_tracked - out_budget, 0)))</f>
        <v>Excess</v>
      </c>
      <c r="AE13" s="48"/>
      <c r="AF13" s="80"/>
      <c r="AG13" s="81"/>
      <c r="AH13" s="81"/>
      <c r="AI13" s="81"/>
      <c r="AJ13" s="81"/>
      <c r="AK13" s="82"/>
      <c r="AM13" s="80"/>
      <c r="AN13" s="81"/>
      <c r="AO13" s="81"/>
      <c r="AP13" s="81"/>
      <c r="AQ13" s="81"/>
      <c r="AR13" s="82"/>
    </row>
    <row r="14" spans="3:44" x14ac:dyDescent="0.2">
      <c r="C14" s="28" cm="1">
        <f t="array" ref="C14">IF(C13=-1, -1,
   IF(C13&lt;income_max_row, C13+1,
      IF(C13=income_max_row, income_total_row,
          IF(C13=income_total_row, "/1",
              IF(C13="/1", expenses_header_row,
                 IF(C13&lt;expenses_max_row, C13+1,
                   IF(C13=expenses_max_row, expenses_total_row,
                      IF(C13=expenses_total_row, "/2",
                         IF(C13="/2", savings_header_row,
                             IF(C13&lt;savings_max_row, C13+1,
                                 IF(C13=savings_max_row, savings_total_row, -1)))))))))))</f>
        <v>13</v>
      </c>
      <c r="D14" s="29">
        <f t="shared" si="0"/>
        <v>12</v>
      </c>
      <c r="E14" s="28" cm="1">
        <f t="array" ref="E14">1*OR(row_id=income_header_row, row_id=expenses_header_row, row_id=savings_header_row)</f>
        <v>0</v>
      </c>
      <c r="F14">
        <f t="shared" si="1"/>
        <v>1</v>
      </c>
      <c r="G14" cm="1">
        <f t="array" ref="G14">1*OR(row_id=income_total_row, row_id=expenses_total_row, row_id=savings_total_row)</f>
        <v>0</v>
      </c>
      <c r="H14" s="29">
        <f t="shared" si="2"/>
        <v>0</v>
      </c>
      <c r="I14" s="28" t="str" cm="1">
        <f t="array" ref="I14">IFERROR(INDEX('Budget Planning'!$C:$C,header_row_id)," ")</f>
        <v>Income</v>
      </c>
      <c r="J14" t="str" cm="1">
        <f t="array" ref="J14">IFERROR(INDEX('Budget Planning'!$C:$C, row_id), " ")</f>
        <v>Employment</v>
      </c>
      <c r="K14" s="68" cm="1">
        <f t="array" ref="K14">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36745.9</v>
      </c>
      <c r="L14" s="69" cm="1">
        <f t="array" ref="L14">IF(OR(is_header, is_empty), "",
       INDEX('Budget Planning'!$E:$IG, row_id,
                  MATCH(IF(selected_period="Total Year", selected_year, DATE(selected_year, selected_period, 1)), 'Budget Planning'!$E$12:$IG$12, 0)))</f>
        <v>36406.5</v>
      </c>
      <c r="M14" s="28" cm="1">
        <f t="array" ref="M14">IF(is_cat,
        IF(header_row_id=income_header_row, MATCH(income_min_row, $C:$C,0),
            IF(header_row_id=expenses_header_row, MATCH(expenses_min_row, $C:$C,0),
                IF(header_row_id=savings_header_row, MATCH(savings_min_row, $C:$C,0), ""))), "")</f>
        <v>14</v>
      </c>
      <c r="N14" s="29" cm="1">
        <f t="array" ref="N14">IF(is_cat,
        IF(header_row_id=income_header_row, MATCH(income_max_row, $C:$C,0),
            IF(header_row_id=expenses_header_row, MATCH(expenses_max_row, $C:$C,0),
                IF(header_row_id=savings_header_row, MATCH(savings_max_row, $C:$C,0), ""))), "")</f>
        <v>17</v>
      </c>
      <c r="O14" s="28" t="str">
        <f t="shared" si="3"/>
        <v>$K$14:$K$17</v>
      </c>
      <c r="P14">
        <f t="shared" ca="1" si="4"/>
        <v>1</v>
      </c>
      <c r="Q14" t="str">
        <f t="shared" si="5"/>
        <v>$L$14:$L$17</v>
      </c>
      <c r="R14" s="29">
        <f t="shared" ca="1" si="6"/>
        <v>1</v>
      </c>
      <c r="S14" s="28">
        <f t="shared" ca="1" si="7"/>
        <v>11</v>
      </c>
      <c r="T14" t="str">
        <f t="shared" si="8"/>
        <v>$S$14:$S$17</v>
      </c>
      <c r="U14">
        <f t="shared" ca="1" si="9"/>
        <v>1</v>
      </c>
      <c r="V14" t="str">
        <f t="shared" si="10"/>
        <v>$U$14:$U$14</v>
      </c>
      <c r="W14" s="29">
        <f t="shared" ca="1" si="11"/>
        <v>1</v>
      </c>
      <c r="X14" s="74">
        <f t="shared" ca="1" si="12"/>
        <v>13</v>
      </c>
      <c r="Y14" s="51" t="str">
        <f t="shared" ca="1" si="13"/>
        <v>Employment</v>
      </c>
      <c r="Z14" s="78">
        <f t="shared" ca="1" si="14"/>
        <v>36745.9</v>
      </c>
      <c r="AA14" s="78">
        <f t="shared" ca="1" si="15"/>
        <v>36406.5</v>
      </c>
      <c r="AB14" s="76">
        <f t="shared" ca="1" si="16"/>
        <v>1.0093225110900526</v>
      </c>
      <c r="AC14" s="78">
        <f t="shared" ca="1" si="17"/>
        <v>0</v>
      </c>
      <c r="AD14" s="78">
        <f t="shared" ca="1" si="18"/>
        <v>339.40000000000146</v>
      </c>
      <c r="AE14" s="48"/>
      <c r="AF14" s="28"/>
      <c r="AK14" s="29"/>
      <c r="AM14" s="28"/>
      <c r="AR14" s="29"/>
    </row>
    <row r="15" spans="3:44" x14ac:dyDescent="0.2">
      <c r="C15" s="28" cm="1">
        <f t="array" ref="C15">IF(C14=-1, -1,
   IF(C14&lt;income_max_row, C14+1,
      IF(C14=income_max_row, income_total_row,
          IF(C14=income_total_row, "/1",
              IF(C14="/1", expenses_header_row,
                 IF(C14&lt;expenses_max_row, C14+1,
                   IF(C14=expenses_max_row, expenses_total_row,
                      IF(C14=expenses_total_row, "/2",
                         IF(C14="/2", savings_header_row,
                             IF(C14&lt;savings_max_row, C14+1,
                                 IF(C14=savings_max_row, savings_total_row, -1)))))))))))</f>
        <v>14</v>
      </c>
      <c r="D15" s="29">
        <f t="shared" si="0"/>
        <v>12</v>
      </c>
      <c r="E15" s="28" cm="1">
        <f t="array" ref="E15">1*OR(row_id=income_header_row, row_id=expenses_header_row, row_id=savings_header_row)</f>
        <v>0</v>
      </c>
      <c r="F15">
        <f t="shared" si="1"/>
        <v>1</v>
      </c>
      <c r="G15" cm="1">
        <f t="array" ref="G15">1*OR(row_id=income_total_row, row_id=expenses_total_row, row_id=savings_total_row)</f>
        <v>0</v>
      </c>
      <c r="H15" s="29">
        <f t="shared" si="2"/>
        <v>0</v>
      </c>
      <c r="I15" s="28" t="str" cm="1">
        <f t="array" ref="I15">IFERROR(INDEX('Budget Planning'!$C:$C,header_row_id)," ")</f>
        <v>Income</v>
      </c>
      <c r="J15" t="str" cm="1">
        <f t="array" ref="J15">IFERROR(INDEX('Budget Planning'!$C:$C, row_id), " ")</f>
        <v>Grant Payment</v>
      </c>
      <c r="K15" s="68" cm="1">
        <f t="array" ref="K15">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4000</v>
      </c>
      <c r="L15" s="69" cm="1">
        <f t="array" ref="L15">IF(OR(is_header, is_empty), "",
       INDEX('Budget Planning'!$E:$IG, row_id,
                  MATCH(IF(selected_period="Total Year", selected_year, DATE(selected_year, selected_period, 1)), 'Budget Planning'!$E$12:$IG$12, 0)))</f>
        <v>4000</v>
      </c>
      <c r="M15" s="28" cm="1">
        <f t="array" ref="M15">IF(is_cat,
        IF(header_row_id=income_header_row, MATCH(income_min_row, $C:$C,0),
            IF(header_row_id=expenses_header_row, MATCH(expenses_min_row, $C:$C,0),
                IF(header_row_id=savings_header_row, MATCH(savings_min_row, $C:$C,0), ""))), "")</f>
        <v>14</v>
      </c>
      <c r="N15" s="29" cm="1">
        <f t="array" ref="N15">IF(is_cat,
        IF(header_row_id=income_header_row, MATCH(income_max_row, $C:$C,0),
            IF(header_row_id=expenses_header_row, MATCH(expenses_max_row, $C:$C,0),
                IF(header_row_id=savings_header_row, MATCH(savings_max_row, $C:$C,0), ""))), "")</f>
        <v>17</v>
      </c>
      <c r="O15" s="28" t="str">
        <f t="shared" si="3"/>
        <v>$K$14:$K$17</v>
      </c>
      <c r="P15">
        <f t="shared" ca="1" si="4"/>
        <v>3</v>
      </c>
      <c r="Q15" t="str">
        <f t="shared" si="5"/>
        <v>$L$14:$L$17</v>
      </c>
      <c r="R15" s="29">
        <f t="shared" ca="1" si="6"/>
        <v>3</v>
      </c>
      <c r="S15" s="28">
        <f t="shared" ca="1" si="7"/>
        <v>33</v>
      </c>
      <c r="T15" t="str">
        <f t="shared" si="8"/>
        <v>$S$14:$S$17</v>
      </c>
      <c r="U15">
        <f t="shared" ca="1" si="9"/>
        <v>3</v>
      </c>
      <c r="V15" t="str">
        <f t="shared" si="10"/>
        <v>$U$14:$U$15</v>
      </c>
      <c r="W15" s="29">
        <f t="shared" ca="1" si="11"/>
        <v>3</v>
      </c>
      <c r="X15" s="74">
        <f t="shared" ca="1" si="12"/>
        <v>15</v>
      </c>
      <c r="Y15" s="51" t="str">
        <f t="shared" ca="1" si="13"/>
        <v>Side Hustle</v>
      </c>
      <c r="Z15" s="78">
        <f t="shared" ca="1" si="14"/>
        <v>6013.2</v>
      </c>
      <c r="AA15" s="78">
        <f t="shared" ca="1" si="15"/>
        <v>6013.2000000000007</v>
      </c>
      <c r="AB15" s="76">
        <f t="shared" ca="1" si="16"/>
        <v>0.99999999999999989</v>
      </c>
      <c r="AC15" s="78">
        <f t="shared" ca="1" si="17"/>
        <v>9.0949470177292824E-13</v>
      </c>
      <c r="AD15" s="78">
        <f t="shared" ca="1" si="18"/>
        <v>0</v>
      </c>
      <c r="AE15" s="48"/>
      <c r="AF15" s="28"/>
      <c r="AK15" s="29"/>
      <c r="AM15" s="28"/>
      <c r="AR15" s="29"/>
    </row>
    <row r="16" spans="3:44" x14ac:dyDescent="0.2">
      <c r="C16" s="28" cm="1">
        <f t="array" ref="C16">IF(C15=-1, -1,
   IF(C15&lt;income_max_row, C15+1,
      IF(C15=income_max_row, income_total_row,
          IF(C15=income_total_row, "/1",
              IF(C15="/1", expenses_header_row,
                 IF(C15&lt;expenses_max_row, C15+1,
                   IF(C15=expenses_max_row, expenses_total_row,
                      IF(C15=expenses_total_row, "/2",
                         IF(C15="/2", savings_header_row,
                             IF(C15&lt;savings_max_row, C15+1,
                                 IF(C15=savings_max_row, savings_total_row, -1)))))))))))</f>
        <v>15</v>
      </c>
      <c r="D16" s="29">
        <f t="shared" si="0"/>
        <v>12</v>
      </c>
      <c r="E16" s="28" cm="1">
        <f t="array" ref="E16">1*OR(row_id=income_header_row, row_id=expenses_header_row, row_id=savings_header_row)</f>
        <v>0</v>
      </c>
      <c r="F16">
        <f t="shared" si="1"/>
        <v>1</v>
      </c>
      <c r="G16" cm="1">
        <f t="array" ref="G16">1*OR(row_id=income_total_row, row_id=expenses_total_row, row_id=savings_total_row)</f>
        <v>0</v>
      </c>
      <c r="H16" s="29">
        <f t="shared" si="2"/>
        <v>0</v>
      </c>
      <c r="I16" s="28" t="str" cm="1">
        <f t="array" ref="I16">IFERROR(INDEX('Budget Planning'!$C:$C,header_row_id)," ")</f>
        <v>Income</v>
      </c>
      <c r="J16" t="str" cm="1">
        <f t="array" ref="J16">IFERROR(INDEX('Budget Planning'!$C:$C, row_id), " ")</f>
        <v>Side Hustle</v>
      </c>
      <c r="K16" s="68" cm="1">
        <f t="array" ref="K16">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6013.2</v>
      </c>
      <c r="L16" s="69" cm="1">
        <f t="array" ref="L16">IF(OR(is_header, is_empty), "",
       INDEX('Budget Planning'!$E:$IG, row_id,
                  MATCH(IF(selected_period="Total Year", selected_year, DATE(selected_year, selected_period, 1)), 'Budget Planning'!$E$12:$IG$12, 0)))</f>
        <v>6013.2000000000007</v>
      </c>
      <c r="M16" s="28" cm="1">
        <f t="array" ref="M16">IF(is_cat,
        IF(header_row_id=income_header_row, MATCH(income_min_row, $C:$C,0),
            IF(header_row_id=expenses_header_row, MATCH(expenses_min_row, $C:$C,0),
                IF(header_row_id=savings_header_row, MATCH(savings_min_row, $C:$C,0), ""))), "")</f>
        <v>14</v>
      </c>
      <c r="N16" s="29" cm="1">
        <f t="array" ref="N16">IF(is_cat,
        IF(header_row_id=income_header_row, MATCH(income_max_row, $C:$C,0),
            IF(header_row_id=expenses_header_row, MATCH(expenses_max_row, $C:$C,0),
                IF(header_row_id=savings_header_row, MATCH(savings_max_row, $C:$C,0), ""))), "")</f>
        <v>17</v>
      </c>
      <c r="O16" s="28" t="str">
        <f t="shared" si="3"/>
        <v>$K$14:$K$17</v>
      </c>
      <c r="P16">
        <f t="shared" ca="1" si="4"/>
        <v>2</v>
      </c>
      <c r="Q16" t="str">
        <f t="shared" si="5"/>
        <v>$L$14:$L$17</v>
      </c>
      <c r="R16" s="29">
        <f t="shared" ca="1" si="6"/>
        <v>2</v>
      </c>
      <c r="S16" s="28">
        <f t="shared" ca="1" si="7"/>
        <v>22</v>
      </c>
      <c r="T16" t="str">
        <f t="shared" si="8"/>
        <v>$S$14:$S$17</v>
      </c>
      <c r="U16">
        <f t="shared" ca="1" si="9"/>
        <v>2</v>
      </c>
      <c r="V16" t="str">
        <f t="shared" si="10"/>
        <v>$U$14:$U$16</v>
      </c>
      <c r="W16" s="29">
        <f t="shared" ca="1" si="11"/>
        <v>2</v>
      </c>
      <c r="X16" s="74">
        <f t="shared" ca="1" si="12"/>
        <v>14</v>
      </c>
      <c r="Y16" s="51" t="str">
        <f t="shared" ca="1" si="13"/>
        <v>Grant Payment</v>
      </c>
      <c r="Z16" s="78">
        <f t="shared" ca="1" si="14"/>
        <v>4000</v>
      </c>
      <c r="AA16" s="78">
        <f t="shared" ca="1" si="15"/>
        <v>4000</v>
      </c>
      <c r="AB16" s="76">
        <f t="shared" ca="1" si="16"/>
        <v>1</v>
      </c>
      <c r="AC16" s="78">
        <f t="shared" ca="1" si="17"/>
        <v>0</v>
      </c>
      <c r="AD16" s="78">
        <f t="shared" ca="1" si="18"/>
        <v>0</v>
      </c>
      <c r="AE16" s="48"/>
      <c r="AF16" s="28"/>
      <c r="AH16" t="s">
        <v>9</v>
      </c>
      <c r="AI16" s="91" t="str">
        <f ca="1">Calculations!E35</f>
        <v>Employment</v>
      </c>
      <c r="AJ16" s="92">
        <f ca="1">Calculations!F35</f>
        <v>36745.9</v>
      </c>
      <c r="AK16" s="29"/>
      <c r="AM16" s="28"/>
      <c r="AR16" s="29"/>
    </row>
    <row r="17" spans="3:44" x14ac:dyDescent="0.2">
      <c r="C17" s="28" cm="1">
        <f t="array" ref="C17">IF(C16=-1, -1,
   IF(C16&lt;income_max_row, C16+1,
      IF(C16=income_max_row, income_total_row,
          IF(C16=income_total_row, "/1",
              IF(C16="/1", expenses_header_row,
                 IF(C16&lt;expenses_max_row, C16+1,
                   IF(C16=expenses_max_row, expenses_total_row,
                      IF(C16=expenses_total_row, "/2",
                         IF(C16="/2", savings_header_row,
                             IF(C16&lt;savings_max_row, C16+1,
                                 IF(C16=savings_max_row, savings_total_row, -1)))))))))))</f>
        <v>16</v>
      </c>
      <c r="D17" s="29">
        <f t="shared" si="0"/>
        <v>12</v>
      </c>
      <c r="E17" s="28" cm="1">
        <f t="array" ref="E17">1*OR(row_id=income_header_row, row_id=expenses_header_row, row_id=savings_header_row)</f>
        <v>0</v>
      </c>
      <c r="F17">
        <f t="shared" si="1"/>
        <v>1</v>
      </c>
      <c r="G17" cm="1">
        <f t="array" ref="G17">1*OR(row_id=income_total_row, row_id=expenses_total_row, row_id=savings_total_row)</f>
        <v>0</v>
      </c>
      <c r="H17" s="29">
        <f t="shared" si="2"/>
        <v>0</v>
      </c>
      <c r="I17" s="28" t="str" cm="1">
        <f t="array" ref="I17">IFERROR(INDEX('Budget Planning'!$C:$C,header_row_id)," ")</f>
        <v>Income</v>
      </c>
      <c r="J17" t="str" cm="1">
        <f t="array" ref="J17">IFERROR(INDEX('Budget Planning'!$C:$C, row_id), " ")</f>
        <v>Extras / Twint Chargeback</v>
      </c>
      <c r="K17" s="68" cm="1">
        <f t="array" ref="K17">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1160.25</v>
      </c>
      <c r="L17" s="69" cm="1">
        <f t="array" ref="L17">IF(OR(is_header, is_empty), "",
       INDEX('Budget Planning'!$E:$IG, row_id,
                  MATCH(IF(selected_period="Total Year", selected_year, DATE(selected_year, selected_period, 1)), 'Budget Planning'!$E$12:$IG$12, 0)))</f>
        <v>1160.25</v>
      </c>
      <c r="M17" s="28" cm="1">
        <f t="array" ref="M17">IF(is_cat,
        IF(header_row_id=income_header_row, MATCH(income_min_row, $C:$C,0),
            IF(header_row_id=expenses_header_row, MATCH(expenses_min_row, $C:$C,0),
                IF(header_row_id=savings_header_row, MATCH(savings_min_row, $C:$C,0), ""))), "")</f>
        <v>14</v>
      </c>
      <c r="N17" s="29" cm="1">
        <f t="array" ref="N17">IF(is_cat,
        IF(header_row_id=income_header_row, MATCH(income_max_row, $C:$C,0),
            IF(header_row_id=expenses_header_row, MATCH(expenses_max_row, $C:$C,0),
                IF(header_row_id=savings_header_row, MATCH(savings_max_row, $C:$C,0), ""))), "")</f>
        <v>17</v>
      </c>
      <c r="O17" s="28" t="str">
        <f t="shared" si="3"/>
        <v>$K$14:$K$17</v>
      </c>
      <c r="P17">
        <f t="shared" ca="1" si="4"/>
        <v>4</v>
      </c>
      <c r="Q17" t="str">
        <f t="shared" si="5"/>
        <v>$L$14:$L$17</v>
      </c>
      <c r="R17" s="29">
        <f t="shared" ca="1" si="6"/>
        <v>4</v>
      </c>
      <c r="S17" s="28">
        <f t="shared" ca="1" si="7"/>
        <v>44</v>
      </c>
      <c r="T17" t="str">
        <f t="shared" si="8"/>
        <v>$S$14:$S$17</v>
      </c>
      <c r="U17">
        <f t="shared" ca="1" si="9"/>
        <v>4</v>
      </c>
      <c r="V17" t="str">
        <f t="shared" si="10"/>
        <v>$U$14:$U$17</v>
      </c>
      <c r="W17" s="29">
        <f t="shared" ca="1" si="11"/>
        <v>4</v>
      </c>
      <c r="X17" s="74">
        <f t="shared" ca="1" si="12"/>
        <v>16</v>
      </c>
      <c r="Y17" s="51" t="str">
        <f t="shared" ca="1" si="13"/>
        <v>Extras / Twint Chargeback</v>
      </c>
      <c r="Z17" s="78">
        <f t="shared" ca="1" si="14"/>
        <v>1160.25</v>
      </c>
      <c r="AA17" s="78">
        <f t="shared" ca="1" si="15"/>
        <v>1160.25</v>
      </c>
      <c r="AB17" s="76">
        <f t="shared" ca="1" si="16"/>
        <v>1</v>
      </c>
      <c r="AC17" s="78">
        <f t="shared" ca="1" si="17"/>
        <v>0</v>
      </c>
      <c r="AD17" s="78">
        <f t="shared" ca="1" si="18"/>
        <v>0</v>
      </c>
      <c r="AE17" s="48"/>
      <c r="AF17" s="28"/>
      <c r="AI17" s="91" t="str">
        <f ca="1">Calculations!E36</f>
        <v>Side Hustle</v>
      </c>
      <c r="AJ17" s="92">
        <f ca="1">Calculations!F36</f>
        <v>6013.2</v>
      </c>
      <c r="AK17" s="29"/>
      <c r="AM17" s="28"/>
      <c r="AR17" s="29"/>
    </row>
    <row r="18" spans="3:44" x14ac:dyDescent="0.2">
      <c r="C18" s="28" cm="1">
        <f t="array" ref="C18">IF(C17=-1, -1,
   IF(C17&lt;income_max_row, C17+1,
      IF(C17=income_max_row, income_total_row,
          IF(C17=income_total_row, "/1",
              IF(C17="/1", expenses_header_row,
                 IF(C17&lt;expenses_max_row, C17+1,
                   IF(C17=expenses_max_row, expenses_total_row,
                      IF(C17=expenses_total_row, "/2",
                         IF(C17="/2", savings_header_row,
                             IF(C17&lt;savings_max_row, C17+1,
                                 IF(C17=savings_max_row, savings_total_row, -1)))))))))))</f>
        <v>24</v>
      </c>
      <c r="D18" s="29">
        <f t="shared" si="0"/>
        <v>12</v>
      </c>
      <c r="E18" s="28" cm="1">
        <f t="array" ref="E18">1*OR(row_id=income_header_row, row_id=expenses_header_row, row_id=savings_header_row)</f>
        <v>0</v>
      </c>
      <c r="F18">
        <f t="shared" si="1"/>
        <v>0</v>
      </c>
      <c r="G18" cm="1">
        <f t="array" ref="G18">1*OR(row_id=income_total_row, row_id=expenses_total_row, row_id=savings_total_row)</f>
        <v>1</v>
      </c>
      <c r="H18" s="29">
        <f t="shared" si="2"/>
        <v>0</v>
      </c>
      <c r="I18" s="28" t="str" cm="1">
        <f t="array" ref="I18">IFERROR(INDEX('Budget Planning'!$C:$C,header_row_id)," ")</f>
        <v>Income</v>
      </c>
      <c r="J18" t="str" cm="1">
        <f t="array" ref="J18">IFERROR(INDEX('Budget Planning'!$C:$C, row_id), " ")</f>
        <v>Total</v>
      </c>
      <c r="K18" s="68" cm="1">
        <f t="array" ref="K18">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47919.35</v>
      </c>
      <c r="L18" s="69" cm="1">
        <f t="array" aca="1" ref="L18" ca="1">IF(OR(is_header, is_empty), "",
       INDEX('Budget Planning'!$E:$IG, row_id,
                  MATCH(IF(selected_period="Total Year", selected_year, DATE(selected_year, selected_period, 1)), 'Budget Planning'!$E$12:$IG$12, 0)))</f>
        <v>47579.95</v>
      </c>
      <c r="M18" s="28" t="str" cm="1">
        <f t="array" ref="M18">IF(is_cat,
        IF(header_row_id=income_header_row, MATCH(income_min_row, $C:$C,0),
            IF(header_row_id=expenses_header_row, MATCH(expenses_min_row, $C:$C,0),
                IF(header_row_id=savings_header_row, MATCH(savings_min_row, $C:$C,0), ""))), "")</f>
        <v/>
      </c>
      <c r="N18" s="29" t="str" cm="1">
        <f t="array" ref="N18">IF(is_cat,
        IF(header_row_id=income_header_row, MATCH(income_max_row, $C:$C,0),
            IF(header_row_id=expenses_header_row, MATCH(expenses_max_row, $C:$C,0),
                IF(header_row_id=savings_header_row, MATCH(savings_max_row, $C:$C,0), ""))), "")</f>
        <v/>
      </c>
      <c r="O18" s="28" t="str">
        <f t="shared" si="3"/>
        <v/>
      </c>
      <c r="P18" t="str">
        <f t="shared" ca="1" si="4"/>
        <v/>
      </c>
      <c r="Q18" t="str">
        <f t="shared" si="5"/>
        <v/>
      </c>
      <c r="R18" s="29" t="str">
        <f t="shared" ca="1" si="6"/>
        <v/>
      </c>
      <c r="S18" s="28" t="str">
        <f t="shared" si="7"/>
        <v/>
      </c>
      <c r="T18" t="str">
        <f t="shared" si="8"/>
        <v/>
      </c>
      <c r="U18" t="str">
        <f t="shared" ca="1" si="9"/>
        <v/>
      </c>
      <c r="V18" t="str">
        <f t="shared" si="10"/>
        <v/>
      </c>
      <c r="W18" s="29" t="str">
        <f t="shared" ca="1" si="11"/>
        <v/>
      </c>
      <c r="X18" s="74">
        <f t="shared" si="12"/>
        <v>24</v>
      </c>
      <c r="Y18" s="51" t="str">
        <f t="shared" ca="1" si="13"/>
        <v>Total</v>
      </c>
      <c r="Z18" s="78">
        <f t="shared" ca="1" si="14"/>
        <v>47919.35</v>
      </c>
      <c r="AA18" s="78">
        <f t="shared" ca="1" si="15"/>
        <v>47579.95</v>
      </c>
      <c r="AB18" s="76">
        <f t="shared" ca="1" si="16"/>
        <v>1.0071332567604632</v>
      </c>
      <c r="AC18" s="78">
        <f t="shared" ca="1" si="17"/>
        <v>0</v>
      </c>
      <c r="AD18" s="78">
        <f t="shared" ca="1" si="18"/>
        <v>339.40000000000146</v>
      </c>
      <c r="AE18" s="48"/>
      <c r="AF18" s="28"/>
      <c r="AI18" s="91" t="str">
        <f ca="1">Calculations!E37</f>
        <v>Grant Payment</v>
      </c>
      <c r="AJ18" s="92">
        <f ca="1">Calculations!F37</f>
        <v>4000</v>
      </c>
      <c r="AK18" s="29"/>
      <c r="AM18" s="28"/>
      <c r="AR18" s="29"/>
    </row>
    <row r="19" spans="3:44" x14ac:dyDescent="0.2">
      <c r="C19" s="28" t="str" cm="1">
        <f t="array" ref="C19">IF(C18=-1, -1,
   IF(C18&lt;income_max_row, C18+1,
      IF(C18=income_max_row, income_total_row,
          IF(C18=income_total_row, "/1",
              IF(C18="/1", expenses_header_row,
                 IF(C18&lt;expenses_max_row, C18+1,
                   IF(C18=expenses_max_row, expenses_total_row,
                      IF(C18=expenses_total_row, "/2",
                         IF(C18="/2", savings_header_row,
                             IF(C18&lt;savings_max_row, C18+1,
                                 IF(C18=savings_max_row, savings_total_row, -1)))))))))))</f>
        <v>/1</v>
      </c>
      <c r="D19" s="29">
        <f t="shared" si="0"/>
        <v>-1</v>
      </c>
      <c r="E19" s="28" cm="1">
        <f t="array" ref="E19">1*OR(row_id=income_header_row, row_id=expenses_header_row, row_id=savings_header_row)</f>
        <v>0</v>
      </c>
      <c r="F19">
        <f t="shared" si="1"/>
        <v>0</v>
      </c>
      <c r="G19" cm="1">
        <f t="array" ref="G19">1*OR(row_id=income_total_row, row_id=expenses_total_row, row_id=savings_total_row)</f>
        <v>0</v>
      </c>
      <c r="H19" s="29">
        <f t="shared" si="2"/>
        <v>1</v>
      </c>
      <c r="I19" s="28" t="str" cm="1">
        <f t="array" ref="I19">IFERROR(INDEX('Budget Planning'!$C:$C,header_row_id)," ")</f>
        <v xml:space="preserve"> </v>
      </c>
      <c r="J19" t="str" cm="1">
        <f t="array" ref="J19">IFERROR(INDEX('Budget Planning'!$C:$C, row_id), " ")</f>
        <v xml:space="preserve"> </v>
      </c>
      <c r="K19" s="68" t="str" cm="1">
        <f t="array" ref="K19">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
      </c>
      <c r="L19" s="69" t="str" cm="1">
        <f t="array" ref="L19">IF(OR(is_header, is_empty), "",
       INDEX('Budget Planning'!$E:$IG, row_id,
                  MATCH(IF(selected_period="Total Year", selected_year, DATE(selected_year, selected_period, 1)), 'Budget Planning'!$E$12:$IG$12, 0)))</f>
        <v/>
      </c>
      <c r="M19" s="28" t="str" cm="1">
        <f t="array" ref="M19">IF(is_cat,
        IF(header_row_id=income_header_row, MATCH(income_min_row, $C:$C,0),
            IF(header_row_id=expenses_header_row, MATCH(expenses_min_row, $C:$C,0),
                IF(header_row_id=savings_header_row, MATCH(savings_min_row, $C:$C,0), ""))), "")</f>
        <v/>
      </c>
      <c r="N19" s="29" t="str" cm="1">
        <f t="array" ref="N19">IF(is_cat,
        IF(header_row_id=income_header_row, MATCH(income_max_row, $C:$C,0),
            IF(header_row_id=expenses_header_row, MATCH(expenses_max_row, $C:$C,0),
                IF(header_row_id=savings_header_row, MATCH(savings_max_row, $C:$C,0), ""))), "")</f>
        <v/>
      </c>
      <c r="O19" s="28" t="str">
        <f t="shared" si="3"/>
        <v/>
      </c>
      <c r="P19" t="str">
        <f t="shared" ca="1" si="4"/>
        <v/>
      </c>
      <c r="Q19" t="str">
        <f t="shared" si="5"/>
        <v/>
      </c>
      <c r="R19" s="29" t="str">
        <f t="shared" ca="1" si="6"/>
        <v/>
      </c>
      <c r="S19" s="28" t="str">
        <f t="shared" si="7"/>
        <v/>
      </c>
      <c r="T19" t="str">
        <f t="shared" si="8"/>
        <v/>
      </c>
      <c r="U19" t="str">
        <f t="shared" ca="1" si="9"/>
        <v/>
      </c>
      <c r="V19" t="str">
        <f t="shared" si="10"/>
        <v/>
      </c>
      <c r="W19" s="29" t="str">
        <f t="shared" ca="1" si="11"/>
        <v/>
      </c>
      <c r="X19" s="74" t="str">
        <f t="shared" si="12"/>
        <v>/1</v>
      </c>
      <c r="Y19" s="51" t="str">
        <f t="shared" si="13"/>
        <v/>
      </c>
      <c r="Z19" s="78" t="str">
        <f t="shared" si="14"/>
        <v/>
      </c>
      <c r="AA19" s="78" t="str">
        <f t="shared" si="15"/>
        <v/>
      </c>
      <c r="AB19" s="76" t="str">
        <f t="shared" si="16"/>
        <v/>
      </c>
      <c r="AC19" s="78" t="str">
        <f t="shared" si="17"/>
        <v/>
      </c>
      <c r="AD19" s="78" t="str">
        <f t="shared" si="18"/>
        <v/>
      </c>
      <c r="AE19" s="48"/>
      <c r="AF19" s="28"/>
      <c r="AI19" s="91" t="str">
        <f ca="1">Calculations!E38</f>
        <v>Extras / Twint Chargeback</v>
      </c>
      <c r="AJ19" s="92">
        <f ca="1">Calculations!F38</f>
        <v>1160.25</v>
      </c>
      <c r="AK19" s="29"/>
      <c r="AM19" s="28"/>
      <c r="AR19" s="29"/>
    </row>
    <row r="20" spans="3:44" x14ac:dyDescent="0.2">
      <c r="C20" s="28" cm="1">
        <f t="array" ref="C20">IF(C19=-1, -1,
   IF(C19&lt;income_max_row, C19+1,
      IF(C19=income_max_row, income_total_row,
          IF(C19=income_total_row, "/1",
              IF(C19="/1", expenses_header_row,
                 IF(C19&lt;expenses_max_row, C19+1,
                   IF(C19=expenses_max_row, expenses_total_row,
                      IF(C19=expenses_total_row, "/2",
                         IF(C19="/2", savings_header_row,
                             IF(C19&lt;savings_max_row, C19+1,
                                 IF(C19=savings_max_row, savings_total_row, -1)))))))))))</f>
        <v>26</v>
      </c>
      <c r="D20" s="29">
        <f t="shared" si="0"/>
        <v>26</v>
      </c>
      <c r="E20" s="28" cm="1">
        <f t="array" ref="E20">1*OR(row_id=income_header_row, row_id=expenses_header_row, row_id=savings_header_row)</f>
        <v>1</v>
      </c>
      <c r="F20">
        <f t="shared" si="1"/>
        <v>0</v>
      </c>
      <c r="G20" cm="1">
        <f t="array" ref="G20">1*OR(row_id=income_total_row, row_id=expenses_total_row, row_id=savings_total_row)</f>
        <v>0</v>
      </c>
      <c r="H20" s="29">
        <f t="shared" si="2"/>
        <v>0</v>
      </c>
      <c r="I20" s="28" t="str" cm="1">
        <f t="array" ref="I20">IFERROR(INDEX('Budget Planning'!$C:$C,header_row_id)," ")</f>
        <v>Expenses</v>
      </c>
      <c r="J20" t="str" cm="1">
        <f t="array" ref="J20">IFERROR(INDEX('Budget Planning'!$C:$C, row_id), " ")</f>
        <v>Expenses</v>
      </c>
      <c r="K20" s="68" t="str" cm="1">
        <f t="array" ref="K20">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
      </c>
      <c r="L20" s="69" t="str" cm="1">
        <f t="array" ref="L20">IF(OR(is_header, is_empty), "",
       INDEX('Budget Planning'!$E:$IG, row_id,
                  MATCH(IF(selected_period="Total Year", selected_year, DATE(selected_year, selected_period, 1)), 'Budget Planning'!$E$12:$IG$12, 0)))</f>
        <v/>
      </c>
      <c r="M20" s="28" t="str" cm="1">
        <f t="array" ref="M20">IF(is_cat,
        IF(header_row_id=income_header_row, MATCH(income_min_row, $C:$C,0),
            IF(header_row_id=expenses_header_row, MATCH(expenses_min_row, $C:$C,0),
                IF(header_row_id=savings_header_row, MATCH(savings_min_row, $C:$C,0), ""))), "")</f>
        <v/>
      </c>
      <c r="N20" s="29" t="str" cm="1">
        <f t="array" ref="N20">IF(is_cat,
        IF(header_row_id=income_header_row, MATCH(income_max_row, $C:$C,0),
            IF(header_row_id=expenses_header_row, MATCH(expenses_max_row, $C:$C,0),
                IF(header_row_id=savings_header_row, MATCH(savings_max_row, $C:$C,0), ""))), "")</f>
        <v/>
      </c>
      <c r="O20" s="28" t="str">
        <f t="shared" si="3"/>
        <v/>
      </c>
      <c r="P20" t="str">
        <f t="shared" ca="1" si="4"/>
        <v/>
      </c>
      <c r="Q20" t="str">
        <f t="shared" si="5"/>
        <v/>
      </c>
      <c r="R20" s="29" t="str">
        <f t="shared" ca="1" si="6"/>
        <v/>
      </c>
      <c r="S20" s="28" t="str">
        <f t="shared" si="7"/>
        <v/>
      </c>
      <c r="T20" t="str">
        <f t="shared" si="8"/>
        <v/>
      </c>
      <c r="U20" t="str">
        <f t="shared" ca="1" si="9"/>
        <v/>
      </c>
      <c r="V20" t="str">
        <f t="shared" si="10"/>
        <v/>
      </c>
      <c r="W20" s="29" t="str">
        <f t="shared" ca="1" si="11"/>
        <v/>
      </c>
      <c r="X20" s="74">
        <f t="shared" si="12"/>
        <v>26</v>
      </c>
      <c r="Y20" s="75" t="str">
        <f t="shared" ref="Y20:Y39" ca="1" si="19">IF(is_empty, "", INDEX($J:$J, MATCH(row_id, $X:$X, 0)))</f>
        <v>Expenses</v>
      </c>
      <c r="Z20" s="79" t="str">
        <f t="shared" ref="Z20:Z39" si="20">IF(is_empty, "", IF(is_header, "Tracked", INDEX($K:$K, MATCH(row_id, $X:$X,0))))</f>
        <v>Tracked</v>
      </c>
      <c r="AA20" s="79" t="str">
        <f t="shared" ref="AA20:AA39" si="21">IF(is_empty, "", IF(is_header, "Budget", INDEX($L:$L, MATCH(row_id, $X:$X,0))))</f>
        <v>Budget</v>
      </c>
      <c r="AB20" s="77" t="str">
        <f t="shared" ref="AB20:AB39" si="22">IF(is_empty, "", IF(is_header, "% Compl.", IFERROR(out_tracked / out_budget, "-")))</f>
        <v>% Compl.</v>
      </c>
      <c r="AC20" s="79" t="str">
        <f t="shared" ref="AC20:AC39" si="23">IF(is_empty, "", IF(is_header, "Remaining", IF(out_budget - out_tracked &gt; 0, out_budget - out_tracked, 0)))</f>
        <v>Remaining</v>
      </c>
      <c r="AD20" s="79" t="str">
        <f t="shared" ref="AD20:AD39" si="24">IF(is_empty, "", IF(is_header, "Excess", IF(out_budget - out_tracked &lt; 0, out_tracked - out_budget, 0)))</f>
        <v>Excess</v>
      </c>
      <c r="AE20" s="48"/>
      <c r="AF20" s="28"/>
      <c r="AI20" s="91" t="str">
        <f>Calculations!E39</f>
        <v/>
      </c>
      <c r="AJ20" s="92" t="str">
        <f>Calculations!F39</f>
        <v/>
      </c>
      <c r="AK20" s="29"/>
      <c r="AM20" s="28"/>
      <c r="AR20" s="29"/>
    </row>
    <row r="21" spans="3:44" x14ac:dyDescent="0.2">
      <c r="C21" s="28" cm="1">
        <f t="array" ref="C21">IF(C20=-1, -1,
   IF(C20&lt;income_max_row, C20+1,
      IF(C20=income_max_row, income_total_row,
          IF(C20=income_total_row, "/1",
              IF(C20="/1", expenses_header_row,
                 IF(C20&lt;expenses_max_row, C20+1,
                   IF(C20=expenses_max_row, expenses_total_row,
                      IF(C20=expenses_total_row, "/2",
                         IF(C20="/2", savings_header_row,
                             IF(C20&lt;savings_max_row, C20+1,
                                 IF(C20=savings_max_row, savings_total_row, -1)))))))))))</f>
        <v>27</v>
      </c>
      <c r="D21" s="29">
        <f t="shared" si="0"/>
        <v>26</v>
      </c>
      <c r="E21" s="28" cm="1">
        <f t="array" ref="E21">1*OR(row_id=income_header_row, row_id=expenses_header_row, row_id=savings_header_row)</f>
        <v>0</v>
      </c>
      <c r="F21">
        <f t="shared" si="1"/>
        <v>1</v>
      </c>
      <c r="G21" cm="1">
        <f t="array" ref="G21">1*OR(row_id=income_total_row, row_id=expenses_total_row, row_id=savings_total_row)</f>
        <v>0</v>
      </c>
      <c r="H21" s="29">
        <f t="shared" si="2"/>
        <v>0</v>
      </c>
      <c r="I21" s="28" t="str" cm="1">
        <f t="array" ref="I21">IFERROR(INDEX('Budget Planning'!$C:$C,header_row_id)," ")</f>
        <v>Expenses</v>
      </c>
      <c r="J21" t="str" cm="1">
        <f t="array" ref="J21">IFERROR(INDEX('Budget Planning'!$C:$C, row_id), " ")</f>
        <v>Housing</v>
      </c>
      <c r="K21" s="68" cm="1">
        <f t="array" ref="K21">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9148</v>
      </c>
      <c r="L21" s="69" cm="1">
        <f t="array" ref="L21">IF(OR(is_header, is_empty), "",
       INDEX('Budget Planning'!$E:$IG, row_id,
                  MATCH(IF(selected_period="Total Year", selected_year, DATE(selected_year, selected_period, 1)), 'Budget Planning'!$E$12:$IG$12, 0)))</f>
        <v>9148</v>
      </c>
      <c r="M21" s="28" cm="1">
        <f t="array" ref="M21">IF(is_cat,
        IF(header_row_id=income_header_row, MATCH(income_min_row, $C:$C,0),
            IF(header_row_id=expenses_header_row, MATCH(expenses_min_row, $C:$C,0),
                IF(header_row_id=savings_header_row, MATCH(savings_min_row, $C:$C,0), ""))), "")</f>
        <v>21</v>
      </c>
      <c r="N21" s="29" cm="1">
        <f t="array" ref="N21">IF(is_cat,
        IF(header_row_id=income_header_row, MATCH(income_max_row, $C:$C,0),
            IF(header_row_id=expenses_header_row, MATCH(expenses_max_row, $C:$C,0),
                IF(header_row_id=savings_header_row, MATCH(savings_max_row, $C:$C,0), ""))), "")</f>
        <v>41</v>
      </c>
      <c r="O21" s="28" t="str">
        <f t="shared" si="3"/>
        <v>$K$21:$K$41</v>
      </c>
      <c r="P21">
        <f t="shared" ca="1" si="4"/>
        <v>1</v>
      </c>
      <c r="Q21" t="str">
        <f t="shared" si="5"/>
        <v>$L$21:$L$41</v>
      </c>
      <c r="R21" s="29">
        <f t="shared" ca="1" si="6"/>
        <v>1</v>
      </c>
      <c r="S21" s="28">
        <f t="shared" ca="1" si="7"/>
        <v>11</v>
      </c>
      <c r="T21" t="str">
        <f t="shared" si="8"/>
        <v>$S$21:$S$41</v>
      </c>
      <c r="U21">
        <f t="shared" ca="1" si="9"/>
        <v>1</v>
      </c>
      <c r="V21" t="str">
        <f t="shared" si="10"/>
        <v>$U$21:$U$21</v>
      </c>
      <c r="W21" s="29">
        <f t="shared" ca="1" si="11"/>
        <v>1</v>
      </c>
      <c r="X21" s="74">
        <f t="shared" ca="1" si="12"/>
        <v>27</v>
      </c>
      <c r="Y21" s="75" t="str">
        <f t="shared" ca="1" si="19"/>
        <v>Housing</v>
      </c>
      <c r="Z21" s="79">
        <f t="shared" ca="1" si="20"/>
        <v>9148</v>
      </c>
      <c r="AA21" s="79">
        <f t="shared" ca="1" si="21"/>
        <v>9148</v>
      </c>
      <c r="AB21" s="77">
        <f t="shared" ca="1" si="22"/>
        <v>1</v>
      </c>
      <c r="AC21" s="79">
        <f t="shared" ca="1" si="23"/>
        <v>0</v>
      </c>
      <c r="AD21" s="79">
        <f t="shared" ca="1" si="24"/>
        <v>0</v>
      </c>
      <c r="AE21" s="48"/>
      <c r="AF21" s="28"/>
      <c r="AI21" s="91" t="str">
        <f ca="1">Calculations!E40</f>
        <v/>
      </c>
      <c r="AJ21" s="92" t="str">
        <f ca="1">Calculations!F40</f>
        <v/>
      </c>
      <c r="AK21" s="29"/>
      <c r="AM21" s="28"/>
      <c r="AR21" s="29"/>
    </row>
    <row r="22" spans="3:44" x14ac:dyDescent="0.2">
      <c r="C22" s="28" cm="1">
        <f t="array" ref="C22">IF(C21=-1, -1,
   IF(C21&lt;income_max_row, C21+1,
      IF(C21=income_max_row, income_total_row,
          IF(C21=income_total_row, "/1",
              IF(C21="/1", expenses_header_row,
                 IF(C21&lt;expenses_max_row, C21+1,
                   IF(C21=expenses_max_row, expenses_total_row,
                      IF(C21=expenses_total_row, "/2",
                         IF(C21="/2", savings_header_row,
                             IF(C21&lt;savings_max_row, C21+1,
                                 IF(C21=savings_max_row, savings_total_row, -1)))))))))))</f>
        <v>28</v>
      </c>
      <c r="D22" s="29">
        <f t="shared" si="0"/>
        <v>26</v>
      </c>
      <c r="E22" s="28" cm="1">
        <f t="array" ref="E22">1*OR(row_id=income_header_row, row_id=expenses_header_row, row_id=savings_header_row)</f>
        <v>0</v>
      </c>
      <c r="F22">
        <f t="shared" si="1"/>
        <v>1</v>
      </c>
      <c r="G22" cm="1">
        <f t="array" ref="G22">1*OR(row_id=income_total_row, row_id=expenses_total_row, row_id=savings_total_row)</f>
        <v>0</v>
      </c>
      <c r="H22" s="29">
        <f t="shared" si="2"/>
        <v>0</v>
      </c>
      <c r="I22" s="28" t="str" cm="1">
        <f t="array" ref="I22">IFERROR(INDEX('Budget Planning'!$C:$C,header_row_id)," ")</f>
        <v>Expenses</v>
      </c>
      <c r="J22" t="str" cm="1">
        <f t="array" ref="J22">IFERROR(INDEX('Budget Planning'!$C:$C, row_id), " ")</f>
        <v>Home Utils</v>
      </c>
      <c r="K22" s="68" cm="1">
        <f t="array" ref="K22">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655.35</v>
      </c>
      <c r="L22" s="69" cm="1">
        <f t="array" ref="L22">IF(OR(is_header, is_empty), "",
       INDEX('Budget Planning'!$E:$IG, row_id,
                  MATCH(IF(selected_period="Total Year", selected_year, DATE(selected_year, selected_period, 1)), 'Budget Planning'!$E$12:$IG$12, 0)))</f>
        <v>175</v>
      </c>
      <c r="M22" s="28" cm="1">
        <f t="array" ref="M22">IF(is_cat,
        IF(header_row_id=income_header_row, MATCH(income_min_row, $C:$C,0),
            IF(header_row_id=expenses_header_row, MATCH(expenses_min_row, $C:$C,0),
                IF(header_row_id=savings_header_row, MATCH(savings_min_row, $C:$C,0), ""))), "")</f>
        <v>21</v>
      </c>
      <c r="N22" s="29" cm="1">
        <f t="array" ref="N22">IF(is_cat,
        IF(header_row_id=income_header_row, MATCH(income_max_row, $C:$C,0),
            IF(header_row_id=expenses_header_row, MATCH(expenses_max_row, $C:$C,0),
                IF(header_row_id=savings_header_row, MATCH(savings_max_row, $C:$C,0), ""))), "")</f>
        <v>41</v>
      </c>
      <c r="O22" s="28" t="str">
        <f t="shared" si="3"/>
        <v>$K$21:$K$41</v>
      </c>
      <c r="P22">
        <f t="shared" ca="1" si="4"/>
        <v>10</v>
      </c>
      <c r="Q22" t="str">
        <f t="shared" si="5"/>
        <v>$L$21:$L$41</v>
      </c>
      <c r="R22" s="29">
        <f t="shared" ca="1" si="6"/>
        <v>18</v>
      </c>
      <c r="S22" s="28">
        <f t="shared" ca="1" si="7"/>
        <v>1018</v>
      </c>
      <c r="T22" t="str">
        <f t="shared" si="8"/>
        <v>$S$21:$S$41</v>
      </c>
      <c r="U22">
        <f t="shared" ca="1" si="9"/>
        <v>12</v>
      </c>
      <c r="V22" t="str">
        <f t="shared" si="10"/>
        <v>$U$21:$U$22</v>
      </c>
      <c r="W22" s="29">
        <f t="shared" ca="1" si="11"/>
        <v>12</v>
      </c>
      <c r="X22" s="74">
        <f t="shared" ca="1" si="12"/>
        <v>38</v>
      </c>
      <c r="Y22" s="51" t="str">
        <f t="shared" ca="1" si="19"/>
        <v>Restaurants</v>
      </c>
      <c r="Z22" s="78">
        <f t="shared" ca="1" si="20"/>
        <v>3150.130000000001</v>
      </c>
      <c r="AA22" s="78">
        <f t="shared" ca="1" si="21"/>
        <v>3000</v>
      </c>
      <c r="AB22" s="76">
        <f t="shared" ca="1" si="22"/>
        <v>1.0500433333333337</v>
      </c>
      <c r="AC22" s="78">
        <f t="shared" ca="1" si="23"/>
        <v>0</v>
      </c>
      <c r="AD22" s="78">
        <f t="shared" ca="1" si="24"/>
        <v>150.13000000000102</v>
      </c>
      <c r="AE22" s="48"/>
      <c r="AF22" s="28"/>
      <c r="AI22" s="93" t="str">
        <f>Calculations!E41</f>
        <v>Total</v>
      </c>
      <c r="AJ22" s="94">
        <f ca="1">Calculations!F41</f>
        <v>47919.35</v>
      </c>
      <c r="AK22" s="29"/>
      <c r="AM22" s="28"/>
      <c r="AR22" s="29"/>
    </row>
    <row r="23" spans="3:44" x14ac:dyDescent="0.2">
      <c r="C23" s="28" cm="1">
        <f t="array" ref="C23">IF(C22=-1, -1,
   IF(C22&lt;income_max_row, C22+1,
      IF(C22=income_max_row, income_total_row,
          IF(C22=income_total_row, "/1",
              IF(C22="/1", expenses_header_row,
                 IF(C22&lt;expenses_max_row, C22+1,
                   IF(C22=expenses_max_row, expenses_total_row,
                      IF(C22=expenses_total_row, "/2",
                         IF(C22="/2", savings_header_row,
                             IF(C22&lt;savings_max_row, C22+1,
                                 IF(C22=savings_max_row, savings_total_row, -1)))))))))))</f>
        <v>29</v>
      </c>
      <c r="D23" s="29">
        <f t="shared" si="0"/>
        <v>26</v>
      </c>
      <c r="E23" s="28" cm="1">
        <f t="array" ref="E23">1*OR(row_id=income_header_row, row_id=expenses_header_row, row_id=savings_header_row)</f>
        <v>0</v>
      </c>
      <c r="F23">
        <f t="shared" si="1"/>
        <v>1</v>
      </c>
      <c r="G23" cm="1">
        <f t="array" ref="G23">1*OR(row_id=income_total_row, row_id=expenses_total_row, row_id=savings_total_row)</f>
        <v>0</v>
      </c>
      <c r="H23" s="29">
        <f t="shared" si="2"/>
        <v>0</v>
      </c>
      <c r="I23" s="28" t="str" cm="1">
        <f t="array" ref="I23">IFERROR(INDEX('Budget Planning'!$C:$C,header_row_id)," ")</f>
        <v>Expenses</v>
      </c>
      <c r="J23" t="str" cm="1">
        <f t="array" ref="J23">IFERROR(INDEX('Budget Planning'!$C:$C, row_id), " ")</f>
        <v>Home Furnitures</v>
      </c>
      <c r="K23" s="68" cm="1">
        <f t="array" ref="K23">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1509.6000000000001</v>
      </c>
      <c r="L23" s="69" cm="1">
        <f t="array" ref="L23">IF(OR(is_header, is_empty), "",
       INDEX('Budget Planning'!$E:$IG, row_id,
                  MATCH(IF(selected_period="Total Year", selected_year, DATE(selected_year, selected_period, 1)), 'Budget Planning'!$E$12:$IG$12, 0)))</f>
        <v>1509.6</v>
      </c>
      <c r="M23" s="28" cm="1">
        <f t="array" ref="M23">IF(is_cat,
        IF(header_row_id=income_header_row, MATCH(income_min_row, $C:$C,0),
            IF(header_row_id=expenses_header_row, MATCH(expenses_min_row, $C:$C,0),
                IF(header_row_id=savings_header_row, MATCH(savings_min_row, $C:$C,0), ""))), "")</f>
        <v>21</v>
      </c>
      <c r="N23" s="29" cm="1">
        <f t="array" ref="N23">IF(is_cat,
        IF(header_row_id=income_header_row, MATCH(income_max_row, $C:$C,0),
            IF(header_row_id=expenses_header_row, MATCH(expenses_max_row, $C:$C,0),
                IF(header_row_id=savings_header_row, MATCH(savings_max_row, $C:$C,0), ""))), "")</f>
        <v>41</v>
      </c>
      <c r="O23" s="28" t="str">
        <f t="shared" si="3"/>
        <v>$K$21:$K$41</v>
      </c>
      <c r="P23">
        <f t="shared" ca="1" si="4"/>
        <v>6</v>
      </c>
      <c r="Q23" t="str">
        <f t="shared" si="5"/>
        <v>$L$21:$L$41</v>
      </c>
      <c r="R23" s="29">
        <f t="shared" ca="1" si="6"/>
        <v>7</v>
      </c>
      <c r="S23" s="28">
        <f t="shared" ca="1" si="7"/>
        <v>67</v>
      </c>
      <c r="T23" t="str">
        <f t="shared" si="8"/>
        <v>$S$21:$S$41</v>
      </c>
      <c r="U23">
        <f t="shared" ca="1" si="9"/>
        <v>6</v>
      </c>
      <c r="V23" t="str">
        <f t="shared" si="10"/>
        <v>$U$21:$U$23</v>
      </c>
      <c r="W23" s="29">
        <f t="shared" ca="1" si="11"/>
        <v>6</v>
      </c>
      <c r="X23" s="74">
        <f t="shared" ca="1" si="12"/>
        <v>32</v>
      </c>
      <c r="Y23" s="51" t="str">
        <f t="shared" ca="1" si="19"/>
        <v>Debt</v>
      </c>
      <c r="Z23" s="78">
        <f t="shared" ca="1" si="20"/>
        <v>2756.8500000000004</v>
      </c>
      <c r="AA23" s="78">
        <f t="shared" ca="1" si="21"/>
        <v>4000</v>
      </c>
      <c r="AB23" s="76">
        <f t="shared" ca="1" si="22"/>
        <v>0.68921250000000012</v>
      </c>
      <c r="AC23" s="78">
        <f t="shared" ca="1" si="23"/>
        <v>1243.1499999999996</v>
      </c>
      <c r="AD23" s="78">
        <f t="shared" ca="1" si="24"/>
        <v>0</v>
      </c>
      <c r="AE23" s="48"/>
      <c r="AF23" s="28"/>
      <c r="AK23" s="29"/>
      <c r="AM23" s="28"/>
      <c r="AR23" s="29"/>
    </row>
    <row r="24" spans="3:44" x14ac:dyDescent="0.2">
      <c r="C24" s="28" cm="1">
        <f t="array" ref="C24">IF(C23=-1, -1,
   IF(C23&lt;income_max_row, C23+1,
      IF(C23=income_max_row, income_total_row,
          IF(C23=income_total_row, "/1",
              IF(C23="/1", expenses_header_row,
                 IF(C23&lt;expenses_max_row, C23+1,
                   IF(C23=expenses_max_row, expenses_total_row,
                      IF(C23=expenses_total_row, "/2",
                         IF(C23="/2", savings_header_row,
                             IF(C23&lt;savings_max_row, C23+1,
                                 IF(C23=savings_max_row, savings_total_row, -1)))))))))))</f>
        <v>30</v>
      </c>
      <c r="D24" s="29">
        <f t="shared" si="0"/>
        <v>26</v>
      </c>
      <c r="E24" s="28" cm="1">
        <f t="array" ref="E24">1*OR(row_id=income_header_row, row_id=expenses_header_row, row_id=savings_header_row)</f>
        <v>0</v>
      </c>
      <c r="F24">
        <f t="shared" si="1"/>
        <v>1</v>
      </c>
      <c r="G24" cm="1">
        <f t="array" ref="G24">1*OR(row_id=income_total_row, row_id=expenses_total_row, row_id=savings_total_row)</f>
        <v>0</v>
      </c>
      <c r="H24" s="29">
        <f t="shared" si="2"/>
        <v>0</v>
      </c>
      <c r="I24" s="28" t="str" cm="1">
        <f t="array" ref="I24">IFERROR(INDEX('Budget Planning'!$C:$C,header_row_id)," ")</f>
        <v>Expenses</v>
      </c>
      <c r="J24" t="str" cm="1">
        <f t="array" ref="J24">IFERROR(INDEX('Budget Planning'!$C:$C, row_id), " ")</f>
        <v>Groceries</v>
      </c>
      <c r="K24" s="68" cm="1">
        <f t="array" ref="K24">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1326.2600000000004</v>
      </c>
      <c r="L24" s="69" cm="1">
        <f t="array" ref="L24">IF(OR(is_header, is_empty), "",
       INDEX('Budget Planning'!$E:$IG, row_id,
                  MATCH(IF(selected_period="Total Year", selected_year, DATE(selected_year, selected_period, 1)), 'Budget Planning'!$E$12:$IG$12, 0)))</f>
        <v>2500</v>
      </c>
      <c r="M24" s="28" cm="1">
        <f t="array" ref="M24">IF(is_cat,
        IF(header_row_id=income_header_row, MATCH(income_min_row, $C:$C,0),
            IF(header_row_id=expenses_header_row, MATCH(expenses_min_row, $C:$C,0),
                IF(header_row_id=savings_header_row, MATCH(savings_min_row, $C:$C,0), ""))), "")</f>
        <v>21</v>
      </c>
      <c r="N24" s="29" cm="1">
        <f t="array" ref="N24">IF(is_cat,
        IF(header_row_id=income_header_row, MATCH(income_max_row, $C:$C,0),
            IF(header_row_id=expenses_header_row, MATCH(expenses_max_row, $C:$C,0),
                IF(header_row_id=savings_header_row, MATCH(savings_max_row, $C:$C,0), ""))), "")</f>
        <v>41</v>
      </c>
      <c r="O24" s="28" t="str">
        <f t="shared" si="3"/>
        <v>$K$21:$K$41</v>
      </c>
      <c r="P24">
        <f t="shared" ca="1" si="4"/>
        <v>7</v>
      </c>
      <c r="Q24" t="str">
        <f t="shared" si="5"/>
        <v>$L$21:$L$41</v>
      </c>
      <c r="R24" s="29">
        <f t="shared" ca="1" si="6"/>
        <v>5</v>
      </c>
      <c r="S24" s="28">
        <f t="shared" ca="1" si="7"/>
        <v>75</v>
      </c>
      <c r="T24" t="str">
        <f t="shared" si="8"/>
        <v>$S$21:$S$41</v>
      </c>
      <c r="U24">
        <f t="shared" ca="1" si="9"/>
        <v>7</v>
      </c>
      <c r="V24" t="str">
        <f t="shared" si="10"/>
        <v>$U$21:$U$24</v>
      </c>
      <c r="W24" s="29">
        <f t="shared" ca="1" si="11"/>
        <v>7</v>
      </c>
      <c r="X24" s="74">
        <f t="shared" ca="1" si="12"/>
        <v>33</v>
      </c>
      <c r="Y24" s="51" t="str">
        <f t="shared" ca="1" si="19"/>
        <v>Travel</v>
      </c>
      <c r="Z24" s="78">
        <f t="shared" ca="1" si="20"/>
        <v>2751.55</v>
      </c>
      <c r="AA24" s="78">
        <f t="shared" ca="1" si="21"/>
        <v>2000</v>
      </c>
      <c r="AB24" s="76">
        <f t="shared" ca="1" si="22"/>
        <v>1.3757750000000002</v>
      </c>
      <c r="AC24" s="78">
        <f t="shared" ca="1" si="23"/>
        <v>0</v>
      </c>
      <c r="AD24" s="78">
        <f t="shared" ca="1" si="24"/>
        <v>751.55000000000018</v>
      </c>
      <c r="AE24" s="48"/>
      <c r="AF24" s="30"/>
      <c r="AG24" s="31"/>
      <c r="AH24" s="31"/>
      <c r="AI24" s="31"/>
      <c r="AJ24" s="31"/>
      <c r="AK24" s="32"/>
      <c r="AM24" s="30"/>
      <c r="AN24" s="31"/>
      <c r="AO24" s="31"/>
      <c r="AP24" s="31"/>
      <c r="AQ24" s="31"/>
      <c r="AR24" s="32"/>
    </row>
    <row r="25" spans="3:44" x14ac:dyDescent="0.2">
      <c r="C25" s="28" cm="1">
        <f t="array" ref="C25">IF(C24=-1, -1,
   IF(C24&lt;income_max_row, C24+1,
      IF(C24=income_max_row, income_total_row,
          IF(C24=income_total_row, "/1",
              IF(C24="/1", expenses_header_row,
                 IF(C24&lt;expenses_max_row, C24+1,
                   IF(C24=expenses_max_row, expenses_total_row,
                      IF(C24=expenses_total_row, "/2",
                         IF(C24="/2", savings_header_row,
                             IF(C24&lt;savings_max_row, C24+1,
                                 IF(C24=savings_max_row, savings_total_row, -1)))))))))))</f>
        <v>31</v>
      </c>
      <c r="D25" s="29">
        <f t="shared" si="0"/>
        <v>26</v>
      </c>
      <c r="E25" s="28" cm="1">
        <f t="array" ref="E25">1*OR(row_id=income_header_row, row_id=expenses_header_row, row_id=savings_header_row)</f>
        <v>0</v>
      </c>
      <c r="F25">
        <f t="shared" si="1"/>
        <v>1</v>
      </c>
      <c r="G25" cm="1">
        <f t="array" ref="G25">1*OR(row_id=income_total_row, row_id=expenses_total_row, row_id=savings_total_row)</f>
        <v>0</v>
      </c>
      <c r="H25" s="29">
        <f t="shared" si="2"/>
        <v>0</v>
      </c>
      <c r="I25" s="28" t="str" cm="1">
        <f t="array" ref="I25">IFERROR(INDEX('Budget Planning'!$C:$C,header_row_id)," ")</f>
        <v>Expenses</v>
      </c>
      <c r="J25" t="str" cm="1">
        <f t="array" ref="J25">IFERROR(INDEX('Budget Planning'!$C:$C, row_id), " ")</f>
        <v>Restaurants</v>
      </c>
      <c r="K25" s="68" cm="1">
        <f t="array" ref="K25">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3150.130000000001</v>
      </c>
      <c r="L25" s="69" cm="1">
        <f t="array" ref="L25">IF(OR(is_header, is_empty), "",
       INDEX('Budget Planning'!$E:$IG, row_id,
                  MATCH(IF(selected_period="Total Year", selected_year, DATE(selected_year, selected_period, 1)), 'Budget Planning'!$E$12:$IG$12, 0)))</f>
        <v>3000</v>
      </c>
      <c r="M25" s="28" cm="1">
        <f t="array" ref="M25">IF(is_cat,
        IF(header_row_id=income_header_row, MATCH(income_min_row, $C:$C,0),
            IF(header_row_id=expenses_header_row, MATCH(expenses_min_row, $C:$C,0),
                IF(header_row_id=savings_header_row, MATCH(savings_min_row, $C:$C,0), ""))), "")</f>
        <v>21</v>
      </c>
      <c r="N25" s="29" cm="1">
        <f t="array" ref="N25">IF(is_cat,
        IF(header_row_id=income_header_row, MATCH(income_max_row, $C:$C,0),
            IF(header_row_id=expenses_header_row, MATCH(expenses_max_row, $C:$C,0),
                IF(header_row_id=savings_header_row, MATCH(savings_max_row, $C:$C,0), ""))), "")</f>
        <v>41</v>
      </c>
      <c r="O25" s="28" t="str">
        <f t="shared" si="3"/>
        <v>$K$21:$K$41</v>
      </c>
      <c r="P25">
        <f t="shared" ca="1" si="4"/>
        <v>2</v>
      </c>
      <c r="Q25" t="str">
        <f t="shared" si="5"/>
        <v>$L$21:$L$41</v>
      </c>
      <c r="R25" s="29">
        <f t="shared" ca="1" si="6"/>
        <v>3</v>
      </c>
      <c r="S25" s="28">
        <f t="shared" ca="1" si="7"/>
        <v>23</v>
      </c>
      <c r="T25" t="str">
        <f t="shared" si="8"/>
        <v>$S$21:$S$41</v>
      </c>
      <c r="U25">
        <f t="shared" ca="1" si="9"/>
        <v>2</v>
      </c>
      <c r="V25" t="str">
        <f t="shared" si="10"/>
        <v>$U$21:$U$25</v>
      </c>
      <c r="W25" s="29">
        <f t="shared" ca="1" si="11"/>
        <v>2</v>
      </c>
      <c r="X25" s="74">
        <f t="shared" ca="1" si="12"/>
        <v>28</v>
      </c>
      <c r="Y25" s="51" t="str">
        <f t="shared" ca="1" si="19"/>
        <v>Health Insurance</v>
      </c>
      <c r="Z25" s="78">
        <f t="shared" ca="1" si="20"/>
        <v>2506.75</v>
      </c>
      <c r="AA25" s="78">
        <f t="shared" ca="1" si="21"/>
        <v>2506.75</v>
      </c>
      <c r="AB25" s="76">
        <f t="shared" ca="1" si="22"/>
        <v>1</v>
      </c>
      <c r="AC25" s="78">
        <f t="shared" ca="1" si="23"/>
        <v>0</v>
      </c>
      <c r="AD25" s="78">
        <f t="shared" ca="1" si="24"/>
        <v>0</v>
      </c>
      <c r="AE25" s="48"/>
      <c r="AG25" t="s">
        <v>9</v>
      </c>
    </row>
    <row r="26" spans="3:44" x14ac:dyDescent="0.2">
      <c r="C26" s="28" cm="1">
        <f t="array" ref="C26">IF(C25=-1, -1,
   IF(C25&lt;income_max_row, C25+1,
      IF(C25=income_max_row, income_total_row,
          IF(C25=income_total_row, "/1",
              IF(C25="/1", expenses_header_row,
                 IF(C25&lt;expenses_max_row, C25+1,
                   IF(C25=expenses_max_row, expenses_total_row,
                      IF(C25=expenses_total_row, "/2",
                         IF(C25="/2", savings_header_row,
                             IF(C25&lt;savings_max_row, C25+1,
                                 IF(C25=savings_max_row, savings_total_row, -1)))))))))))</f>
        <v>32</v>
      </c>
      <c r="D26" s="29">
        <f t="shared" si="0"/>
        <v>26</v>
      </c>
      <c r="E26" s="28" cm="1">
        <f t="array" ref="E26">1*OR(row_id=income_header_row, row_id=expenses_header_row, row_id=savings_header_row)</f>
        <v>0</v>
      </c>
      <c r="F26">
        <f t="shared" si="1"/>
        <v>1</v>
      </c>
      <c r="G26" cm="1">
        <f t="array" ref="G26">1*OR(row_id=income_total_row, row_id=expenses_total_row, row_id=savings_total_row)</f>
        <v>0</v>
      </c>
      <c r="H26" s="29">
        <f t="shared" si="2"/>
        <v>0</v>
      </c>
      <c r="I26" s="28" t="str" cm="1">
        <f t="array" ref="I26">IFERROR(INDEX('Budget Planning'!$C:$C,header_row_id)," ")</f>
        <v>Expenses</v>
      </c>
      <c r="J26" t="str" cm="1">
        <f t="array" ref="J26">IFERROR(INDEX('Budget Planning'!$C:$C, row_id), " ")</f>
        <v>Train</v>
      </c>
      <c r="K26" s="68" cm="1">
        <f t="array" ref="K26">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791.40000000000077</v>
      </c>
      <c r="L26" s="69" cm="1">
        <f t="array" ref="L26">IF(OR(is_header, is_empty), "",
       INDEX('Budget Planning'!$E:$IG, row_id,
                  MATCH(IF(selected_period="Total Year", selected_year, DATE(selected_year, selected_period, 1)), 'Budget Planning'!$E$12:$IG$12, 0)))</f>
        <v>1300</v>
      </c>
      <c r="M26" s="28" cm="1">
        <f t="array" ref="M26">IF(is_cat,
        IF(header_row_id=income_header_row, MATCH(income_min_row, $C:$C,0),
            IF(header_row_id=expenses_header_row, MATCH(expenses_min_row, $C:$C,0),
                IF(header_row_id=savings_header_row, MATCH(savings_min_row, $C:$C,0), ""))), "")</f>
        <v>21</v>
      </c>
      <c r="N26" s="29" cm="1">
        <f t="array" ref="N26">IF(is_cat,
        IF(header_row_id=income_header_row, MATCH(income_max_row, $C:$C,0),
            IF(header_row_id=expenses_header_row, MATCH(expenses_max_row, $C:$C,0),
                IF(header_row_id=savings_header_row, MATCH(savings_max_row, $C:$C,0), ""))), "")</f>
        <v>41</v>
      </c>
      <c r="O26" s="28" t="str">
        <f t="shared" si="3"/>
        <v>$K$21:$K$41</v>
      </c>
      <c r="P26">
        <f t="shared" ca="1" si="4"/>
        <v>9</v>
      </c>
      <c r="Q26" t="str">
        <f t="shared" si="5"/>
        <v>$L$21:$L$41</v>
      </c>
      <c r="R26" s="29">
        <f t="shared" ca="1" si="6"/>
        <v>8</v>
      </c>
      <c r="S26" s="28">
        <f t="shared" ca="1" si="7"/>
        <v>98</v>
      </c>
      <c r="T26" t="str">
        <f t="shared" si="8"/>
        <v>$S$21:$S$41</v>
      </c>
      <c r="U26">
        <f t="shared" ca="1" si="9"/>
        <v>9</v>
      </c>
      <c r="V26" t="str">
        <f t="shared" si="10"/>
        <v>$U$21:$U$26</v>
      </c>
      <c r="W26" s="29">
        <f t="shared" ca="1" si="11"/>
        <v>9</v>
      </c>
      <c r="X26" s="74">
        <f t="shared" ca="1" si="12"/>
        <v>35</v>
      </c>
      <c r="Y26" s="51" t="str">
        <f t="shared" ca="1" si="19"/>
        <v>Home Furnitures</v>
      </c>
      <c r="Z26" s="78">
        <f t="shared" ca="1" si="20"/>
        <v>1509.6000000000001</v>
      </c>
      <c r="AA26" s="78">
        <f t="shared" ca="1" si="21"/>
        <v>1509.6</v>
      </c>
      <c r="AB26" s="76">
        <f t="shared" ca="1" si="22"/>
        <v>1.0000000000000002</v>
      </c>
      <c r="AC26" s="78">
        <f t="shared" ca="1" si="23"/>
        <v>0</v>
      </c>
      <c r="AD26" s="78">
        <f t="shared" ca="1" si="24"/>
        <v>2.2737367544323206E-13</v>
      </c>
      <c r="AE26" s="48"/>
      <c r="AF26" s="80"/>
      <c r="AG26" s="81"/>
      <c r="AH26" s="81"/>
      <c r="AI26" s="81"/>
      <c r="AJ26" s="81"/>
      <c r="AK26" s="82"/>
      <c r="AM26" s="80"/>
      <c r="AN26" s="81"/>
      <c r="AO26" s="81"/>
      <c r="AP26" s="81"/>
      <c r="AQ26" s="81"/>
      <c r="AR26" s="82"/>
    </row>
    <row r="27" spans="3:44" x14ac:dyDescent="0.2">
      <c r="C27" s="28" cm="1">
        <f t="array" ref="C27">IF(C26=-1, -1,
   IF(C26&lt;income_max_row, C26+1,
      IF(C26=income_max_row, income_total_row,
          IF(C26=income_total_row, "/1",
              IF(C26="/1", expenses_header_row,
                 IF(C26&lt;expenses_max_row, C26+1,
                   IF(C26=expenses_max_row, expenses_total_row,
                      IF(C26=expenses_total_row, "/2",
                         IF(C26="/2", savings_header_row,
                             IF(C26&lt;savings_max_row, C26+1,
                                 IF(C26=savings_max_row, savings_total_row, -1)))))))))))</f>
        <v>33</v>
      </c>
      <c r="D27" s="29">
        <f t="shared" si="0"/>
        <v>26</v>
      </c>
      <c r="E27" s="28" cm="1">
        <f t="array" ref="E27">1*OR(row_id=income_header_row, row_id=expenses_header_row, row_id=savings_header_row)</f>
        <v>0</v>
      </c>
      <c r="F27">
        <f t="shared" si="1"/>
        <v>1</v>
      </c>
      <c r="G27" cm="1">
        <f t="array" ref="G27">1*OR(row_id=income_total_row, row_id=expenses_total_row, row_id=savings_total_row)</f>
        <v>0</v>
      </c>
      <c r="H27" s="29">
        <f t="shared" si="2"/>
        <v>0</v>
      </c>
      <c r="I27" s="28" t="str" cm="1">
        <f t="array" ref="I27">IFERROR(INDEX('Budget Planning'!$C:$C,header_row_id)," ")</f>
        <v>Expenses</v>
      </c>
      <c r="J27" t="str" cm="1">
        <f t="array" ref="J27">IFERROR(INDEX('Budget Planning'!$C:$C, row_id), " ")</f>
        <v>Internet + Mobile</v>
      </c>
      <c r="K27" s="68" cm="1">
        <f t="array" ref="K27">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390.04999999999995</v>
      </c>
      <c r="L27" s="69" cm="1">
        <f t="array" ref="L27">IF(OR(is_header, is_empty), "",
       INDEX('Budget Planning'!$E:$IG, row_id,
                  MATCH(IF(selected_period="Total Year", selected_year, DATE(selected_year, selected_period, 1)), 'Budget Planning'!$E$12:$IG$12, 0)))</f>
        <v>400</v>
      </c>
      <c r="M27" s="28" cm="1">
        <f t="array" ref="M27">IF(is_cat,
        IF(header_row_id=income_header_row, MATCH(income_min_row, $C:$C,0),
            IF(header_row_id=expenses_header_row, MATCH(expenses_min_row, $C:$C,0),
                IF(header_row_id=savings_header_row, MATCH(savings_min_row, $C:$C,0), ""))), "")</f>
        <v>21</v>
      </c>
      <c r="N27" s="29" cm="1">
        <f t="array" ref="N27">IF(is_cat,
        IF(header_row_id=income_header_row, MATCH(income_max_row, $C:$C,0),
            IF(header_row_id=expenses_header_row, MATCH(expenses_max_row, $C:$C,0),
                IF(header_row_id=savings_header_row, MATCH(savings_max_row, $C:$C,0), ""))), "")</f>
        <v>41</v>
      </c>
      <c r="O27" s="28" t="str">
        <f t="shared" si="3"/>
        <v>$K$21:$K$41</v>
      </c>
      <c r="P27">
        <f t="shared" ca="1" si="4"/>
        <v>13</v>
      </c>
      <c r="Q27" t="str">
        <f t="shared" si="5"/>
        <v>$L$21:$L$41</v>
      </c>
      <c r="R27" s="29">
        <f t="shared" ca="1" si="6"/>
        <v>16</v>
      </c>
      <c r="S27" s="28">
        <f t="shared" ca="1" si="7"/>
        <v>1316</v>
      </c>
      <c r="T27" t="str">
        <f t="shared" si="8"/>
        <v>$S$21:$S$41</v>
      </c>
      <c r="U27">
        <f t="shared" ca="1" si="9"/>
        <v>14</v>
      </c>
      <c r="V27" t="str">
        <f t="shared" si="10"/>
        <v>$U$21:$U$27</v>
      </c>
      <c r="W27" s="29">
        <f t="shared" ca="1" si="11"/>
        <v>14</v>
      </c>
      <c r="X27" s="74">
        <f t="shared" ca="1" si="12"/>
        <v>40</v>
      </c>
      <c r="Y27" s="51" t="str">
        <f t="shared" ca="1" si="19"/>
        <v>Groceries</v>
      </c>
      <c r="Z27" s="78">
        <f t="shared" ca="1" si="20"/>
        <v>1326.2600000000004</v>
      </c>
      <c r="AA27" s="78">
        <f t="shared" ca="1" si="21"/>
        <v>2500</v>
      </c>
      <c r="AB27" s="76">
        <f t="shared" ca="1" si="22"/>
        <v>0.5305040000000002</v>
      </c>
      <c r="AC27" s="78">
        <f t="shared" ca="1" si="23"/>
        <v>1173.7399999999996</v>
      </c>
      <c r="AD27" s="78">
        <f t="shared" ca="1" si="24"/>
        <v>0</v>
      </c>
      <c r="AE27" s="48"/>
      <c r="AF27" s="28"/>
      <c r="AK27" s="29"/>
      <c r="AM27" s="28"/>
      <c r="AR27" s="29"/>
    </row>
    <row r="28" spans="3:44" x14ac:dyDescent="0.2">
      <c r="C28" s="28" cm="1">
        <f t="array" ref="C28">IF(C27=-1, -1,
   IF(C27&lt;income_max_row, C27+1,
      IF(C27=income_max_row, income_total_row,
          IF(C27=income_total_row, "/1",
              IF(C27="/1", expenses_header_row,
                 IF(C27&lt;expenses_max_row, C27+1,
                   IF(C27=expenses_max_row, expenses_total_row,
                      IF(C27=expenses_total_row, "/2",
                         IF(C27="/2", savings_header_row,
                             IF(C27&lt;savings_max_row, C27+1,
                                 IF(C27=savings_max_row, savings_total_row, -1)))))))))))</f>
        <v>34</v>
      </c>
      <c r="D28" s="29">
        <f t="shared" si="0"/>
        <v>26</v>
      </c>
      <c r="E28" s="28" cm="1">
        <f t="array" ref="E28">1*OR(row_id=income_header_row, row_id=expenses_header_row, row_id=savings_header_row)</f>
        <v>0</v>
      </c>
      <c r="F28">
        <f t="shared" si="1"/>
        <v>1</v>
      </c>
      <c r="G28" cm="1">
        <f t="array" ref="G28">1*OR(row_id=income_total_row, row_id=expenses_total_row, row_id=savings_total_row)</f>
        <v>0</v>
      </c>
      <c r="H28" s="29">
        <f t="shared" si="2"/>
        <v>0</v>
      </c>
      <c r="I28" s="28" t="str" cm="1">
        <f t="array" ref="I28">IFERROR(INDEX('Budget Planning'!$C:$C,header_row_id)," ")</f>
        <v>Expenses</v>
      </c>
      <c r="J28" t="str" cm="1">
        <f t="array" ref="J28">IFERROR(INDEX('Budget Planning'!$C:$C, row_id), " ")</f>
        <v>Car</v>
      </c>
      <c r="K28" s="68" cm="1">
        <f t="array" ref="K28">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242.22000000000003</v>
      </c>
      <c r="L28" s="69" cm="1">
        <f t="array" ref="L28">IF(OR(is_header, is_empty), "",
       INDEX('Budget Planning'!$E:$IG, row_id,
                  MATCH(IF(selected_period="Total Year", selected_year, DATE(selected_year, selected_period, 1)), 'Budget Planning'!$E$12:$IG$12, 0)))</f>
        <v>250</v>
      </c>
      <c r="M28" s="28" cm="1">
        <f t="array" ref="M28">IF(is_cat,
        IF(header_row_id=income_header_row, MATCH(income_min_row, $C:$C,0),
            IF(header_row_id=expenses_header_row, MATCH(expenses_min_row, $C:$C,0),
                IF(header_row_id=savings_header_row, MATCH(savings_min_row, $C:$C,0), ""))), "")</f>
        <v>21</v>
      </c>
      <c r="N28" s="29" cm="1">
        <f t="array" ref="N28">IF(is_cat,
        IF(header_row_id=income_header_row, MATCH(income_max_row, $C:$C,0),
            IF(header_row_id=expenses_header_row, MATCH(expenses_max_row, $C:$C,0),
                IF(header_row_id=savings_header_row, MATCH(savings_max_row, $C:$C,0), ""))), "")</f>
        <v>41</v>
      </c>
      <c r="O28" s="28" t="str">
        <f t="shared" si="3"/>
        <v>$K$21:$K$41</v>
      </c>
      <c r="P28">
        <f t="shared" ca="1" si="4"/>
        <v>16</v>
      </c>
      <c r="Q28" t="str">
        <f t="shared" si="5"/>
        <v>$L$21:$L$41</v>
      </c>
      <c r="R28" s="29">
        <f t="shared" ca="1" si="6"/>
        <v>17</v>
      </c>
      <c r="S28" s="28">
        <f t="shared" ca="1" si="7"/>
        <v>1617</v>
      </c>
      <c r="T28" t="str">
        <f t="shared" si="8"/>
        <v>$S$21:$S$41</v>
      </c>
      <c r="U28">
        <f t="shared" ca="1" si="9"/>
        <v>16</v>
      </c>
      <c r="V28" t="str">
        <f t="shared" si="10"/>
        <v>$U$21:$U$28</v>
      </c>
      <c r="W28" s="29">
        <f t="shared" ca="1" si="11"/>
        <v>16</v>
      </c>
      <c r="X28" s="74">
        <f t="shared" ca="1" si="12"/>
        <v>42</v>
      </c>
      <c r="Y28" s="51" t="str">
        <f t="shared" ca="1" si="19"/>
        <v>Extras</v>
      </c>
      <c r="Z28" s="78">
        <f t="shared" ca="1" si="20"/>
        <v>858.90000000000009</v>
      </c>
      <c r="AA28" s="78">
        <f t="shared" ca="1" si="21"/>
        <v>1000</v>
      </c>
      <c r="AB28" s="76">
        <f t="shared" ca="1" si="22"/>
        <v>0.85890000000000011</v>
      </c>
      <c r="AC28" s="78">
        <f t="shared" ca="1" si="23"/>
        <v>141.09999999999991</v>
      </c>
      <c r="AD28" s="78">
        <f t="shared" ca="1" si="24"/>
        <v>0</v>
      </c>
      <c r="AE28" s="48"/>
      <c r="AF28" s="28"/>
      <c r="AK28" s="29"/>
      <c r="AM28" s="28"/>
      <c r="AR28" s="29"/>
    </row>
    <row r="29" spans="3:44" x14ac:dyDescent="0.2">
      <c r="C29" s="28" cm="1">
        <f t="array" ref="C29">IF(C28=-1, -1,
   IF(C28&lt;income_max_row, C28+1,
      IF(C28=income_max_row, income_total_row,
          IF(C28=income_total_row, "/1",
              IF(C28="/1", expenses_header_row,
                 IF(C28&lt;expenses_max_row, C28+1,
                   IF(C28=expenses_max_row, expenses_total_row,
                      IF(C28=expenses_total_row, "/2",
                         IF(C28="/2", savings_header_row,
                             IF(C28&lt;savings_max_row, C28+1,
                                 IF(C28=savings_max_row, savings_total_row, -1)))))))))))</f>
        <v>35</v>
      </c>
      <c r="D29" s="29">
        <f t="shared" si="0"/>
        <v>26</v>
      </c>
      <c r="E29" s="28" cm="1">
        <f t="array" ref="E29">1*OR(row_id=income_header_row, row_id=expenses_header_row, row_id=savings_header_row)</f>
        <v>0</v>
      </c>
      <c r="F29">
        <f t="shared" si="1"/>
        <v>1</v>
      </c>
      <c r="G29" cm="1">
        <f t="array" ref="G29">1*OR(row_id=income_total_row, row_id=expenses_total_row, row_id=savings_total_row)</f>
        <v>0</v>
      </c>
      <c r="H29" s="29">
        <f t="shared" si="2"/>
        <v>0</v>
      </c>
      <c r="I29" s="28" t="str" cm="1">
        <f t="array" ref="I29">IFERROR(INDEX('Budget Planning'!$C:$C,header_row_id)," ")</f>
        <v>Expenses</v>
      </c>
      <c r="J29" t="str" cm="1">
        <f t="array" ref="J29">IFERROR(INDEX('Budget Planning'!$C:$C, row_id), " ")</f>
        <v>Health Insurance</v>
      </c>
      <c r="K29" s="68" cm="1">
        <f t="array" ref="K29">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2506.75</v>
      </c>
      <c r="L29" s="69" cm="1">
        <f t="array" ref="L29">IF(OR(is_header, is_empty), "",
       INDEX('Budget Planning'!$E:$IG, row_id,
                  MATCH(IF(selected_period="Total Year", selected_year, DATE(selected_year, selected_period, 1)), 'Budget Planning'!$E$12:$IG$12, 0)))</f>
        <v>2506.75</v>
      </c>
      <c r="M29" s="28" cm="1">
        <f t="array" ref="M29">IF(is_cat,
        IF(header_row_id=income_header_row, MATCH(income_min_row, $C:$C,0),
            IF(header_row_id=expenses_header_row, MATCH(expenses_min_row, $C:$C,0),
                IF(header_row_id=savings_header_row, MATCH(savings_min_row, $C:$C,0), ""))), "")</f>
        <v>21</v>
      </c>
      <c r="N29" s="29" cm="1">
        <f t="array" ref="N29">IF(is_cat,
        IF(header_row_id=income_header_row, MATCH(income_max_row, $C:$C,0),
            IF(header_row_id=expenses_header_row, MATCH(expenses_max_row, $C:$C,0),
                IF(header_row_id=savings_header_row, MATCH(savings_max_row, $C:$C,0), ""))), "")</f>
        <v>41</v>
      </c>
      <c r="O29" s="28" t="str">
        <f t="shared" si="3"/>
        <v>$K$21:$K$41</v>
      </c>
      <c r="P29">
        <f t="shared" ca="1" si="4"/>
        <v>5</v>
      </c>
      <c r="Q29" t="str">
        <f t="shared" si="5"/>
        <v>$L$21:$L$41</v>
      </c>
      <c r="R29" s="29">
        <f t="shared" ca="1" si="6"/>
        <v>4</v>
      </c>
      <c r="S29" s="28">
        <f t="shared" ca="1" si="7"/>
        <v>54</v>
      </c>
      <c r="T29" t="str">
        <f t="shared" si="8"/>
        <v>$S$21:$S$41</v>
      </c>
      <c r="U29">
        <f t="shared" ca="1" si="9"/>
        <v>5</v>
      </c>
      <c r="V29" t="str">
        <f t="shared" si="10"/>
        <v>$U$21:$U$29</v>
      </c>
      <c r="W29" s="29">
        <f t="shared" ca="1" si="11"/>
        <v>5</v>
      </c>
      <c r="X29" s="74">
        <f t="shared" ca="1" si="12"/>
        <v>31</v>
      </c>
      <c r="Y29" s="51" t="str">
        <f t="shared" ca="1" si="19"/>
        <v>Train</v>
      </c>
      <c r="Z29" s="78">
        <f t="shared" ca="1" si="20"/>
        <v>791.40000000000077</v>
      </c>
      <c r="AA29" s="78">
        <f t="shared" ca="1" si="21"/>
        <v>1300</v>
      </c>
      <c r="AB29" s="76">
        <f t="shared" ca="1" si="22"/>
        <v>0.6087692307692314</v>
      </c>
      <c r="AC29" s="78">
        <f t="shared" ca="1" si="23"/>
        <v>508.59999999999923</v>
      </c>
      <c r="AD29" s="78">
        <f t="shared" ca="1" si="24"/>
        <v>0</v>
      </c>
      <c r="AE29" s="48"/>
      <c r="AF29" s="28"/>
      <c r="AH29" t="s">
        <v>9</v>
      </c>
      <c r="AI29" s="91" t="str">
        <f ca="1">Calculations!I35</f>
        <v>Housing</v>
      </c>
      <c r="AJ29" s="92">
        <f ca="1">Calculations!J35</f>
        <v>9148</v>
      </c>
      <c r="AK29" s="29"/>
      <c r="AM29" s="28"/>
      <c r="AO29" t="s">
        <v>9</v>
      </c>
      <c r="AP29" s="91" t="str">
        <f ca="1">Calculations!M35</f>
        <v>Rent Guarantee</v>
      </c>
      <c r="AQ29" s="92">
        <f ca="1">Calculations!N35</f>
        <v>6240</v>
      </c>
      <c r="AR29" s="29"/>
    </row>
    <row r="30" spans="3:44" x14ac:dyDescent="0.2">
      <c r="C30" s="28" cm="1">
        <f t="array" ref="C30">IF(C29=-1, -1,
   IF(C29&lt;income_max_row, C29+1,
      IF(C29=income_max_row, income_total_row,
          IF(C29=income_total_row, "/1",
              IF(C29="/1", expenses_header_row,
                 IF(C29&lt;expenses_max_row, C29+1,
                   IF(C29=expenses_max_row, expenses_total_row,
                      IF(C29=expenses_total_row, "/2",
                         IF(C29="/2", savings_header_row,
                             IF(C29&lt;savings_max_row, C29+1,
                                 IF(C29=savings_max_row, savings_total_row, -1)))))))))))</f>
        <v>36</v>
      </c>
      <c r="D30" s="29">
        <f t="shared" si="0"/>
        <v>26</v>
      </c>
      <c r="E30" s="28" cm="1">
        <f t="array" ref="E30">1*OR(row_id=income_header_row, row_id=expenses_header_row, row_id=savings_header_row)</f>
        <v>0</v>
      </c>
      <c r="F30">
        <f t="shared" si="1"/>
        <v>1</v>
      </c>
      <c r="G30" cm="1">
        <f t="array" ref="G30">1*OR(row_id=income_total_row, row_id=expenses_total_row, row_id=savings_total_row)</f>
        <v>0</v>
      </c>
      <c r="H30" s="29">
        <f t="shared" si="2"/>
        <v>0</v>
      </c>
      <c r="I30" s="28" t="str" cm="1">
        <f t="array" ref="I30">IFERROR(INDEX('Budget Planning'!$C:$C,header_row_id)," ")</f>
        <v>Expenses</v>
      </c>
      <c r="J30" t="str" cm="1">
        <f t="array" ref="J30">IFERROR(INDEX('Budget Planning'!$C:$C, row_id), " ")</f>
        <v>Health Other</v>
      </c>
      <c r="K30" s="68" cm="1">
        <f t="array" ref="K30">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138.1</v>
      </c>
      <c r="L30" s="69" cm="1">
        <f t="array" ref="L30">IF(OR(is_header, is_empty), "",
       INDEX('Budget Planning'!$E:$IG, row_id,
                  MATCH(IF(selected_period="Total Year", selected_year, DATE(selected_year, selected_period, 1)), 'Budget Planning'!$E$12:$IG$12, 0)))</f>
        <v>500</v>
      </c>
      <c r="M30" s="28" cm="1">
        <f t="array" ref="M30">IF(is_cat,
        IF(header_row_id=income_header_row, MATCH(income_min_row, $C:$C,0),
            IF(header_row_id=expenses_header_row, MATCH(expenses_min_row, $C:$C,0),
                IF(header_row_id=savings_header_row, MATCH(savings_min_row, $C:$C,0), ""))), "")</f>
        <v>21</v>
      </c>
      <c r="N30" s="29" cm="1">
        <f t="array" ref="N30">IF(is_cat,
        IF(header_row_id=income_header_row, MATCH(income_max_row, $C:$C,0),
            IF(header_row_id=expenses_header_row, MATCH(expenses_max_row, $C:$C,0),
                IF(header_row_id=savings_header_row, MATCH(savings_max_row, $C:$C,0), ""))), "")</f>
        <v>41</v>
      </c>
      <c r="O30" s="28" t="str">
        <f t="shared" si="3"/>
        <v>$K$21:$K$41</v>
      </c>
      <c r="P30">
        <f t="shared" ca="1" si="4"/>
        <v>18</v>
      </c>
      <c r="Q30" t="str">
        <f t="shared" si="5"/>
        <v>$L$21:$L$41</v>
      </c>
      <c r="R30" s="29">
        <f t="shared" ca="1" si="6"/>
        <v>13</v>
      </c>
      <c r="S30" s="28">
        <f t="shared" ca="1" si="7"/>
        <v>1813</v>
      </c>
      <c r="T30" t="str">
        <f t="shared" si="8"/>
        <v>$S$21:$S$41</v>
      </c>
      <c r="U30">
        <f t="shared" ca="1" si="9"/>
        <v>18</v>
      </c>
      <c r="V30" t="str">
        <f t="shared" si="10"/>
        <v>$U$21:$U$30</v>
      </c>
      <c r="W30" s="29">
        <f t="shared" ca="1" si="11"/>
        <v>18</v>
      </c>
      <c r="X30" s="74">
        <f t="shared" ca="1" si="12"/>
        <v>44</v>
      </c>
      <c r="Y30" s="51" t="str">
        <f t="shared" ca="1" si="19"/>
        <v>Digital Goods</v>
      </c>
      <c r="Z30" s="78">
        <f t="shared" ca="1" si="20"/>
        <v>483.79</v>
      </c>
      <c r="AA30" s="78">
        <f t="shared" ca="1" si="21"/>
        <v>1000</v>
      </c>
      <c r="AB30" s="76">
        <f t="shared" ca="1" si="22"/>
        <v>0.48379</v>
      </c>
      <c r="AC30" s="78">
        <f t="shared" ca="1" si="23"/>
        <v>516.21</v>
      </c>
      <c r="AD30" s="78">
        <f t="shared" ca="1" si="24"/>
        <v>0</v>
      </c>
      <c r="AE30" s="48"/>
      <c r="AF30" s="28"/>
      <c r="AI30" s="91" t="str">
        <f ca="1">Calculations!I36</f>
        <v>Restaurants</v>
      </c>
      <c r="AJ30" s="92">
        <f ca="1">Calculations!J36</f>
        <v>3150.130000000001</v>
      </c>
      <c r="AK30" s="29"/>
      <c r="AM30" s="28"/>
      <c r="AP30" s="91" t="str">
        <f ca="1">Calculations!M36</f>
        <v/>
      </c>
      <c r="AQ30" s="92" t="str">
        <f ca="1">Calculations!N36</f>
        <v/>
      </c>
      <c r="AR30" s="29"/>
    </row>
    <row r="31" spans="3:44" x14ac:dyDescent="0.2">
      <c r="C31" s="28" cm="1">
        <f t="array" ref="C31">IF(C30=-1, -1,
   IF(C30&lt;income_max_row, C30+1,
      IF(C30=income_max_row, income_total_row,
          IF(C30=income_total_row, "/1",
              IF(C30="/1", expenses_header_row,
                 IF(C30&lt;expenses_max_row, C30+1,
                   IF(C30=expenses_max_row, expenses_total_row,
                      IF(C30=expenses_total_row, "/2",
                         IF(C30="/2", savings_header_row,
                             IF(C30&lt;savings_max_row, C30+1,
                                 IF(C30=savings_max_row, savings_total_row, -1)))))))))))</f>
        <v>37</v>
      </c>
      <c r="D31" s="29">
        <f t="shared" si="0"/>
        <v>26</v>
      </c>
      <c r="E31" s="28" cm="1">
        <f t="array" ref="E31">1*OR(row_id=income_header_row, row_id=expenses_header_row, row_id=savings_header_row)</f>
        <v>0</v>
      </c>
      <c r="F31">
        <f t="shared" si="1"/>
        <v>1</v>
      </c>
      <c r="G31" cm="1">
        <f t="array" ref="G31">1*OR(row_id=income_total_row, row_id=expenses_total_row, row_id=savings_total_row)</f>
        <v>0</v>
      </c>
      <c r="H31" s="29">
        <f t="shared" si="2"/>
        <v>0</v>
      </c>
      <c r="I31" s="28" t="str" cm="1">
        <f t="array" ref="I31">IFERROR(INDEX('Budget Planning'!$C:$C,header_row_id)," ")</f>
        <v>Expenses</v>
      </c>
      <c r="J31" t="str" cm="1">
        <f t="array" ref="J31">IFERROR(INDEX('Budget Planning'!$C:$C, row_id), " ")</f>
        <v>Clothing</v>
      </c>
      <c r="K31" s="68" cm="1">
        <f t="array" ref="K31">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319.99</v>
      </c>
      <c r="L31" s="69" cm="1">
        <f t="array" ref="L31">IF(OR(is_header, is_empty), "",
       INDEX('Budget Planning'!$E:$IG, row_id,
                  MATCH(IF(selected_period="Total Year", selected_year, DATE(selected_year, selected_period, 1)), 'Budget Planning'!$E$12:$IG$12, 0)))</f>
        <v>500</v>
      </c>
      <c r="M31" s="28" cm="1">
        <f t="array" ref="M31">IF(is_cat,
        IF(header_row_id=income_header_row, MATCH(income_min_row, $C:$C,0),
            IF(header_row_id=expenses_header_row, MATCH(expenses_min_row, $C:$C,0),
                IF(header_row_id=savings_header_row, MATCH(savings_min_row, $C:$C,0), ""))), "")</f>
        <v>21</v>
      </c>
      <c r="N31" s="29" cm="1">
        <f t="array" ref="N31">IF(is_cat,
        IF(header_row_id=income_header_row, MATCH(income_max_row, $C:$C,0),
            IF(header_row_id=expenses_header_row, MATCH(expenses_max_row, $C:$C,0),
                IF(header_row_id=savings_header_row, MATCH(savings_max_row, $C:$C,0), ""))), "")</f>
        <v>41</v>
      </c>
      <c r="O31" s="28" t="str">
        <f t="shared" si="3"/>
        <v>$K$21:$K$41</v>
      </c>
      <c r="P31">
        <f t="shared" ca="1" si="4"/>
        <v>15</v>
      </c>
      <c r="Q31" t="str">
        <f t="shared" si="5"/>
        <v>$L$21:$L$41</v>
      </c>
      <c r="R31" s="29">
        <f t="shared" ca="1" si="6"/>
        <v>13</v>
      </c>
      <c r="S31" s="28">
        <f t="shared" ca="1" si="7"/>
        <v>1513</v>
      </c>
      <c r="T31" t="str">
        <f t="shared" si="8"/>
        <v>$S$21:$S$41</v>
      </c>
      <c r="U31">
        <f t="shared" ca="1" si="9"/>
        <v>15</v>
      </c>
      <c r="V31" t="str">
        <f t="shared" si="10"/>
        <v>$U$21:$U$31</v>
      </c>
      <c r="W31" s="29">
        <f t="shared" ca="1" si="11"/>
        <v>15</v>
      </c>
      <c r="X31" s="74">
        <f t="shared" ca="1" si="12"/>
        <v>41</v>
      </c>
      <c r="Y31" s="51" t="str">
        <f t="shared" ca="1" si="19"/>
        <v>Wellbeing</v>
      </c>
      <c r="Z31" s="78">
        <f t="shared" ca="1" si="20"/>
        <v>358.79999999999995</v>
      </c>
      <c r="AA31" s="78">
        <f t="shared" ca="1" si="21"/>
        <v>1000</v>
      </c>
      <c r="AB31" s="76">
        <f t="shared" ca="1" si="22"/>
        <v>0.35879999999999995</v>
      </c>
      <c r="AC31" s="78">
        <f t="shared" ca="1" si="23"/>
        <v>641.20000000000005</v>
      </c>
      <c r="AD31" s="78">
        <f t="shared" ca="1" si="24"/>
        <v>0</v>
      </c>
      <c r="AE31" s="48"/>
      <c r="AF31" s="28"/>
      <c r="AI31" s="91" t="str">
        <f ca="1">Calculations!I37</f>
        <v>Debt</v>
      </c>
      <c r="AJ31" s="92">
        <f ca="1">Calculations!J37</f>
        <v>2756.8500000000004</v>
      </c>
      <c r="AK31" s="29"/>
      <c r="AM31" s="28"/>
      <c r="AP31" s="91" t="str">
        <f ca="1">Calculations!M37</f>
        <v/>
      </c>
      <c r="AQ31" s="92" t="str">
        <f ca="1">Calculations!N37</f>
        <v/>
      </c>
      <c r="AR31" s="29"/>
    </row>
    <row r="32" spans="3:44" x14ac:dyDescent="0.2">
      <c r="C32" s="28" cm="1">
        <f t="array" ref="C32">IF(C31=-1, -1,
   IF(C31&lt;income_max_row, C31+1,
      IF(C31=income_max_row, income_total_row,
          IF(C31=income_total_row, "/1",
              IF(C31="/1", expenses_header_row,
                 IF(C31&lt;expenses_max_row, C31+1,
                   IF(C31=expenses_max_row, expenses_total_row,
                      IF(C31=expenses_total_row, "/2",
                         IF(C31="/2", savings_header_row,
                             IF(C31&lt;savings_max_row, C31+1,
                                 IF(C31=savings_max_row, savings_total_row, -1)))))))))))</f>
        <v>38</v>
      </c>
      <c r="D32" s="29">
        <f t="shared" si="0"/>
        <v>26</v>
      </c>
      <c r="E32" s="28" cm="1">
        <f t="array" ref="E32">1*OR(row_id=income_header_row, row_id=expenses_header_row, row_id=savings_header_row)</f>
        <v>0</v>
      </c>
      <c r="F32">
        <f t="shared" si="1"/>
        <v>1</v>
      </c>
      <c r="G32" cm="1">
        <f t="array" ref="G32">1*OR(row_id=income_total_row, row_id=expenses_total_row, row_id=savings_total_row)</f>
        <v>0</v>
      </c>
      <c r="H32" s="29">
        <f t="shared" si="2"/>
        <v>0</v>
      </c>
      <c r="I32" s="28" t="str" cm="1">
        <f t="array" ref="I32">IFERROR(INDEX('Budget Planning'!$C:$C,header_row_id)," ")</f>
        <v>Expenses</v>
      </c>
      <c r="J32" t="str" cm="1">
        <f t="array" ref="J32">IFERROR(INDEX('Budget Planning'!$C:$C, row_id), " ")</f>
        <v>Media</v>
      </c>
      <c r="K32" s="68" cm="1">
        <f t="array" ref="K32">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0</v>
      </c>
      <c r="L32" s="69" cm="1">
        <f t="array" ref="L32">IF(OR(is_header, is_empty), "",
       INDEX('Budget Planning'!$E:$IG, row_id,
                  MATCH(IF(selected_period="Total Year", selected_year, DATE(selected_year, selected_period, 1)), 'Budget Planning'!$E$12:$IG$12, 0)))</f>
        <v>0</v>
      </c>
      <c r="M32" s="28" cm="1">
        <f t="array" ref="M32">IF(is_cat,
        IF(header_row_id=income_header_row, MATCH(income_min_row, $C:$C,0),
            IF(header_row_id=expenses_header_row, MATCH(expenses_min_row, $C:$C,0),
                IF(header_row_id=savings_header_row, MATCH(savings_min_row, $C:$C,0), ""))), "")</f>
        <v>21</v>
      </c>
      <c r="N32" s="29" cm="1">
        <f t="array" ref="N32">IF(is_cat,
        IF(header_row_id=income_header_row, MATCH(income_max_row, $C:$C,0),
            IF(header_row_id=expenses_header_row, MATCH(expenses_max_row, $C:$C,0),
                IF(header_row_id=savings_header_row, MATCH(savings_max_row, $C:$C,0), ""))), "")</f>
        <v>41</v>
      </c>
      <c r="O32" s="28" t="str">
        <f t="shared" si="3"/>
        <v>$K$21:$K$41</v>
      </c>
      <c r="P32">
        <f t="shared" ca="1" si="4"/>
        <v>20</v>
      </c>
      <c r="Q32" t="str">
        <f t="shared" si="5"/>
        <v>$L$21:$L$41</v>
      </c>
      <c r="R32" s="29">
        <f t="shared" ca="1" si="6"/>
        <v>21</v>
      </c>
      <c r="S32" s="28">
        <f t="shared" ca="1" si="7"/>
        <v>2021</v>
      </c>
      <c r="T32" t="str">
        <f t="shared" si="8"/>
        <v>$S$21:$S$41</v>
      </c>
      <c r="U32">
        <f t="shared" ca="1" si="9"/>
        <v>21</v>
      </c>
      <c r="V32" t="str">
        <f t="shared" si="10"/>
        <v>$U$21:$U$32</v>
      </c>
      <c r="W32" s="29">
        <f t="shared" ca="1" si="11"/>
        <v>21</v>
      </c>
      <c r="X32" s="74">
        <f t="shared" ca="1" si="12"/>
        <v>47</v>
      </c>
      <c r="Y32" s="51" t="str">
        <f t="shared" ca="1" si="19"/>
        <v>Home Utils</v>
      </c>
      <c r="Z32" s="78">
        <f t="shared" ca="1" si="20"/>
        <v>655.35</v>
      </c>
      <c r="AA32" s="78">
        <f t="shared" ca="1" si="21"/>
        <v>175</v>
      </c>
      <c r="AB32" s="76">
        <f t="shared" ca="1" si="22"/>
        <v>3.7448571428571431</v>
      </c>
      <c r="AC32" s="78">
        <f t="shared" ca="1" si="23"/>
        <v>0</v>
      </c>
      <c r="AD32" s="78">
        <f t="shared" ca="1" si="24"/>
        <v>480.35</v>
      </c>
      <c r="AE32" s="48"/>
      <c r="AF32" s="28"/>
      <c r="AI32" s="91" t="str">
        <f ca="1">Calculations!I38</f>
        <v>Travel</v>
      </c>
      <c r="AJ32" s="92">
        <f ca="1">Calculations!J38</f>
        <v>2751.55</v>
      </c>
      <c r="AK32" s="29"/>
      <c r="AM32" s="28"/>
      <c r="AP32" s="91" t="str">
        <f ca="1">Calculations!M38</f>
        <v/>
      </c>
      <c r="AQ32" s="92" t="str">
        <f ca="1">Calculations!N38</f>
        <v/>
      </c>
      <c r="AR32" s="29"/>
    </row>
    <row r="33" spans="3:44" x14ac:dyDescent="0.2">
      <c r="C33" s="28" cm="1">
        <f t="array" ref="C33">IF(C32=-1, -1,
   IF(C32&lt;income_max_row, C32+1,
      IF(C32=income_max_row, income_total_row,
          IF(C32=income_total_row, "/1",
              IF(C32="/1", expenses_header_row,
                 IF(C32&lt;expenses_max_row, C32+1,
                   IF(C32=expenses_max_row, expenses_total_row,
                      IF(C32=expenses_total_row, "/2",
                         IF(C32="/2", savings_header_row,
                             IF(C32&lt;savings_max_row, C32+1,
                                 IF(C32=savings_max_row, savings_total_row, -1)))))))))))</f>
        <v>39</v>
      </c>
      <c r="D33" s="29">
        <f t="shared" si="0"/>
        <v>26</v>
      </c>
      <c r="E33" s="28" cm="1">
        <f t="array" ref="E33">1*OR(row_id=income_header_row, row_id=expenses_header_row, row_id=savings_header_row)</f>
        <v>0</v>
      </c>
      <c r="F33">
        <f t="shared" si="1"/>
        <v>1</v>
      </c>
      <c r="G33" cm="1">
        <f t="array" ref="G33">1*OR(row_id=income_total_row, row_id=expenses_total_row, row_id=savings_total_row)</f>
        <v>0</v>
      </c>
      <c r="H33" s="29">
        <f t="shared" si="2"/>
        <v>0</v>
      </c>
      <c r="I33" s="28" t="str" cm="1">
        <f t="array" ref="I33">IFERROR(INDEX('Budget Planning'!$C:$C,header_row_id)," ")</f>
        <v>Expenses</v>
      </c>
      <c r="J33" t="str" cm="1">
        <f t="array" ref="J33">IFERROR(INDEX('Budget Planning'!$C:$C, row_id), " ")</f>
        <v>Extras</v>
      </c>
      <c r="K33" s="68" cm="1">
        <f t="array" ref="K33">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858.90000000000009</v>
      </c>
      <c r="L33" s="69" cm="1">
        <f t="array" ref="L33">IF(OR(is_header, is_empty), "",
       INDEX('Budget Planning'!$E:$IG, row_id,
                  MATCH(IF(selected_period="Total Year", selected_year, DATE(selected_year, selected_period, 1)), 'Budget Planning'!$E$12:$IG$12, 0)))</f>
        <v>1000</v>
      </c>
      <c r="M33" s="28" cm="1">
        <f t="array" ref="M33">IF(is_cat,
        IF(header_row_id=income_header_row, MATCH(income_min_row, $C:$C,0),
            IF(header_row_id=expenses_header_row, MATCH(expenses_min_row, $C:$C,0),
                IF(header_row_id=savings_header_row, MATCH(savings_min_row, $C:$C,0), ""))), "")</f>
        <v>21</v>
      </c>
      <c r="N33" s="29" cm="1">
        <f t="array" ref="N33">IF(is_cat,
        IF(header_row_id=income_header_row, MATCH(income_max_row, $C:$C,0),
            IF(header_row_id=expenses_header_row, MATCH(expenses_max_row, $C:$C,0),
                IF(header_row_id=savings_header_row, MATCH(savings_max_row, $C:$C,0), ""))), "")</f>
        <v>41</v>
      </c>
      <c r="O33" s="28" t="str">
        <f t="shared" si="3"/>
        <v>$K$21:$K$41</v>
      </c>
      <c r="P33">
        <f t="shared" ca="1" si="4"/>
        <v>8</v>
      </c>
      <c r="Q33" t="str">
        <f t="shared" si="5"/>
        <v>$L$21:$L$41</v>
      </c>
      <c r="R33" s="29">
        <f t="shared" ca="1" si="6"/>
        <v>9</v>
      </c>
      <c r="S33" s="28">
        <f t="shared" ca="1" si="7"/>
        <v>89</v>
      </c>
      <c r="T33" t="str">
        <f t="shared" si="8"/>
        <v>$S$21:$S$41</v>
      </c>
      <c r="U33">
        <f t="shared" ca="1" si="9"/>
        <v>8</v>
      </c>
      <c r="V33" t="str">
        <f t="shared" si="10"/>
        <v>$U$21:$U$33</v>
      </c>
      <c r="W33" s="29">
        <f t="shared" ca="1" si="11"/>
        <v>8</v>
      </c>
      <c r="X33" s="74">
        <f t="shared" ca="1" si="12"/>
        <v>34</v>
      </c>
      <c r="Y33" s="51" t="str">
        <f t="shared" ca="1" si="19"/>
        <v>Sport</v>
      </c>
      <c r="Z33" s="78">
        <f t="shared" ca="1" si="20"/>
        <v>488.36</v>
      </c>
      <c r="AA33" s="78">
        <f t="shared" ca="1" si="21"/>
        <v>500</v>
      </c>
      <c r="AB33" s="76">
        <f t="shared" ca="1" si="22"/>
        <v>0.97672000000000003</v>
      </c>
      <c r="AC33" s="78">
        <f t="shared" ca="1" si="23"/>
        <v>11.639999999999986</v>
      </c>
      <c r="AD33" s="78">
        <f t="shared" ca="1" si="24"/>
        <v>0</v>
      </c>
      <c r="AE33" s="48"/>
      <c r="AF33" s="28"/>
      <c r="AI33" s="91" t="str">
        <f ca="1">Calculations!I39</f>
        <v>Health Insurance</v>
      </c>
      <c r="AJ33" s="92">
        <f ca="1">Calculations!J39</f>
        <v>2506.75</v>
      </c>
      <c r="AK33" s="29"/>
      <c r="AM33" s="28"/>
      <c r="AP33" s="91" t="str">
        <f ca="1">Calculations!M39</f>
        <v/>
      </c>
      <c r="AQ33" s="92" t="str">
        <f ca="1">Calculations!N39</f>
        <v/>
      </c>
      <c r="AR33" s="29"/>
    </row>
    <row r="34" spans="3:44" x14ac:dyDescent="0.2">
      <c r="C34" s="28" cm="1">
        <f t="array" ref="C34">IF(C33=-1, -1,
   IF(C33&lt;income_max_row, C33+1,
      IF(C33=income_max_row, income_total_row,
          IF(C33=income_total_row, "/1",
              IF(C33="/1", expenses_header_row,
                 IF(C33&lt;expenses_max_row, C33+1,
                   IF(C33=expenses_max_row, expenses_total_row,
                      IF(C33=expenses_total_row, "/2",
                         IF(C33="/2", savings_header_row,
                             IF(C33&lt;savings_max_row, C33+1,
                                 IF(C33=savings_max_row, savings_total_row, -1)))))))))))</f>
        <v>40</v>
      </c>
      <c r="D34" s="29">
        <f t="shared" si="0"/>
        <v>26</v>
      </c>
      <c r="E34" s="28" cm="1">
        <f t="array" ref="E34">1*OR(row_id=income_header_row, row_id=expenses_header_row, row_id=savings_header_row)</f>
        <v>0</v>
      </c>
      <c r="F34">
        <f t="shared" si="1"/>
        <v>1</v>
      </c>
      <c r="G34" cm="1">
        <f t="array" ref="G34">1*OR(row_id=income_total_row, row_id=expenses_total_row, row_id=savings_total_row)</f>
        <v>0</v>
      </c>
      <c r="H34" s="29">
        <f t="shared" si="2"/>
        <v>0</v>
      </c>
      <c r="I34" s="28" t="str" cm="1">
        <f t="array" ref="I34">IFERROR(INDEX('Budget Planning'!$C:$C,header_row_id)," ")</f>
        <v>Expenses</v>
      </c>
      <c r="J34" t="str" cm="1">
        <f t="array" ref="J34">IFERROR(INDEX('Budget Planning'!$C:$C, row_id), " ")</f>
        <v>Digital Goods</v>
      </c>
      <c r="K34" s="68" cm="1">
        <f t="array" ref="K34">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483.79</v>
      </c>
      <c r="L34" s="69" cm="1">
        <f t="array" ref="L34">IF(OR(is_header, is_empty), "",
       INDEX('Budget Planning'!$E:$IG, row_id,
                  MATCH(IF(selected_period="Total Year", selected_year, DATE(selected_year, selected_period, 1)), 'Budget Planning'!$E$12:$IG$12, 0)))</f>
        <v>1000</v>
      </c>
      <c r="M34" s="28" cm="1">
        <f t="array" ref="M34">IF(is_cat,
        IF(header_row_id=income_header_row, MATCH(income_min_row, $C:$C,0),
            IF(header_row_id=expenses_header_row, MATCH(expenses_min_row, $C:$C,0),
                IF(header_row_id=savings_header_row, MATCH(savings_min_row, $C:$C,0), ""))), "")</f>
        <v>21</v>
      </c>
      <c r="N34" s="29" cm="1">
        <f t="array" ref="N34">IF(is_cat,
        IF(header_row_id=income_header_row, MATCH(income_max_row, $C:$C,0),
            IF(header_row_id=expenses_header_row, MATCH(expenses_max_row, $C:$C,0),
                IF(header_row_id=savings_header_row, MATCH(savings_max_row, $C:$C,0), ""))), "")</f>
        <v>41</v>
      </c>
      <c r="O34" s="28" t="str">
        <f t="shared" si="3"/>
        <v>$K$21:$K$41</v>
      </c>
      <c r="P34">
        <f t="shared" ca="1" si="4"/>
        <v>12</v>
      </c>
      <c r="Q34" t="str">
        <f t="shared" si="5"/>
        <v>$L$21:$L$41</v>
      </c>
      <c r="R34" s="29">
        <f t="shared" ca="1" si="6"/>
        <v>9</v>
      </c>
      <c r="S34" s="28">
        <f t="shared" ca="1" si="7"/>
        <v>129</v>
      </c>
      <c r="T34" t="str">
        <f t="shared" si="8"/>
        <v>$S$21:$S$41</v>
      </c>
      <c r="U34">
        <f t="shared" ca="1" si="9"/>
        <v>10</v>
      </c>
      <c r="V34" t="str">
        <f t="shared" si="10"/>
        <v>$U$21:$U$34</v>
      </c>
      <c r="W34" s="29">
        <f t="shared" ca="1" si="11"/>
        <v>10</v>
      </c>
      <c r="X34" s="74">
        <f t="shared" ca="1" si="12"/>
        <v>36</v>
      </c>
      <c r="Y34" s="51" t="str">
        <f t="shared" ca="1" si="19"/>
        <v>Internet + Mobile</v>
      </c>
      <c r="Z34" s="78">
        <f t="shared" ca="1" si="20"/>
        <v>390.04999999999995</v>
      </c>
      <c r="AA34" s="78">
        <f t="shared" ca="1" si="21"/>
        <v>400</v>
      </c>
      <c r="AB34" s="76">
        <f t="shared" ca="1" si="22"/>
        <v>0.97512499999999991</v>
      </c>
      <c r="AC34" s="78">
        <f t="shared" ca="1" si="23"/>
        <v>9.9500000000000455</v>
      </c>
      <c r="AD34" s="78">
        <f t="shared" ca="1" si="24"/>
        <v>0</v>
      </c>
      <c r="AE34" s="48"/>
      <c r="AF34" s="28"/>
      <c r="AI34" s="91" t="str">
        <f ca="1">Calculations!I40</f>
        <v>Other</v>
      </c>
      <c r="AJ34" s="92">
        <f ca="1">Calculations!J40</f>
        <v>7862.8200000000506</v>
      </c>
      <c r="AK34" s="29"/>
      <c r="AM34" s="28"/>
      <c r="AP34" s="91" t="e">
        <f ca="1">Calculations!M40</f>
        <v>#N/A</v>
      </c>
      <c r="AQ34" s="92" t="e">
        <f ca="1">Calculations!N40</f>
        <v>#N/A</v>
      </c>
      <c r="AR34" s="29"/>
    </row>
    <row r="35" spans="3:44" x14ac:dyDescent="0.2">
      <c r="C35" s="28" cm="1">
        <f t="array" ref="C35">IF(C34=-1, -1,
   IF(C34&lt;income_max_row, C34+1,
      IF(C34=income_max_row, income_total_row,
          IF(C34=income_total_row, "/1",
              IF(C34="/1", expenses_header_row,
                 IF(C34&lt;expenses_max_row, C34+1,
                   IF(C34=expenses_max_row, expenses_total_row,
                      IF(C34=expenses_total_row, "/2",
                         IF(C34="/2", savings_header_row,
                             IF(C34&lt;savings_max_row, C34+1,
                                 IF(C34=savings_max_row, savings_total_row, -1)))))))))))</f>
        <v>41</v>
      </c>
      <c r="D35" s="29">
        <f t="shared" si="0"/>
        <v>26</v>
      </c>
      <c r="E35" s="28" cm="1">
        <f t="array" ref="E35">1*OR(row_id=income_header_row, row_id=expenses_header_row, row_id=savings_header_row)</f>
        <v>0</v>
      </c>
      <c r="F35">
        <f t="shared" si="1"/>
        <v>1</v>
      </c>
      <c r="G35" cm="1">
        <f t="array" ref="G35">1*OR(row_id=income_total_row, row_id=expenses_total_row, row_id=savings_total_row)</f>
        <v>0</v>
      </c>
      <c r="H35" s="29">
        <f t="shared" si="2"/>
        <v>0</v>
      </c>
      <c r="I35" s="28" t="str" cm="1">
        <f t="array" ref="I35">IFERROR(INDEX('Budget Planning'!$C:$C,header_row_id)," ")</f>
        <v>Expenses</v>
      </c>
      <c r="J35" t="str" cm="1">
        <f t="array" ref="J35">IFERROR(INDEX('Budget Planning'!$C:$C, row_id), " ")</f>
        <v>Wellbeing</v>
      </c>
      <c r="K35" s="68" cm="1">
        <f t="array" ref="K35">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358.79999999999995</v>
      </c>
      <c r="L35" s="69" cm="1">
        <f t="array" ref="L35">IF(OR(is_header, is_empty), "",
       INDEX('Budget Planning'!$E:$IG, row_id,
                  MATCH(IF(selected_period="Total Year", selected_year, DATE(selected_year, selected_period, 1)), 'Budget Planning'!$E$12:$IG$12, 0)))</f>
        <v>1000</v>
      </c>
      <c r="M35" s="28" cm="1">
        <f t="array" ref="M35">IF(is_cat,
        IF(header_row_id=income_header_row, MATCH(income_min_row, $C:$C,0),
            IF(header_row_id=expenses_header_row, MATCH(expenses_min_row, $C:$C,0),
                IF(header_row_id=savings_header_row, MATCH(savings_min_row, $C:$C,0), ""))), "")</f>
        <v>21</v>
      </c>
      <c r="N35" s="29" cm="1">
        <f t="array" ref="N35">IF(is_cat,
        IF(header_row_id=income_header_row, MATCH(income_max_row, $C:$C,0),
            IF(header_row_id=expenses_header_row, MATCH(expenses_max_row, $C:$C,0),
                IF(header_row_id=savings_header_row, MATCH(savings_max_row, $C:$C,0), ""))), "")</f>
        <v>41</v>
      </c>
      <c r="O35" s="28" t="str">
        <f t="shared" si="3"/>
        <v>$K$21:$K$41</v>
      </c>
      <c r="P35">
        <f t="shared" ca="1" si="4"/>
        <v>14</v>
      </c>
      <c r="Q35" t="str">
        <f t="shared" si="5"/>
        <v>$L$21:$L$41</v>
      </c>
      <c r="R35" s="29">
        <f t="shared" ca="1" si="6"/>
        <v>9</v>
      </c>
      <c r="S35" s="28">
        <f t="shared" ca="1" si="7"/>
        <v>149</v>
      </c>
      <c r="T35" t="str">
        <f t="shared" si="8"/>
        <v>$S$21:$S$41</v>
      </c>
      <c r="U35">
        <f t="shared" ca="1" si="9"/>
        <v>11</v>
      </c>
      <c r="V35" t="str">
        <f t="shared" si="10"/>
        <v>$U$21:$U$35</v>
      </c>
      <c r="W35" s="29">
        <f t="shared" ca="1" si="11"/>
        <v>11</v>
      </c>
      <c r="X35" s="74">
        <f t="shared" ca="1" si="12"/>
        <v>37</v>
      </c>
      <c r="Y35" s="51" t="str">
        <f t="shared" ca="1" si="19"/>
        <v>Clothing</v>
      </c>
      <c r="Z35" s="78">
        <f t="shared" ca="1" si="20"/>
        <v>319.99</v>
      </c>
      <c r="AA35" s="78">
        <f t="shared" ca="1" si="21"/>
        <v>500</v>
      </c>
      <c r="AB35" s="76">
        <f t="shared" ca="1" si="22"/>
        <v>0.63997999999999999</v>
      </c>
      <c r="AC35" s="78">
        <f t="shared" ca="1" si="23"/>
        <v>180.01</v>
      </c>
      <c r="AD35" s="78">
        <f t="shared" ca="1" si="24"/>
        <v>0</v>
      </c>
      <c r="AE35" s="48"/>
      <c r="AF35" s="28"/>
      <c r="AI35" s="93" t="str">
        <f>Calculations!I41</f>
        <v>Total</v>
      </c>
      <c r="AJ35" s="94">
        <f ca="1">Calculations!J41</f>
        <v>28176.100000000053</v>
      </c>
      <c r="AK35" s="29"/>
      <c r="AM35" s="28"/>
      <c r="AP35" s="93" t="str">
        <f>Calculations!M41</f>
        <v>Total</v>
      </c>
      <c r="AQ35" s="94" t="e">
        <f ca="1">Calculations!N41</f>
        <v>#N/A</v>
      </c>
      <c r="AR35" s="29"/>
    </row>
    <row r="36" spans="3:44" x14ac:dyDescent="0.2">
      <c r="C36" s="28" cm="1">
        <f t="array" ref="C36">IF(C35=-1, -1,
   IF(C35&lt;income_max_row, C35+1,
      IF(C35=income_max_row, income_total_row,
          IF(C35=income_total_row, "/1",
              IF(C35="/1", expenses_header_row,
                 IF(C35&lt;expenses_max_row, C35+1,
                   IF(C35=expenses_max_row, expenses_total_row,
                      IF(C35=expenses_total_row, "/2",
                         IF(C35="/2", savings_header_row,
                             IF(C35&lt;savings_max_row, C35+1,
                                 IF(C35=savings_max_row, savings_total_row, -1)))))))))))</f>
        <v>42</v>
      </c>
      <c r="D36" s="29">
        <f t="shared" si="0"/>
        <v>26</v>
      </c>
      <c r="E36" s="28" cm="1">
        <f t="array" ref="E36">1*OR(row_id=income_header_row, row_id=expenses_header_row, row_id=savings_header_row)</f>
        <v>0</v>
      </c>
      <c r="F36">
        <f t="shared" si="1"/>
        <v>1</v>
      </c>
      <c r="G36" cm="1">
        <f t="array" ref="G36">1*OR(row_id=income_total_row, row_id=expenses_total_row, row_id=savings_total_row)</f>
        <v>0</v>
      </c>
      <c r="H36" s="29">
        <f t="shared" si="2"/>
        <v>0</v>
      </c>
      <c r="I36" s="28" t="str" cm="1">
        <f t="array" ref="I36">IFERROR(INDEX('Budget Planning'!$C:$C,header_row_id)," ")</f>
        <v>Expenses</v>
      </c>
      <c r="J36" t="str" cm="1">
        <f t="array" ref="J36">IFERROR(INDEX('Budget Planning'!$C:$C, row_id), " ")</f>
        <v>Sport</v>
      </c>
      <c r="K36" s="68" cm="1">
        <f t="array" ref="K36">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488.36</v>
      </c>
      <c r="L36" s="69" cm="1">
        <f t="array" ref="L36">IF(OR(is_header, is_empty), "",
       INDEX('Budget Planning'!$E:$IG, row_id,
                  MATCH(IF(selected_period="Total Year", selected_year, DATE(selected_year, selected_period, 1)), 'Budget Planning'!$E$12:$IG$12, 0)))</f>
        <v>500</v>
      </c>
      <c r="M36" s="28" cm="1">
        <f t="array" ref="M36">IF(is_cat,
        IF(header_row_id=income_header_row, MATCH(income_min_row, $C:$C,0),
            IF(header_row_id=expenses_header_row, MATCH(expenses_min_row, $C:$C,0),
                IF(header_row_id=savings_header_row, MATCH(savings_min_row, $C:$C,0), ""))), "")</f>
        <v>21</v>
      </c>
      <c r="N36" s="29" cm="1">
        <f t="array" ref="N36">IF(is_cat,
        IF(header_row_id=income_header_row, MATCH(income_max_row, $C:$C,0),
            IF(header_row_id=expenses_header_row, MATCH(expenses_max_row, $C:$C,0),
                IF(header_row_id=savings_header_row, MATCH(savings_max_row, $C:$C,0), ""))), "")</f>
        <v>41</v>
      </c>
      <c r="O36" s="28" t="str">
        <f t="shared" si="3"/>
        <v>$K$21:$K$41</v>
      </c>
      <c r="P36">
        <f t="shared" ca="1" si="4"/>
        <v>11</v>
      </c>
      <c r="Q36" t="str">
        <f t="shared" si="5"/>
        <v>$L$21:$L$41</v>
      </c>
      <c r="R36" s="29">
        <f t="shared" ca="1" si="6"/>
        <v>13</v>
      </c>
      <c r="S36" s="28">
        <f t="shared" ca="1" si="7"/>
        <v>1113</v>
      </c>
      <c r="T36" t="str">
        <f t="shared" si="8"/>
        <v>$S$21:$S$41</v>
      </c>
      <c r="U36">
        <f t="shared" ca="1" si="9"/>
        <v>13</v>
      </c>
      <c r="V36" t="str">
        <f t="shared" si="10"/>
        <v>$U$21:$U$36</v>
      </c>
      <c r="W36" s="29">
        <f t="shared" ca="1" si="11"/>
        <v>13</v>
      </c>
      <c r="X36" s="74">
        <f t="shared" ca="1" si="12"/>
        <v>39</v>
      </c>
      <c r="Y36" s="51" t="str">
        <f t="shared" ca="1" si="19"/>
        <v>Car</v>
      </c>
      <c r="Z36" s="78">
        <f t="shared" ca="1" si="20"/>
        <v>242.22000000000003</v>
      </c>
      <c r="AA36" s="78">
        <f t="shared" ca="1" si="21"/>
        <v>250</v>
      </c>
      <c r="AB36" s="76">
        <f t="shared" ca="1" si="22"/>
        <v>0.96888000000000007</v>
      </c>
      <c r="AC36" s="78">
        <f t="shared" ca="1" si="23"/>
        <v>7.7799999999999727</v>
      </c>
      <c r="AD36" s="78">
        <f t="shared" ca="1" si="24"/>
        <v>0</v>
      </c>
      <c r="AE36" s="48"/>
      <c r="AF36" s="28"/>
      <c r="AK36" s="29"/>
      <c r="AM36" s="28"/>
      <c r="AR36" s="29"/>
    </row>
    <row r="37" spans="3:44" x14ac:dyDescent="0.2">
      <c r="C37" s="28" cm="1">
        <f t="array" ref="C37">IF(C36=-1, -1,
   IF(C36&lt;income_max_row, C36+1,
      IF(C36=income_max_row, income_total_row,
          IF(C36=income_total_row, "/1",
              IF(C36="/1", expenses_header_row,
                 IF(C36&lt;expenses_max_row, C36+1,
                   IF(C36=expenses_max_row, expenses_total_row,
                      IF(C36=expenses_total_row, "/2",
                         IF(C36="/2", savings_header_row,
                             IF(C36&lt;savings_max_row, C36+1,
                                 IF(C36=savings_max_row, savings_total_row, -1)))))))))))</f>
        <v>43</v>
      </c>
      <c r="D37" s="29">
        <f t="shared" si="0"/>
        <v>26</v>
      </c>
      <c r="E37" s="28" cm="1">
        <f t="array" ref="E37">1*OR(row_id=income_header_row, row_id=expenses_header_row, row_id=savings_header_row)</f>
        <v>0</v>
      </c>
      <c r="F37">
        <f t="shared" si="1"/>
        <v>1</v>
      </c>
      <c r="G37" cm="1">
        <f t="array" ref="G37">1*OR(row_id=income_total_row, row_id=expenses_total_row, row_id=savings_total_row)</f>
        <v>0</v>
      </c>
      <c r="H37" s="29">
        <f t="shared" si="2"/>
        <v>0</v>
      </c>
      <c r="I37" s="28" t="str" cm="1">
        <f t="array" ref="I37">IFERROR(INDEX('Budget Planning'!$C:$C,header_row_id)," ")</f>
        <v>Expenses</v>
      </c>
      <c r="J37" t="str" cm="1">
        <f t="array" ref="J37">IFERROR(INDEX('Budget Planning'!$C:$C, row_id), " ")</f>
        <v>Travel</v>
      </c>
      <c r="K37" s="68" cm="1">
        <f t="array" ref="K37">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2751.55</v>
      </c>
      <c r="L37" s="69" cm="1">
        <f t="array" ref="L37">IF(OR(is_header, is_empty), "",
       INDEX('Budget Planning'!$E:$IG, row_id,
                  MATCH(IF(selected_period="Total Year", selected_year, DATE(selected_year, selected_period, 1)), 'Budget Planning'!$E$12:$IG$12, 0)))</f>
        <v>2000</v>
      </c>
      <c r="M37" s="28" cm="1">
        <f t="array" ref="M37">IF(is_cat,
        IF(header_row_id=income_header_row, MATCH(income_min_row, $C:$C,0),
            IF(header_row_id=expenses_header_row, MATCH(expenses_min_row, $C:$C,0),
                IF(header_row_id=savings_header_row, MATCH(savings_min_row, $C:$C,0), ""))), "")</f>
        <v>21</v>
      </c>
      <c r="N37" s="29" cm="1">
        <f t="array" ref="N37">IF(is_cat,
        IF(header_row_id=income_header_row, MATCH(income_max_row, $C:$C,0),
            IF(header_row_id=expenses_header_row, MATCH(expenses_max_row, $C:$C,0),
                IF(header_row_id=savings_header_row, MATCH(savings_max_row, $C:$C,0), ""))), "")</f>
        <v>41</v>
      </c>
      <c r="O37" s="28" t="str">
        <f t="shared" si="3"/>
        <v>$K$21:$K$41</v>
      </c>
      <c r="P37">
        <f t="shared" ca="1" si="4"/>
        <v>4</v>
      </c>
      <c r="Q37" t="str">
        <f t="shared" si="5"/>
        <v>$L$21:$L$41</v>
      </c>
      <c r="R37" s="29">
        <f t="shared" ca="1" si="6"/>
        <v>6</v>
      </c>
      <c r="S37" s="28">
        <f t="shared" ca="1" si="7"/>
        <v>46</v>
      </c>
      <c r="T37" t="str">
        <f t="shared" si="8"/>
        <v>$S$21:$S$41</v>
      </c>
      <c r="U37">
        <f t="shared" ca="1" si="9"/>
        <v>4</v>
      </c>
      <c r="V37" t="str">
        <f t="shared" si="10"/>
        <v>$U$21:$U$37</v>
      </c>
      <c r="W37" s="29">
        <f t="shared" ca="1" si="11"/>
        <v>4</v>
      </c>
      <c r="X37" s="74">
        <f t="shared" ca="1" si="12"/>
        <v>30</v>
      </c>
      <c r="Y37" s="51" t="str">
        <f t="shared" ca="1" si="19"/>
        <v>Withdraw</v>
      </c>
      <c r="Z37" s="78">
        <f t="shared" ca="1" si="20"/>
        <v>240</v>
      </c>
      <c r="AA37" s="78">
        <f t="shared" ca="1" si="21"/>
        <v>100</v>
      </c>
      <c r="AB37" s="76">
        <f t="shared" ca="1" si="22"/>
        <v>2.4</v>
      </c>
      <c r="AC37" s="78">
        <f t="shared" ca="1" si="23"/>
        <v>0</v>
      </c>
      <c r="AD37" s="78">
        <f t="shared" ca="1" si="24"/>
        <v>140</v>
      </c>
      <c r="AE37" s="48"/>
      <c r="AF37" s="30"/>
      <c r="AG37" s="31"/>
      <c r="AH37" s="31"/>
      <c r="AI37" s="31"/>
      <c r="AJ37" s="31"/>
      <c r="AK37" s="32"/>
      <c r="AM37" s="30"/>
      <c r="AN37" s="31"/>
      <c r="AO37" s="31"/>
      <c r="AP37" s="31"/>
      <c r="AQ37" s="31"/>
      <c r="AR37" s="32"/>
    </row>
    <row r="38" spans="3:44" x14ac:dyDescent="0.2">
      <c r="C38" s="28" cm="1">
        <f t="array" ref="C38">IF(C37=-1, -1,
   IF(C37&lt;income_max_row, C37+1,
      IF(C37=income_max_row, income_total_row,
          IF(C37=income_total_row, "/1",
              IF(C37="/1", expenses_header_row,
                 IF(C37&lt;expenses_max_row, C37+1,
                   IF(C37=expenses_max_row, expenses_total_row,
                      IF(C37=expenses_total_row, "/2",
                         IF(C37="/2", savings_header_row,
                             IF(C37&lt;savings_max_row, C37+1,
                                 IF(C37=savings_max_row, savings_total_row, -1)))))))))))</f>
        <v>44</v>
      </c>
      <c r="D38" s="29">
        <f t="shared" si="0"/>
        <v>26</v>
      </c>
      <c r="E38" s="28" cm="1">
        <f t="array" ref="E38">1*OR(row_id=income_header_row, row_id=expenses_header_row, row_id=savings_header_row)</f>
        <v>0</v>
      </c>
      <c r="F38">
        <f t="shared" si="1"/>
        <v>1</v>
      </c>
      <c r="G38" cm="1">
        <f t="array" ref="G38">1*OR(row_id=income_total_row, row_id=expenses_total_row, row_id=savings_total_row)</f>
        <v>0</v>
      </c>
      <c r="H38" s="29">
        <f t="shared" si="2"/>
        <v>0</v>
      </c>
      <c r="I38" s="28" t="str" cm="1">
        <f t="array" ref="I38">IFERROR(INDEX('Budget Planning'!$C:$C,header_row_id)," ")</f>
        <v>Expenses</v>
      </c>
      <c r="J38" t="str" cm="1">
        <f t="array" ref="J38">IFERROR(INDEX('Budget Planning'!$C:$C, row_id), " ")</f>
        <v>Withdraw</v>
      </c>
      <c r="K38" s="68" cm="1">
        <f t="array" ref="K38">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240</v>
      </c>
      <c r="L38" s="69" cm="1">
        <f t="array" ref="L38">IF(OR(is_header, is_empty), "",
       INDEX('Budget Planning'!$E:$IG, row_id,
                  MATCH(IF(selected_period="Total Year", selected_year, DATE(selected_year, selected_period, 1)), 'Budget Planning'!$E$12:$IG$12, 0)))</f>
        <v>100</v>
      </c>
      <c r="M38" s="28" cm="1">
        <f t="array" ref="M38">IF(is_cat,
        IF(header_row_id=income_header_row, MATCH(income_min_row, $C:$C,0),
            IF(header_row_id=expenses_header_row, MATCH(expenses_min_row, $C:$C,0),
                IF(header_row_id=savings_header_row, MATCH(savings_min_row, $C:$C,0), ""))), "")</f>
        <v>21</v>
      </c>
      <c r="N38" s="29" cm="1">
        <f t="array" ref="N38">IF(is_cat,
        IF(header_row_id=income_header_row, MATCH(income_max_row, $C:$C,0),
            IF(header_row_id=expenses_header_row, MATCH(expenses_max_row, $C:$C,0),
                IF(header_row_id=savings_header_row, MATCH(savings_max_row, $C:$C,0), ""))), "")</f>
        <v>41</v>
      </c>
      <c r="O38" s="28" t="str">
        <f t="shared" si="3"/>
        <v>$K$21:$K$41</v>
      </c>
      <c r="P38">
        <f t="shared" ca="1" si="4"/>
        <v>17</v>
      </c>
      <c r="Q38" t="str">
        <f t="shared" si="5"/>
        <v>$L$21:$L$41</v>
      </c>
      <c r="R38" s="29">
        <f t="shared" ca="1" si="6"/>
        <v>19</v>
      </c>
      <c r="S38" s="28">
        <f t="shared" ca="1" si="7"/>
        <v>1719</v>
      </c>
      <c r="T38" t="str">
        <f t="shared" si="8"/>
        <v>$S$21:$S$41</v>
      </c>
      <c r="U38">
        <f t="shared" ca="1" si="9"/>
        <v>17</v>
      </c>
      <c r="V38" t="str">
        <f t="shared" si="10"/>
        <v>$U$21:$U$38</v>
      </c>
      <c r="W38" s="29">
        <f t="shared" ca="1" si="11"/>
        <v>17</v>
      </c>
      <c r="X38" s="74">
        <f t="shared" ca="1" si="12"/>
        <v>43</v>
      </c>
      <c r="Y38" s="51" t="str">
        <f t="shared" ca="1" si="19"/>
        <v>Health Other</v>
      </c>
      <c r="Z38" s="78">
        <f t="shared" ca="1" si="20"/>
        <v>138.1</v>
      </c>
      <c r="AA38" s="78">
        <f t="shared" ca="1" si="21"/>
        <v>500</v>
      </c>
      <c r="AB38" s="76">
        <f t="shared" ca="1" si="22"/>
        <v>0.2762</v>
      </c>
      <c r="AC38" s="78">
        <f t="shared" ca="1" si="23"/>
        <v>361.9</v>
      </c>
      <c r="AD38" s="78">
        <f t="shared" ca="1" si="24"/>
        <v>0</v>
      </c>
      <c r="AE38" s="48"/>
      <c r="AN38" t="s">
        <v>9</v>
      </c>
    </row>
    <row r="39" spans="3:44" x14ac:dyDescent="0.2">
      <c r="C39" s="28" cm="1">
        <f t="array" ref="C39">IF(C38=-1, -1,
   IF(C38&lt;income_max_row, C38+1,
      IF(C38=income_max_row, income_total_row,
          IF(C38=income_total_row, "/1",
              IF(C38="/1", expenses_header_row,
                 IF(C38&lt;expenses_max_row, C38+1,
                   IF(C38=expenses_max_row, expenses_total_row,
                      IF(C38=expenses_total_row, "/2",
                         IF(C38="/2", savings_header_row,
                             IF(C38&lt;savings_max_row, C38+1,
                                 IF(C38=savings_max_row, savings_total_row, -1)))))))))))</f>
        <v>45</v>
      </c>
      <c r="D39" s="29">
        <f t="shared" si="0"/>
        <v>26</v>
      </c>
      <c r="E39" s="28" cm="1">
        <f t="array" ref="E39">1*OR(row_id=income_header_row, row_id=expenses_header_row, row_id=savings_header_row)</f>
        <v>0</v>
      </c>
      <c r="F39">
        <f t="shared" si="1"/>
        <v>1</v>
      </c>
      <c r="G39" cm="1">
        <f t="array" ref="G39">1*OR(row_id=income_total_row, row_id=expenses_total_row, row_id=savings_total_row)</f>
        <v>0</v>
      </c>
      <c r="H39" s="29">
        <f t="shared" si="2"/>
        <v>0</v>
      </c>
      <c r="I39" s="28" t="str" cm="1">
        <f t="array" ref="I39">IFERROR(INDEX('Budget Planning'!$C:$C,header_row_id)," ")</f>
        <v>Expenses</v>
      </c>
      <c r="J39" t="str" cm="1">
        <f t="array" ref="J39">IFERROR(INDEX('Budget Planning'!$C:$C, row_id), " ")</f>
        <v>CC fees</v>
      </c>
      <c r="K39" s="68" cm="1">
        <f t="array" ref="K39">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60</v>
      </c>
      <c r="L39" s="69" cm="1">
        <f t="array" ref="L39">IF(OR(is_header, is_empty), "",
       INDEX('Budget Planning'!$E:$IG, row_id,
                  MATCH(IF(selected_period="Total Year", selected_year, DATE(selected_year, selected_period, 1)), 'Budget Planning'!$E$12:$IG$12, 0)))</f>
        <v>75</v>
      </c>
      <c r="M39" s="28" cm="1">
        <f t="array" ref="M39">IF(is_cat,
        IF(header_row_id=income_header_row, MATCH(income_min_row, $C:$C,0),
            IF(header_row_id=expenses_header_row, MATCH(expenses_min_row, $C:$C,0),
                IF(header_row_id=savings_header_row, MATCH(savings_min_row, $C:$C,0), ""))), "")</f>
        <v>21</v>
      </c>
      <c r="N39" s="29" cm="1">
        <f t="array" ref="N39">IF(is_cat,
        IF(header_row_id=income_header_row, MATCH(income_max_row, $C:$C,0),
            IF(header_row_id=expenses_header_row, MATCH(expenses_max_row, $C:$C,0),
                IF(header_row_id=savings_header_row, MATCH(savings_max_row, $C:$C,0), ""))), "")</f>
        <v>41</v>
      </c>
      <c r="O39" s="28" t="str">
        <f t="shared" si="3"/>
        <v>$K$21:$K$41</v>
      </c>
      <c r="P39">
        <f t="shared" ca="1" si="4"/>
        <v>19</v>
      </c>
      <c r="Q39" t="str">
        <f t="shared" si="5"/>
        <v>$L$21:$L$41</v>
      </c>
      <c r="R39" s="29">
        <f t="shared" ca="1" si="6"/>
        <v>20</v>
      </c>
      <c r="S39" s="28">
        <f t="shared" ca="1" si="7"/>
        <v>1920</v>
      </c>
      <c r="T39" t="str">
        <f t="shared" si="8"/>
        <v>$S$21:$S$41</v>
      </c>
      <c r="U39">
        <f t="shared" ca="1" si="9"/>
        <v>19</v>
      </c>
      <c r="V39" t="str">
        <f t="shared" si="10"/>
        <v>$U$21:$U$39</v>
      </c>
      <c r="W39" s="29">
        <f t="shared" ca="1" si="11"/>
        <v>19</v>
      </c>
      <c r="X39" s="74">
        <f t="shared" ca="1" si="12"/>
        <v>45</v>
      </c>
      <c r="Y39" s="51" t="str">
        <f t="shared" ca="1" si="19"/>
        <v>CC fees</v>
      </c>
      <c r="Z39" s="78">
        <f t="shared" ca="1" si="20"/>
        <v>60</v>
      </c>
      <c r="AA39" s="78">
        <f t="shared" ca="1" si="21"/>
        <v>75</v>
      </c>
      <c r="AB39" s="76">
        <f t="shared" ca="1" si="22"/>
        <v>0.8</v>
      </c>
      <c r="AC39" s="78">
        <f t="shared" ca="1" si="23"/>
        <v>15</v>
      </c>
      <c r="AD39" s="78">
        <f t="shared" ca="1" si="24"/>
        <v>0</v>
      </c>
      <c r="AE39" s="48"/>
    </row>
    <row r="40" spans="3:44" x14ac:dyDescent="0.2">
      <c r="C40" s="28" cm="1">
        <f t="array" ref="C40">IF(C39=-1, -1,
   IF(C39&lt;income_max_row, C39+1,
      IF(C39=income_max_row, income_total_row,
          IF(C39=income_total_row, "/1",
              IF(C39="/1", expenses_header_row,
                 IF(C39&lt;expenses_max_row, C39+1,
                   IF(C39=expenses_max_row, expenses_total_row,
                      IF(C39=expenses_total_row, "/2",
                         IF(C39="/2", savings_header_row,
                             IF(C39&lt;savings_max_row, C39+1,
                                 IF(C39=savings_max_row, savings_total_row, -1)))))))))))</f>
        <v>46</v>
      </c>
      <c r="D40" s="29">
        <f t="shared" si="0"/>
        <v>26</v>
      </c>
      <c r="E40" s="28" cm="1">
        <f t="array" ref="E40">1*OR(row_id=income_header_row, row_id=expenses_header_row, row_id=savings_header_row)</f>
        <v>0</v>
      </c>
      <c r="F40">
        <f t="shared" si="1"/>
        <v>1</v>
      </c>
      <c r="G40" cm="1">
        <f t="array" ref="G40">1*OR(row_id=income_total_row, row_id=expenses_total_row, row_id=savings_total_row)</f>
        <v>0</v>
      </c>
      <c r="H40" s="29">
        <f t="shared" si="2"/>
        <v>0</v>
      </c>
      <c r="I40" s="28" t="str" cm="1">
        <f t="array" ref="I40">IFERROR(INDEX('Budget Planning'!$C:$C,header_row_id)," ")</f>
        <v>Expenses</v>
      </c>
      <c r="J40" t="str" cm="1">
        <f t="array" ref="J40">IFERROR(INDEX('Budget Planning'!$C:$C, row_id), " ")</f>
        <v>Tax</v>
      </c>
      <c r="K40" s="68" cm="1">
        <f t="array" ref="K40">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0</v>
      </c>
      <c r="L40" s="69" cm="1">
        <f t="array" ref="L40">IF(OR(is_header, is_empty), "",
       INDEX('Budget Planning'!$E:$IG, row_id,
                  MATCH(IF(selected_period="Total Year", selected_year, DATE(selected_year, selected_period, 1)), 'Budget Planning'!$E$12:$IG$12, 0)))</f>
        <v>700</v>
      </c>
      <c r="M40" s="28" cm="1">
        <f t="array" ref="M40">IF(is_cat,
        IF(header_row_id=income_header_row, MATCH(income_min_row, $C:$C,0),
            IF(header_row_id=expenses_header_row, MATCH(expenses_min_row, $C:$C,0),
                IF(header_row_id=savings_header_row, MATCH(savings_min_row, $C:$C,0), ""))), "")</f>
        <v>21</v>
      </c>
      <c r="N40" s="29" cm="1">
        <f t="array" ref="N40">IF(is_cat,
        IF(header_row_id=income_header_row, MATCH(income_max_row, $C:$C,0),
            IF(header_row_id=expenses_header_row, MATCH(expenses_max_row, $C:$C,0),
                IF(header_row_id=savings_header_row, MATCH(savings_max_row, $C:$C,0), ""))), "")</f>
        <v>41</v>
      </c>
      <c r="O40" s="28" t="str">
        <f t="shared" si="3"/>
        <v>$K$21:$K$41</v>
      </c>
      <c r="P40">
        <f t="shared" ca="1" si="4"/>
        <v>20</v>
      </c>
      <c r="Q40" t="str">
        <f t="shared" si="5"/>
        <v>$L$21:$L$41</v>
      </c>
      <c r="R40" s="29">
        <f t="shared" ca="1" si="6"/>
        <v>12</v>
      </c>
      <c r="S40" s="28">
        <f t="shared" ca="1" si="7"/>
        <v>2012</v>
      </c>
      <c r="T40" t="str">
        <f t="shared" si="8"/>
        <v>$S$21:$S$41</v>
      </c>
      <c r="U40">
        <f t="shared" ca="1" si="9"/>
        <v>20</v>
      </c>
      <c r="V40" t="str">
        <f t="shared" si="10"/>
        <v>$U$21:$U$40</v>
      </c>
      <c r="W40" s="29">
        <f t="shared" ca="1" si="11"/>
        <v>20</v>
      </c>
      <c r="X40" s="74">
        <f t="shared" ca="1" si="12"/>
        <v>46</v>
      </c>
      <c r="Y40" s="75" t="str">
        <f t="shared" ca="1" si="13"/>
        <v>Tax</v>
      </c>
      <c r="Z40" s="79">
        <f t="shared" ca="1" si="14"/>
        <v>0</v>
      </c>
      <c r="AA40" s="79">
        <f t="shared" ca="1" si="15"/>
        <v>700</v>
      </c>
      <c r="AB40" s="77">
        <f t="shared" ca="1" si="16"/>
        <v>0</v>
      </c>
      <c r="AC40" s="79">
        <f t="shared" ca="1" si="17"/>
        <v>700</v>
      </c>
      <c r="AD40" s="79">
        <f t="shared" ca="1" si="18"/>
        <v>0</v>
      </c>
      <c r="AE40" s="48"/>
    </row>
    <row r="41" spans="3:44" x14ac:dyDescent="0.2">
      <c r="C41" s="28" cm="1">
        <f t="array" ref="C41">IF(C40=-1, -1,
   IF(C40&lt;income_max_row, C40+1,
      IF(C40=income_max_row, income_total_row,
          IF(C40=income_total_row, "/1",
              IF(C40="/1", expenses_header_row,
                 IF(C40&lt;expenses_max_row, C40+1,
                   IF(C40=expenses_max_row, expenses_total_row,
                      IF(C40=expenses_total_row, "/2",
                         IF(C40="/2", savings_header_row,
                             IF(C40&lt;savings_max_row, C40+1,
                                 IF(C40=savings_max_row, savings_total_row, -1)))))))))))</f>
        <v>47</v>
      </c>
      <c r="D41" s="29">
        <f t="shared" si="0"/>
        <v>26</v>
      </c>
      <c r="E41" s="28" cm="1">
        <f t="array" ref="E41">1*OR(row_id=income_header_row, row_id=expenses_header_row, row_id=savings_header_row)</f>
        <v>0</v>
      </c>
      <c r="F41">
        <f t="shared" si="1"/>
        <v>1</v>
      </c>
      <c r="G41" cm="1">
        <f t="array" ref="G41">1*OR(row_id=income_total_row, row_id=expenses_total_row, row_id=savings_total_row)</f>
        <v>0</v>
      </c>
      <c r="H41" s="29">
        <f t="shared" si="2"/>
        <v>0</v>
      </c>
      <c r="I41" s="28" t="str" cm="1">
        <f t="array" ref="I41">IFERROR(INDEX('Budget Planning'!$C:$C,header_row_id)," ")</f>
        <v>Expenses</v>
      </c>
      <c r="J41" t="str" cm="1">
        <f t="array" ref="J41">IFERROR(INDEX('Budget Planning'!$C:$C, row_id), " ")</f>
        <v>Debt</v>
      </c>
      <c r="K41" s="68" cm="1">
        <f t="array" ref="K41">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2756.8500000000004</v>
      </c>
      <c r="L41" s="69" cm="1">
        <f t="array" ref="L41">IF(OR(is_header, is_empty), "",
       INDEX('Budget Planning'!$E:$IG, row_id,
                  MATCH(IF(selected_period="Total Year", selected_year, DATE(selected_year, selected_period, 1)), 'Budget Planning'!$E$12:$IG$12, 0)))</f>
        <v>4000</v>
      </c>
      <c r="M41" s="28" cm="1">
        <f t="array" ref="M41">IF(is_cat,
        IF(header_row_id=income_header_row, MATCH(income_min_row, $C:$C,0),
            IF(header_row_id=expenses_header_row, MATCH(expenses_min_row, $C:$C,0),
                IF(header_row_id=savings_header_row, MATCH(savings_min_row, $C:$C,0), ""))), "")</f>
        <v>21</v>
      </c>
      <c r="N41" s="29" cm="1">
        <f t="array" ref="N41">IF(is_cat,
        IF(header_row_id=income_header_row, MATCH(income_max_row, $C:$C,0),
            IF(header_row_id=expenses_header_row, MATCH(expenses_max_row, $C:$C,0),
                IF(header_row_id=savings_header_row, MATCH(savings_max_row, $C:$C,0), ""))), "")</f>
        <v>41</v>
      </c>
      <c r="O41" s="28" t="str">
        <f t="shared" si="3"/>
        <v>$K$21:$K$41</v>
      </c>
      <c r="P41">
        <f t="shared" ca="1" si="4"/>
        <v>3</v>
      </c>
      <c r="Q41" t="str">
        <f t="shared" si="5"/>
        <v>$L$21:$L$41</v>
      </c>
      <c r="R41" s="29">
        <f t="shared" ca="1" si="6"/>
        <v>2</v>
      </c>
      <c r="S41" s="28">
        <f t="shared" ca="1" si="7"/>
        <v>32</v>
      </c>
      <c r="T41" t="str">
        <f t="shared" si="8"/>
        <v>$S$21:$S$41</v>
      </c>
      <c r="U41">
        <f t="shared" ca="1" si="9"/>
        <v>3</v>
      </c>
      <c r="V41" t="str">
        <f t="shared" si="10"/>
        <v>$U$21:$U$41</v>
      </c>
      <c r="W41" s="29">
        <f t="shared" ca="1" si="11"/>
        <v>3</v>
      </c>
      <c r="X41" s="74">
        <f t="shared" ca="1" si="12"/>
        <v>29</v>
      </c>
      <c r="Y41" s="75" t="str">
        <f t="shared" ca="1" si="13"/>
        <v>Media</v>
      </c>
      <c r="Z41" s="79">
        <f t="shared" ca="1" si="14"/>
        <v>0</v>
      </c>
      <c r="AA41" s="79">
        <f t="shared" ca="1" si="15"/>
        <v>0</v>
      </c>
      <c r="AB41" s="77" t="str">
        <f t="shared" ca="1" si="16"/>
        <v>-</v>
      </c>
      <c r="AC41" s="79">
        <f t="shared" ca="1" si="17"/>
        <v>0</v>
      </c>
      <c r="AD41" s="79">
        <f t="shared" ca="1" si="18"/>
        <v>0</v>
      </c>
      <c r="AE41" s="48"/>
    </row>
    <row r="42" spans="3:44" x14ac:dyDescent="0.2">
      <c r="C42" s="28" cm="1">
        <f t="array" ref="C42">IF(C41=-1, -1,
   IF(C41&lt;income_max_row, C41+1,
      IF(C41=income_max_row, income_total_row,
          IF(C41=income_total_row, "/1",
              IF(C41="/1", expenses_header_row,
                 IF(C41&lt;expenses_max_row, C41+1,
                   IF(C41=expenses_max_row, expenses_total_row,
                      IF(C41=expenses_total_row, "/2",
                         IF(C41="/2", savings_header_row,
                             IF(C41&lt;savings_max_row, C41+1,
                                 IF(C41=savings_max_row, savings_total_row, -1)))))))))))</f>
        <v>52</v>
      </c>
      <c r="D42" s="29">
        <f t="shared" si="0"/>
        <v>26</v>
      </c>
      <c r="E42" s="28" cm="1">
        <f t="array" ref="E42">1*OR(row_id=income_header_row, row_id=expenses_header_row, row_id=savings_header_row)</f>
        <v>0</v>
      </c>
      <c r="F42">
        <f t="shared" si="1"/>
        <v>0</v>
      </c>
      <c r="G42" cm="1">
        <f t="array" ref="G42">1*OR(row_id=income_total_row, row_id=expenses_total_row, row_id=savings_total_row)</f>
        <v>1</v>
      </c>
      <c r="H42" s="29">
        <f t="shared" si="2"/>
        <v>0</v>
      </c>
      <c r="I42" s="28" t="str" cm="1">
        <f t="array" ref="I42">IFERROR(INDEX('Budget Planning'!$C:$C,header_row_id)," ")</f>
        <v>Expenses</v>
      </c>
      <c r="J42" t="str" cm="1">
        <f t="array" ref="J42">IFERROR(INDEX('Budget Planning'!$C:$C, row_id), " ")</f>
        <v>Total</v>
      </c>
      <c r="K42" s="68" cm="1">
        <f t="array" ref="K42">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28176.100000000053</v>
      </c>
      <c r="L42" s="69" cm="1">
        <f t="array" aca="1" ref="L42" ca="1">IF(OR(is_header, is_empty), "",
       INDEX('Budget Planning'!$E:$IG, row_id,
                  MATCH(IF(selected_period="Total Year", selected_year, DATE(selected_year, selected_period, 1)), 'Budget Planning'!$E$12:$IG$12, 0)))</f>
        <v>32164.35</v>
      </c>
      <c r="M42" s="28" t="str" cm="1">
        <f t="array" ref="M42">IF(is_cat,
        IF(header_row_id=income_header_row, MATCH(income_min_row, $C:$C,0),
            IF(header_row_id=expenses_header_row, MATCH(expenses_min_row, $C:$C,0),
                IF(header_row_id=savings_header_row, MATCH(savings_min_row, $C:$C,0), ""))), "")</f>
        <v/>
      </c>
      <c r="N42" s="29" t="str" cm="1">
        <f t="array" ref="N42">IF(is_cat,
        IF(header_row_id=income_header_row, MATCH(income_max_row, $C:$C,0),
            IF(header_row_id=expenses_header_row, MATCH(expenses_max_row, $C:$C,0),
                IF(header_row_id=savings_header_row, MATCH(savings_max_row, $C:$C,0), ""))), "")</f>
        <v/>
      </c>
      <c r="O42" s="28" t="str">
        <f t="shared" si="3"/>
        <v/>
      </c>
      <c r="P42" t="str">
        <f t="shared" ca="1" si="4"/>
        <v/>
      </c>
      <c r="Q42" t="str">
        <f t="shared" si="5"/>
        <v/>
      </c>
      <c r="R42" s="29" t="str">
        <f t="shared" ca="1" si="6"/>
        <v/>
      </c>
      <c r="S42" s="28" t="str">
        <f t="shared" si="7"/>
        <v/>
      </c>
      <c r="T42" t="str">
        <f t="shared" si="8"/>
        <v/>
      </c>
      <c r="U42" t="str">
        <f t="shared" ca="1" si="9"/>
        <v/>
      </c>
      <c r="V42" t="str">
        <f t="shared" si="10"/>
        <v/>
      </c>
      <c r="W42" s="29" t="str">
        <f t="shared" ca="1" si="11"/>
        <v/>
      </c>
      <c r="X42" s="74">
        <f t="shared" si="12"/>
        <v>52</v>
      </c>
      <c r="Y42" s="75" t="str">
        <f t="shared" ca="1" si="13"/>
        <v>Total</v>
      </c>
      <c r="Z42" s="79">
        <f t="shared" ca="1" si="14"/>
        <v>28176.100000000053</v>
      </c>
      <c r="AA42" s="79">
        <f t="shared" ca="1" si="15"/>
        <v>32164.35</v>
      </c>
      <c r="AB42" s="77">
        <f t="shared" ca="1" si="16"/>
        <v>0.87600402308767489</v>
      </c>
      <c r="AC42" s="79">
        <f t="shared" ca="1" si="17"/>
        <v>3988.2499999999454</v>
      </c>
      <c r="AD42" s="79">
        <f t="shared" ca="1" si="18"/>
        <v>0</v>
      </c>
      <c r="AE42" s="48"/>
    </row>
    <row r="43" spans="3:44" x14ac:dyDescent="0.2">
      <c r="C43" s="28" t="str" cm="1">
        <f t="array" ref="C43">IF(C42=-1, -1,
   IF(C42&lt;income_max_row, C42+1,
      IF(C42=income_max_row, income_total_row,
          IF(C42=income_total_row, "/1",
              IF(C42="/1", expenses_header_row,
                 IF(C42&lt;expenses_max_row, C42+1,
                   IF(C42=expenses_max_row, expenses_total_row,
                      IF(C42=expenses_total_row, "/2",
                         IF(C42="/2", savings_header_row,
                             IF(C42&lt;savings_max_row, C42+1,
                                 IF(C42=savings_max_row, savings_total_row, -1)))))))))))</f>
        <v>/2</v>
      </c>
      <c r="D43" s="29">
        <f t="shared" si="0"/>
        <v>-1</v>
      </c>
      <c r="E43" s="28" cm="1">
        <f t="array" ref="E43">1*OR(row_id=income_header_row, row_id=expenses_header_row, row_id=savings_header_row)</f>
        <v>0</v>
      </c>
      <c r="F43">
        <f t="shared" si="1"/>
        <v>0</v>
      </c>
      <c r="G43" cm="1">
        <f t="array" ref="G43">1*OR(row_id=income_total_row, row_id=expenses_total_row, row_id=savings_total_row)</f>
        <v>0</v>
      </c>
      <c r="H43" s="29">
        <f t="shared" si="2"/>
        <v>1</v>
      </c>
      <c r="I43" s="28" t="str" cm="1">
        <f t="array" ref="I43">IFERROR(INDEX('Budget Planning'!$C:$C,header_row_id)," ")</f>
        <v xml:space="preserve"> </v>
      </c>
      <c r="J43" t="str" cm="1">
        <f t="array" ref="J43">IFERROR(INDEX('Budget Planning'!$C:$C, row_id), " ")</f>
        <v xml:space="preserve"> </v>
      </c>
      <c r="K43" s="68" t="str" cm="1">
        <f t="array" ref="K43">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
      </c>
      <c r="L43" s="69" t="str" cm="1">
        <f t="array" ref="L43">IF(OR(is_header, is_empty), "",
       INDEX('Budget Planning'!$E:$IG, row_id,
                  MATCH(IF(selected_period="Total Year", selected_year, DATE(selected_year, selected_period, 1)), 'Budget Planning'!$E$12:$IG$12, 0)))</f>
        <v/>
      </c>
      <c r="M43" s="28" t="str" cm="1">
        <f t="array" ref="M43">IF(is_cat,
        IF(header_row_id=income_header_row, MATCH(income_min_row, $C:$C,0),
            IF(header_row_id=expenses_header_row, MATCH(expenses_min_row, $C:$C,0),
                IF(header_row_id=savings_header_row, MATCH(savings_min_row, $C:$C,0), ""))), "")</f>
        <v/>
      </c>
      <c r="N43" s="29" t="str" cm="1">
        <f t="array" ref="N43">IF(is_cat,
        IF(header_row_id=income_header_row, MATCH(income_max_row, $C:$C,0),
            IF(header_row_id=expenses_header_row, MATCH(expenses_max_row, $C:$C,0),
                IF(header_row_id=savings_header_row, MATCH(savings_max_row, $C:$C,0), ""))), "")</f>
        <v/>
      </c>
      <c r="O43" s="28" t="str">
        <f t="shared" si="3"/>
        <v/>
      </c>
      <c r="P43" t="str">
        <f t="shared" ca="1" si="4"/>
        <v/>
      </c>
      <c r="Q43" t="str">
        <f t="shared" si="5"/>
        <v/>
      </c>
      <c r="R43" s="29" t="str">
        <f t="shared" ca="1" si="6"/>
        <v/>
      </c>
      <c r="S43" s="28" t="str">
        <f t="shared" si="7"/>
        <v/>
      </c>
      <c r="T43" t="str">
        <f t="shared" si="8"/>
        <v/>
      </c>
      <c r="U43" t="str">
        <f t="shared" ca="1" si="9"/>
        <v/>
      </c>
      <c r="V43" t="str">
        <f t="shared" si="10"/>
        <v/>
      </c>
      <c r="W43" s="29" t="str">
        <f t="shared" ca="1" si="11"/>
        <v/>
      </c>
      <c r="X43" s="74" t="str">
        <f t="shared" si="12"/>
        <v>/2</v>
      </c>
      <c r="Y43" s="75" t="str">
        <f t="shared" si="13"/>
        <v/>
      </c>
      <c r="Z43" s="79" t="str">
        <f t="shared" si="14"/>
        <v/>
      </c>
      <c r="AA43" s="79" t="str">
        <f t="shared" si="15"/>
        <v/>
      </c>
      <c r="AB43" s="77" t="str">
        <f t="shared" si="16"/>
        <v/>
      </c>
      <c r="AC43" s="79" t="str">
        <f t="shared" si="17"/>
        <v/>
      </c>
      <c r="AD43" s="79" t="str">
        <f t="shared" si="18"/>
        <v/>
      </c>
      <c r="AE43" s="48"/>
    </row>
    <row r="44" spans="3:44" x14ac:dyDescent="0.2">
      <c r="C44" s="28" cm="1">
        <f t="array" ref="C44">IF(C43=-1, -1,
   IF(C43&lt;income_max_row, C43+1,
      IF(C43=income_max_row, income_total_row,
          IF(C43=income_total_row, "/1",
              IF(C43="/1", expenses_header_row,
                 IF(C43&lt;expenses_max_row, C43+1,
                   IF(C43=expenses_max_row, expenses_total_row,
                      IF(C43=expenses_total_row, "/2",
                         IF(C43="/2", savings_header_row,
                             IF(C43&lt;savings_max_row, C43+1,
                                 IF(C43=savings_max_row, savings_total_row, -1)))))))))))</f>
        <v>54</v>
      </c>
      <c r="D44" s="29">
        <f t="shared" si="0"/>
        <v>54</v>
      </c>
      <c r="E44" s="28" cm="1">
        <f t="array" ref="E44">1*OR(row_id=income_header_row, row_id=expenses_header_row, row_id=savings_header_row)</f>
        <v>1</v>
      </c>
      <c r="F44">
        <f t="shared" si="1"/>
        <v>0</v>
      </c>
      <c r="G44" cm="1">
        <f t="array" ref="G44">1*OR(row_id=income_total_row, row_id=expenses_total_row, row_id=savings_total_row)</f>
        <v>0</v>
      </c>
      <c r="H44" s="29">
        <f t="shared" si="2"/>
        <v>0</v>
      </c>
      <c r="I44" s="28" t="str" cm="1">
        <f t="array" ref="I44">IFERROR(INDEX('Budget Planning'!$C:$C,header_row_id)," ")</f>
        <v>Savings</v>
      </c>
      <c r="J44" t="str" cm="1">
        <f t="array" ref="J44">IFERROR(INDEX('Budget Planning'!$C:$C, row_id), " ")</f>
        <v>Savings</v>
      </c>
      <c r="K44" s="68" t="str" cm="1">
        <f t="array" ref="K44">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
      </c>
      <c r="L44" s="69" t="str" cm="1">
        <f t="array" ref="L44">IF(OR(is_header, is_empty), "",
       INDEX('Budget Planning'!$E:$IG, row_id,
                  MATCH(IF(selected_period="Total Year", selected_year, DATE(selected_year, selected_period, 1)), 'Budget Planning'!$E$12:$IG$12, 0)))</f>
        <v/>
      </c>
      <c r="M44" s="28" t="str" cm="1">
        <f t="array" ref="M44">IF(is_cat,
        IF(header_row_id=income_header_row, MATCH(income_min_row, $C:$C,0),
            IF(header_row_id=expenses_header_row, MATCH(expenses_min_row, $C:$C,0),
                IF(header_row_id=savings_header_row, MATCH(savings_min_row, $C:$C,0), ""))), "")</f>
        <v/>
      </c>
      <c r="N44" s="29" t="str" cm="1">
        <f t="array" ref="N44">IF(is_cat,
        IF(header_row_id=income_header_row, MATCH(income_max_row, $C:$C,0),
            IF(header_row_id=expenses_header_row, MATCH(expenses_max_row, $C:$C,0),
                IF(header_row_id=savings_header_row, MATCH(savings_max_row, $C:$C,0), ""))), "")</f>
        <v/>
      </c>
      <c r="O44" s="28" t="str">
        <f t="shared" si="3"/>
        <v/>
      </c>
      <c r="P44" t="str">
        <f t="shared" ca="1" si="4"/>
        <v/>
      </c>
      <c r="Q44" t="str">
        <f t="shared" si="5"/>
        <v/>
      </c>
      <c r="R44" s="29" t="str">
        <f t="shared" ca="1" si="6"/>
        <v/>
      </c>
      <c r="S44" s="28" t="str">
        <f t="shared" si="7"/>
        <v/>
      </c>
      <c r="T44" t="str">
        <f t="shared" si="8"/>
        <v/>
      </c>
      <c r="U44" t="str">
        <f t="shared" ca="1" si="9"/>
        <v/>
      </c>
      <c r="V44" t="str">
        <f t="shared" si="10"/>
        <v/>
      </c>
      <c r="W44" s="29" t="str">
        <f t="shared" ca="1" si="11"/>
        <v/>
      </c>
      <c r="X44" s="74">
        <f t="shared" si="12"/>
        <v>54</v>
      </c>
      <c r="Y44" s="75" t="str">
        <f t="shared" ca="1" si="13"/>
        <v>Savings</v>
      </c>
      <c r="Z44" s="79" t="str">
        <f t="shared" si="14"/>
        <v>Tracked</v>
      </c>
      <c r="AA44" s="79" t="str">
        <f t="shared" si="15"/>
        <v>Budget</v>
      </c>
      <c r="AB44" s="77" t="str">
        <f t="shared" si="16"/>
        <v>% Compl.</v>
      </c>
      <c r="AC44" s="79" t="str">
        <f t="shared" si="17"/>
        <v>Remaining</v>
      </c>
      <c r="AD44" s="79" t="str">
        <f t="shared" si="18"/>
        <v>Excess</v>
      </c>
      <c r="AE44" s="48"/>
    </row>
    <row r="45" spans="3:44" x14ac:dyDescent="0.2">
      <c r="C45" s="28" cm="1">
        <f t="array" ref="C45">IF(C44=-1, -1,
   IF(C44&lt;income_max_row, C44+1,
      IF(C44=income_max_row, income_total_row,
          IF(C44=income_total_row, "/1",
              IF(C44="/1", expenses_header_row,
                 IF(C44&lt;expenses_max_row, C44+1,
                   IF(C44=expenses_max_row, expenses_total_row,
                      IF(C44=expenses_total_row, "/2",
                         IF(C44="/2", savings_header_row,
                             IF(C44&lt;savings_max_row, C44+1,
                                 IF(C44=savings_max_row, savings_total_row, -1)))))))))))</f>
        <v>55</v>
      </c>
      <c r="D45" s="29">
        <f t="shared" si="0"/>
        <v>54</v>
      </c>
      <c r="E45" s="28" cm="1">
        <f t="array" ref="E45">1*OR(row_id=income_header_row, row_id=expenses_header_row, row_id=savings_header_row)</f>
        <v>0</v>
      </c>
      <c r="F45">
        <f t="shared" si="1"/>
        <v>1</v>
      </c>
      <c r="G45" cm="1">
        <f t="array" ref="G45">1*OR(row_id=income_total_row, row_id=expenses_total_row, row_id=savings_total_row)</f>
        <v>0</v>
      </c>
      <c r="H45" s="29">
        <f t="shared" si="2"/>
        <v>0</v>
      </c>
      <c r="I45" s="28" t="str" cm="1">
        <f t="array" ref="I45">IFERROR(INDEX('Budget Planning'!$C:$C,header_row_id)," ")</f>
        <v>Savings</v>
      </c>
      <c r="J45" t="str" cm="1">
        <f t="array" ref="J45">IFERROR(INDEX('Budget Planning'!$C:$C, row_id), " ")</f>
        <v>Rent Guarantee</v>
      </c>
      <c r="K45" s="68" cm="1">
        <f t="array" ref="K45">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6240</v>
      </c>
      <c r="L45" s="69" cm="1">
        <f t="array" ref="L45">IF(OR(is_header, is_empty), "",
       INDEX('Budget Planning'!$E:$IG, row_id,
                  MATCH(IF(selected_period="Total Year", selected_year, DATE(selected_year, selected_period, 1)), 'Budget Planning'!$E$12:$IG$12, 0)))</f>
        <v>0</v>
      </c>
      <c r="M45" s="28" cm="1">
        <f t="array" ref="M45">IF(is_cat,
        IF(header_row_id=income_header_row, MATCH(income_min_row, $C:$C,0),
            IF(header_row_id=expenses_header_row, MATCH(expenses_min_row, $C:$C,0),
                IF(header_row_id=savings_header_row, MATCH(savings_min_row, $C:$C,0), ""))), "")</f>
        <v>45</v>
      </c>
      <c r="N45" s="29" cm="1">
        <f t="array" ref="N45">IF(is_cat,
        IF(header_row_id=income_header_row, MATCH(income_max_row, $C:$C,0),
            IF(header_row_id=expenses_header_row, MATCH(expenses_max_row, $C:$C,0),
                IF(header_row_id=savings_header_row, MATCH(savings_max_row, $C:$C,0), ""))), "")</f>
        <v>50</v>
      </c>
      <c r="O45" s="28" t="str">
        <f t="shared" si="3"/>
        <v>$K$45:$K$50</v>
      </c>
      <c r="P45">
        <f t="shared" ca="1" si="4"/>
        <v>1</v>
      </c>
      <c r="Q45" t="str">
        <f t="shared" si="5"/>
        <v>$L$45:$L$50</v>
      </c>
      <c r="R45" s="29">
        <f t="shared" ca="1" si="6"/>
        <v>1</v>
      </c>
      <c r="S45" s="28">
        <f t="shared" ca="1" si="7"/>
        <v>11</v>
      </c>
      <c r="T45" t="str">
        <f t="shared" si="8"/>
        <v>$S$45:$S$50</v>
      </c>
      <c r="U45">
        <f t="shared" ca="1" si="9"/>
        <v>1</v>
      </c>
      <c r="V45" t="str">
        <f t="shared" si="10"/>
        <v>$U$45:$U$45</v>
      </c>
      <c r="W45" s="29">
        <f t="shared" ca="1" si="11"/>
        <v>1</v>
      </c>
      <c r="X45" s="74">
        <f t="shared" ca="1" si="12"/>
        <v>55</v>
      </c>
      <c r="Y45" s="75" t="str">
        <f t="shared" ca="1" si="13"/>
        <v>Rent Guarantee</v>
      </c>
      <c r="Z45" s="79">
        <f t="shared" ca="1" si="14"/>
        <v>6240</v>
      </c>
      <c r="AA45" s="79">
        <f t="shared" ca="1" si="15"/>
        <v>0</v>
      </c>
      <c r="AB45" s="77" t="str">
        <f t="shared" ca="1" si="16"/>
        <v>-</v>
      </c>
      <c r="AC45" s="79">
        <f t="shared" ca="1" si="17"/>
        <v>0</v>
      </c>
      <c r="AD45" s="79">
        <f t="shared" ca="1" si="18"/>
        <v>6240</v>
      </c>
      <c r="AE45" s="48"/>
    </row>
    <row r="46" spans="3:44" x14ac:dyDescent="0.2">
      <c r="C46" s="28" cm="1">
        <f t="array" ref="C46">IF(C45=-1, -1,
   IF(C45&lt;income_max_row, C45+1,
      IF(C45=income_max_row, income_total_row,
          IF(C45=income_total_row, "/1",
              IF(C45="/1", expenses_header_row,
                 IF(C45&lt;expenses_max_row, C45+1,
                   IF(C45=expenses_max_row, expenses_total_row,
                      IF(C45=expenses_total_row, "/2",
                         IF(C45="/2", savings_header_row,
                             IF(C45&lt;savings_max_row, C45+1,
                                 IF(C45=savings_max_row, savings_total_row, -1)))))))))))</f>
        <v>56</v>
      </c>
      <c r="D46" s="29">
        <f t="shared" si="0"/>
        <v>54</v>
      </c>
      <c r="E46" s="28" cm="1">
        <f t="array" ref="E46">1*OR(row_id=income_header_row, row_id=expenses_header_row, row_id=savings_header_row)</f>
        <v>0</v>
      </c>
      <c r="F46">
        <f t="shared" si="1"/>
        <v>1</v>
      </c>
      <c r="G46" cm="1">
        <f t="array" ref="G46">1*OR(row_id=income_total_row, row_id=expenses_total_row, row_id=savings_total_row)</f>
        <v>0</v>
      </c>
      <c r="H46" s="29">
        <f t="shared" si="2"/>
        <v>0</v>
      </c>
      <c r="I46" s="28" t="str" cm="1">
        <f t="array" ref="I46">IFERROR(INDEX('Budget Planning'!$C:$C,header_row_id)," ")</f>
        <v>Savings</v>
      </c>
      <c r="J46" t="str" cm="1">
        <f t="array" ref="J46">IFERROR(INDEX('Budget Planning'!$C:$C, row_id), " ")</f>
        <v>Emergency Fund</v>
      </c>
      <c r="K46" s="68" cm="1">
        <f t="array" ref="K46">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0</v>
      </c>
      <c r="L46" s="69" cm="1">
        <f t="array" ref="L46">IF(OR(is_header, is_empty), "",
       INDEX('Budget Planning'!$E:$IG, row_id,
                  MATCH(IF(selected_period="Total Year", selected_year, DATE(selected_year, selected_period, 1)), 'Budget Planning'!$E$12:$IG$12, 0)))</f>
        <v>0</v>
      </c>
      <c r="M46" s="28" cm="1">
        <f t="array" ref="M46">IF(is_cat,
        IF(header_row_id=income_header_row, MATCH(income_min_row, $C:$C,0),
            IF(header_row_id=expenses_header_row, MATCH(expenses_min_row, $C:$C,0),
                IF(header_row_id=savings_header_row, MATCH(savings_min_row, $C:$C,0), ""))), "")</f>
        <v>45</v>
      </c>
      <c r="N46" s="29" cm="1">
        <f t="array" ref="N46">IF(is_cat,
        IF(header_row_id=income_header_row, MATCH(income_max_row, $C:$C,0),
            IF(header_row_id=expenses_header_row, MATCH(expenses_max_row, $C:$C,0),
                IF(header_row_id=savings_header_row, MATCH(savings_max_row, $C:$C,0), ""))), "")</f>
        <v>50</v>
      </c>
      <c r="O46" s="28" t="str">
        <f t="shared" si="3"/>
        <v>$K$45:$K$50</v>
      </c>
      <c r="P46">
        <f t="shared" ca="1" si="4"/>
        <v>2</v>
      </c>
      <c r="Q46" t="str">
        <f t="shared" si="5"/>
        <v>$L$45:$L$50</v>
      </c>
      <c r="R46" s="29">
        <f t="shared" ca="1" si="6"/>
        <v>1</v>
      </c>
      <c r="S46" s="28">
        <f t="shared" ca="1" si="7"/>
        <v>21</v>
      </c>
      <c r="T46" t="str">
        <f t="shared" si="8"/>
        <v>$S$45:$S$50</v>
      </c>
      <c r="U46">
        <f t="shared" ca="1" si="9"/>
        <v>2</v>
      </c>
      <c r="V46" t="str">
        <f t="shared" si="10"/>
        <v>$U$45:$U$46</v>
      </c>
      <c r="W46" s="29">
        <f t="shared" ca="1" si="11"/>
        <v>2</v>
      </c>
      <c r="X46" s="74">
        <f t="shared" ca="1" si="12"/>
        <v>56</v>
      </c>
      <c r="Y46" s="75" t="str">
        <f t="shared" ca="1" si="13"/>
        <v>Emergency Fund</v>
      </c>
      <c r="Z46" s="79">
        <f t="shared" ca="1" si="14"/>
        <v>0</v>
      </c>
      <c r="AA46" s="79">
        <f t="shared" ca="1" si="15"/>
        <v>0</v>
      </c>
      <c r="AB46" s="77" t="str">
        <f t="shared" ca="1" si="16"/>
        <v>-</v>
      </c>
      <c r="AC46" s="79">
        <f t="shared" ca="1" si="17"/>
        <v>0</v>
      </c>
      <c r="AD46" s="79">
        <f t="shared" ca="1" si="18"/>
        <v>0</v>
      </c>
      <c r="AE46" s="48"/>
    </row>
    <row r="47" spans="3:44" x14ac:dyDescent="0.2">
      <c r="C47" s="28" cm="1">
        <f t="array" ref="C47">IF(C46=-1, -1,
   IF(C46&lt;income_max_row, C46+1,
      IF(C46=income_max_row, income_total_row,
          IF(C46=income_total_row, "/1",
              IF(C46="/1", expenses_header_row,
                 IF(C46&lt;expenses_max_row, C46+1,
                   IF(C46=expenses_max_row, expenses_total_row,
                      IF(C46=expenses_total_row, "/2",
                         IF(C46="/2", savings_header_row,
                             IF(C46&lt;savings_max_row, C46+1,
                                 IF(C46=savings_max_row, savings_total_row, -1)))))))))))</f>
        <v>57</v>
      </c>
      <c r="D47" s="29">
        <f t="shared" si="0"/>
        <v>54</v>
      </c>
      <c r="E47" s="28" cm="1">
        <f t="array" ref="E47">1*OR(row_id=income_header_row, row_id=expenses_header_row, row_id=savings_header_row)</f>
        <v>0</v>
      </c>
      <c r="F47">
        <f t="shared" si="1"/>
        <v>1</v>
      </c>
      <c r="G47" cm="1">
        <f t="array" ref="G47">1*OR(row_id=income_total_row, row_id=expenses_total_row, row_id=savings_total_row)</f>
        <v>0</v>
      </c>
      <c r="H47" s="29">
        <f t="shared" si="2"/>
        <v>0</v>
      </c>
      <c r="I47" s="28" t="str" cm="1">
        <f t="array" ref="I47">IFERROR(INDEX('Budget Planning'!$C:$C,header_row_id)," ")</f>
        <v>Savings</v>
      </c>
      <c r="J47" t="str" cm="1">
        <f t="array" ref="J47">IFERROR(INDEX('Budget Planning'!$C:$C, row_id), " ")</f>
        <v>Retirement Account</v>
      </c>
      <c r="K47" s="68" cm="1">
        <f t="array" ref="K47">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0</v>
      </c>
      <c r="L47" s="69" cm="1">
        <f t="array" ref="L47">IF(OR(is_header, is_empty), "",
       INDEX('Budget Planning'!$E:$IG, row_id,
                  MATCH(IF(selected_period="Total Year", selected_year, DATE(selected_year, selected_period, 1)), 'Budget Planning'!$E$12:$IG$12, 0)))</f>
        <v>0</v>
      </c>
      <c r="M47" s="28" cm="1">
        <f t="array" ref="M47">IF(is_cat,
        IF(header_row_id=income_header_row, MATCH(income_min_row, $C:$C,0),
            IF(header_row_id=expenses_header_row, MATCH(expenses_min_row, $C:$C,0),
                IF(header_row_id=savings_header_row, MATCH(savings_min_row, $C:$C,0), ""))), "")</f>
        <v>45</v>
      </c>
      <c r="N47" s="29" cm="1">
        <f t="array" ref="N47">IF(is_cat,
        IF(header_row_id=income_header_row, MATCH(income_max_row, $C:$C,0),
            IF(header_row_id=expenses_header_row, MATCH(expenses_max_row, $C:$C,0),
                IF(header_row_id=savings_header_row, MATCH(savings_max_row, $C:$C,0), ""))), "")</f>
        <v>50</v>
      </c>
      <c r="O47" s="28" t="str">
        <f t="shared" si="3"/>
        <v>$K$45:$K$50</v>
      </c>
      <c r="P47">
        <f t="shared" ca="1" si="4"/>
        <v>2</v>
      </c>
      <c r="Q47" t="str">
        <f t="shared" si="5"/>
        <v>$L$45:$L$50</v>
      </c>
      <c r="R47" s="29">
        <f t="shared" ca="1" si="6"/>
        <v>1</v>
      </c>
      <c r="S47" s="28">
        <f t="shared" ca="1" si="7"/>
        <v>21</v>
      </c>
      <c r="T47" t="str">
        <f t="shared" si="8"/>
        <v>$S$45:$S$50</v>
      </c>
      <c r="U47">
        <f t="shared" ca="1" si="9"/>
        <v>2</v>
      </c>
      <c r="V47" t="str">
        <f t="shared" si="10"/>
        <v>$U$45:$U$47</v>
      </c>
      <c r="W47" s="29">
        <f t="shared" ca="1" si="11"/>
        <v>3</v>
      </c>
      <c r="X47" s="74">
        <f t="shared" ca="1" si="12"/>
        <v>57</v>
      </c>
      <c r="Y47" s="75" t="str">
        <f t="shared" ca="1" si="13"/>
        <v>Retirement Account</v>
      </c>
      <c r="Z47" s="79">
        <f t="shared" ca="1" si="14"/>
        <v>0</v>
      </c>
      <c r="AA47" s="79">
        <f t="shared" ca="1" si="15"/>
        <v>0</v>
      </c>
      <c r="AB47" s="77" t="str">
        <f t="shared" ca="1" si="16"/>
        <v>-</v>
      </c>
      <c r="AC47" s="79">
        <f t="shared" ca="1" si="17"/>
        <v>0</v>
      </c>
      <c r="AD47" s="79">
        <f t="shared" ca="1" si="18"/>
        <v>0</v>
      </c>
      <c r="AE47" s="48"/>
    </row>
    <row r="48" spans="3:44" x14ac:dyDescent="0.2">
      <c r="C48" s="28" cm="1">
        <f t="array" ref="C48">IF(C47=-1, -1,
   IF(C47&lt;income_max_row, C47+1,
      IF(C47=income_max_row, income_total_row,
          IF(C47=income_total_row, "/1",
              IF(C47="/1", expenses_header_row,
                 IF(C47&lt;expenses_max_row, C47+1,
                   IF(C47=expenses_max_row, expenses_total_row,
                      IF(C47=expenses_total_row, "/2",
                         IF(C47="/2", savings_header_row,
                             IF(C47&lt;savings_max_row, C47+1,
                                 IF(C47=savings_max_row, savings_total_row, -1)))))))))))</f>
        <v>58</v>
      </c>
      <c r="D48" s="29">
        <f t="shared" si="0"/>
        <v>54</v>
      </c>
      <c r="E48" s="28" cm="1">
        <f t="array" ref="E48">1*OR(row_id=income_header_row, row_id=expenses_header_row, row_id=savings_header_row)</f>
        <v>0</v>
      </c>
      <c r="F48">
        <f t="shared" si="1"/>
        <v>1</v>
      </c>
      <c r="G48" cm="1">
        <f t="array" ref="G48">1*OR(row_id=income_total_row, row_id=expenses_total_row, row_id=savings_total_row)</f>
        <v>0</v>
      </c>
      <c r="H48" s="29">
        <f t="shared" si="2"/>
        <v>0</v>
      </c>
      <c r="I48" s="28" t="str" cm="1">
        <f t="array" ref="I48">IFERROR(INDEX('Budget Planning'!$C:$C,header_row_id)," ")</f>
        <v>Savings</v>
      </c>
      <c r="J48" t="str" cm="1">
        <f t="array" ref="J48">IFERROR(INDEX('Budget Planning'!$C:$C, row_id), " ")</f>
        <v>Stock Portofolio</v>
      </c>
      <c r="K48" s="68" cm="1">
        <f t="array" ref="K48">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0</v>
      </c>
      <c r="L48" s="69" cm="1">
        <f t="array" ref="L48">IF(OR(is_header, is_empty), "",
       INDEX('Budget Planning'!$E:$IG, row_id,
                  MATCH(IF(selected_period="Total Year", selected_year, DATE(selected_year, selected_period, 1)), 'Budget Planning'!$E$12:$IG$12, 0)))</f>
        <v>0</v>
      </c>
      <c r="M48" s="28" cm="1">
        <f t="array" ref="M48">IF(is_cat,
        IF(header_row_id=income_header_row, MATCH(income_min_row, $C:$C,0),
            IF(header_row_id=expenses_header_row, MATCH(expenses_min_row, $C:$C,0),
                IF(header_row_id=savings_header_row, MATCH(savings_min_row, $C:$C,0), ""))), "")</f>
        <v>45</v>
      </c>
      <c r="N48" s="29" cm="1">
        <f t="array" ref="N48">IF(is_cat,
        IF(header_row_id=income_header_row, MATCH(income_max_row, $C:$C,0),
            IF(header_row_id=expenses_header_row, MATCH(expenses_max_row, $C:$C,0),
                IF(header_row_id=savings_header_row, MATCH(savings_max_row, $C:$C,0), ""))), "")</f>
        <v>50</v>
      </c>
      <c r="O48" s="28" t="str">
        <f t="shared" si="3"/>
        <v>$K$45:$K$50</v>
      </c>
      <c r="P48">
        <f t="shared" ca="1" si="4"/>
        <v>2</v>
      </c>
      <c r="Q48" t="str">
        <f t="shared" si="5"/>
        <v>$L$45:$L$50</v>
      </c>
      <c r="R48" s="29">
        <f t="shared" ca="1" si="6"/>
        <v>1</v>
      </c>
      <c r="S48" s="28">
        <f t="shared" ca="1" si="7"/>
        <v>21</v>
      </c>
      <c r="T48" t="str">
        <f t="shared" si="8"/>
        <v>$S$45:$S$50</v>
      </c>
      <c r="U48">
        <f t="shared" ca="1" si="9"/>
        <v>2</v>
      </c>
      <c r="V48" t="str">
        <f t="shared" si="10"/>
        <v>$U$45:$U$48</v>
      </c>
      <c r="W48" s="29">
        <f t="shared" ca="1" si="11"/>
        <v>4</v>
      </c>
      <c r="X48" s="74">
        <f t="shared" ca="1" si="12"/>
        <v>58</v>
      </c>
      <c r="Y48" s="75" t="str">
        <f t="shared" ca="1" si="13"/>
        <v>Stock Portofolio</v>
      </c>
      <c r="Z48" s="79">
        <f t="shared" ca="1" si="14"/>
        <v>0</v>
      </c>
      <c r="AA48" s="79">
        <f t="shared" ca="1" si="15"/>
        <v>0</v>
      </c>
      <c r="AB48" s="77" t="str">
        <f t="shared" ca="1" si="16"/>
        <v>-</v>
      </c>
      <c r="AC48" s="79">
        <f t="shared" ca="1" si="17"/>
        <v>0</v>
      </c>
      <c r="AD48" s="79">
        <f t="shared" ca="1" si="18"/>
        <v>0</v>
      </c>
      <c r="AE48" s="48"/>
    </row>
    <row r="49" spans="3:31" x14ac:dyDescent="0.2">
      <c r="C49" s="28" cm="1">
        <f t="array" ref="C49">IF(C48=-1, -1,
   IF(C48&lt;income_max_row, C48+1,
      IF(C48=income_max_row, income_total_row,
          IF(C48=income_total_row, "/1",
              IF(C48="/1", expenses_header_row,
                 IF(C48&lt;expenses_max_row, C48+1,
                   IF(C48=expenses_max_row, expenses_total_row,
                      IF(C48=expenses_total_row, "/2",
                         IF(C48="/2", savings_header_row,
                             IF(C48&lt;savings_max_row, C48+1,
                                 IF(C48=savings_max_row, savings_total_row, -1)))))))))))</f>
        <v>59</v>
      </c>
      <c r="D49" s="29">
        <f t="shared" si="0"/>
        <v>54</v>
      </c>
      <c r="E49" s="28" cm="1">
        <f t="array" ref="E49">1*OR(row_id=income_header_row, row_id=expenses_header_row, row_id=savings_header_row)</f>
        <v>0</v>
      </c>
      <c r="F49">
        <f t="shared" si="1"/>
        <v>1</v>
      </c>
      <c r="G49" cm="1">
        <f t="array" ref="G49">1*OR(row_id=income_total_row, row_id=expenses_total_row, row_id=savings_total_row)</f>
        <v>0</v>
      </c>
      <c r="H49" s="29">
        <f t="shared" si="2"/>
        <v>0</v>
      </c>
      <c r="I49" s="28" t="str" cm="1">
        <f t="array" ref="I49">IFERROR(INDEX('Budget Planning'!$C:$C,header_row_id)," ")</f>
        <v>Savings</v>
      </c>
      <c r="J49" t="str" cm="1">
        <f t="array" ref="J49">IFERROR(INDEX('Budget Planning'!$C:$C, row_id), " ")</f>
        <v>Sinking Fund Dow Payment</v>
      </c>
      <c r="K49" s="68" cm="1">
        <f t="array" ref="K49">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0</v>
      </c>
      <c r="L49" s="69" cm="1">
        <f t="array" ref="L49">IF(OR(is_header, is_empty), "",
       INDEX('Budget Planning'!$E:$IG, row_id,
                  MATCH(IF(selected_period="Total Year", selected_year, DATE(selected_year, selected_period, 1)), 'Budget Planning'!$E$12:$IG$12, 0)))</f>
        <v>0</v>
      </c>
      <c r="M49" s="28" cm="1">
        <f t="array" ref="M49">IF(is_cat,
        IF(header_row_id=income_header_row, MATCH(income_min_row, $C:$C,0),
            IF(header_row_id=expenses_header_row, MATCH(expenses_min_row, $C:$C,0),
                IF(header_row_id=savings_header_row, MATCH(savings_min_row, $C:$C,0), ""))), "")</f>
        <v>45</v>
      </c>
      <c r="N49" s="29" cm="1">
        <f t="array" ref="N49">IF(is_cat,
        IF(header_row_id=income_header_row, MATCH(income_max_row, $C:$C,0),
            IF(header_row_id=expenses_header_row, MATCH(expenses_max_row, $C:$C,0),
                IF(header_row_id=savings_header_row, MATCH(savings_max_row, $C:$C,0), ""))), "")</f>
        <v>50</v>
      </c>
      <c r="O49" s="28" t="str">
        <f t="shared" si="3"/>
        <v>$K$45:$K$50</v>
      </c>
      <c r="P49">
        <f t="shared" ca="1" si="4"/>
        <v>2</v>
      </c>
      <c r="Q49" t="str">
        <f t="shared" si="5"/>
        <v>$L$45:$L$50</v>
      </c>
      <c r="R49" s="29">
        <f t="shared" ca="1" si="6"/>
        <v>1</v>
      </c>
      <c r="S49" s="28">
        <f t="shared" ca="1" si="7"/>
        <v>21</v>
      </c>
      <c r="T49" t="str">
        <f t="shared" si="8"/>
        <v>$S$45:$S$50</v>
      </c>
      <c r="U49">
        <f t="shared" ca="1" si="9"/>
        <v>2</v>
      </c>
      <c r="V49" t="str">
        <f t="shared" si="10"/>
        <v>$U$45:$U$49</v>
      </c>
      <c r="W49" s="29">
        <f t="shared" ca="1" si="11"/>
        <v>5</v>
      </c>
      <c r="X49" s="74">
        <f t="shared" ca="1" si="12"/>
        <v>59</v>
      </c>
      <c r="Y49" s="75" t="str">
        <f t="shared" ca="1" si="13"/>
        <v>Sinking Fund Dow Payment</v>
      </c>
      <c r="Z49" s="79">
        <f t="shared" ca="1" si="14"/>
        <v>0</v>
      </c>
      <c r="AA49" s="79">
        <f t="shared" ca="1" si="15"/>
        <v>0</v>
      </c>
      <c r="AB49" s="77" t="str">
        <f t="shared" ca="1" si="16"/>
        <v>-</v>
      </c>
      <c r="AC49" s="79">
        <f t="shared" ca="1" si="17"/>
        <v>0</v>
      </c>
      <c r="AD49" s="79">
        <f t="shared" ca="1" si="18"/>
        <v>0</v>
      </c>
      <c r="AE49" s="48"/>
    </row>
    <row r="50" spans="3:31" x14ac:dyDescent="0.2">
      <c r="C50" s="28" cm="1">
        <f t="array" ref="C50">IF(C49=-1, -1,
   IF(C49&lt;income_max_row, C49+1,
      IF(C49=income_max_row, income_total_row,
          IF(C49=income_total_row, "/1",
              IF(C49="/1", expenses_header_row,
                 IF(C49&lt;expenses_max_row, C49+1,
                   IF(C49=expenses_max_row, expenses_total_row,
                      IF(C49=expenses_total_row, "/2",
                         IF(C49="/2", savings_header_row,
                             IF(C49&lt;savings_max_row, C49+1,
                                 IF(C49=savings_max_row, savings_total_row, -1)))))))))))</f>
        <v>60</v>
      </c>
      <c r="D50" s="29">
        <f t="shared" si="0"/>
        <v>54</v>
      </c>
      <c r="E50" s="28" cm="1">
        <f t="array" ref="E50">1*OR(row_id=income_header_row, row_id=expenses_header_row, row_id=savings_header_row)</f>
        <v>0</v>
      </c>
      <c r="F50">
        <f t="shared" si="1"/>
        <v>1</v>
      </c>
      <c r="G50" cm="1">
        <f t="array" ref="G50">1*OR(row_id=income_total_row, row_id=expenses_total_row, row_id=savings_total_row)</f>
        <v>0</v>
      </c>
      <c r="H50" s="29">
        <f t="shared" si="2"/>
        <v>0</v>
      </c>
      <c r="I50" s="28" t="str" cm="1">
        <f t="array" ref="I50">IFERROR(INDEX('Budget Planning'!$C:$C,header_row_id)," ")</f>
        <v>Savings</v>
      </c>
      <c r="J50" t="str" cm="1">
        <f t="array" ref="J50">IFERROR(INDEX('Budget Planning'!$C:$C, row_id), " ")</f>
        <v>Sinking Fund Rest</v>
      </c>
      <c r="K50" s="68" cm="1">
        <f t="array" ref="K50">IF(OR(is_header, is_empty), "",
       IF(is_total,
          IF(selected_period="Total Year",
             SUM( Tracking[Amount] * (Tracking[Type]=type)*(YEAR(Tracking[Effective Date])=selected_year)),
             SUM( Tracking[Amount] * (Tracking[Type]=type)*(YEAR(Tracking[Effective Date])=selected_year)*(MONTH(Tracking[Effective Date])=selected_period) )),
         IF(selected_period="Total Year",
             SUM( Tracking[Amount] * (Tracking[Type]=type)*(Tracking[Category]=item)*(YEAR(Tracking[Effective Date])=selected_year)),
             SUM( Tracking[Amount] * (Tracking[Type]=type)*(Tracking[Category]=item)*(YEAR(Tracking[Effective Date])=selected_year)*(MONTH(Tracking[Effective Date])=selected_period)))
           )
)</f>
        <v>0</v>
      </c>
      <c r="L50" s="69" cm="1">
        <f t="array" ref="L50">IF(OR(is_header, is_empty), "",
       INDEX('Budget Planning'!$E:$IG, row_id,
                  MATCH(IF(selected_period="Total Year", selected_year, DATE(selected_year, selected_period, 1)), 'Budget Planning'!$E$12:$IG$12, 0)))</f>
        <v>0</v>
      </c>
      <c r="M50" s="28" cm="1">
        <f t="array" ref="M50">IF(is_cat,
        IF(header_row_id=income_header_row, MATCH(income_min_row, $C:$C,0),
            IF(header_row_id=expenses_header_row, MATCH(expenses_min_row, $C:$C,0),
                IF(header_row_id=savings_header_row, MATCH(savings_min_row, $C:$C,0), ""))), "")</f>
        <v>45</v>
      </c>
      <c r="N50" s="29" cm="1">
        <f t="array" ref="N50">IF(is_cat,
        IF(header_row_id=income_header_row, MATCH(income_max_row, $C:$C,0),
            IF(header_row_id=expenses_header_row, MATCH(expenses_max_row, $C:$C,0),
                IF(header_row_id=savings_header_row, MATCH(savings_max_row, $C:$C,0), ""))), "")</f>
        <v>50</v>
      </c>
      <c r="O50" s="28" t="str">
        <f t="shared" si="3"/>
        <v>$K$45:$K$50</v>
      </c>
      <c r="P50">
        <f t="shared" ca="1" si="4"/>
        <v>2</v>
      </c>
      <c r="Q50" t="str">
        <f t="shared" si="5"/>
        <v>$L$45:$L$50</v>
      </c>
      <c r="R50" s="29">
        <f t="shared" ca="1" si="6"/>
        <v>1</v>
      </c>
      <c r="S50" s="28">
        <f t="shared" ca="1" si="7"/>
        <v>21</v>
      </c>
      <c r="T50" t="str">
        <f t="shared" si="8"/>
        <v>$S$45:$S$50</v>
      </c>
      <c r="U50">
        <f t="shared" ca="1" si="9"/>
        <v>2</v>
      </c>
      <c r="V50" t="str">
        <f t="shared" si="10"/>
        <v>$U$45:$U$50</v>
      </c>
      <c r="W50" s="29">
        <f t="shared" ca="1" si="11"/>
        <v>6</v>
      </c>
      <c r="X50" s="74">
        <f t="shared" ca="1" si="12"/>
        <v>60</v>
      </c>
      <c r="Y50" s="75" t="str">
        <f t="shared" ca="1" si="13"/>
        <v>Sinking Fund Rest</v>
      </c>
      <c r="Z50" s="79">
        <f t="shared" ca="1" si="14"/>
        <v>0</v>
      </c>
      <c r="AA50" s="79">
        <f t="shared" ca="1" si="15"/>
        <v>0</v>
      </c>
      <c r="AB50" s="77" t="str">
        <f t="shared" ca="1" si="16"/>
        <v>-</v>
      </c>
      <c r="AC50" s="79">
        <f t="shared" ca="1" si="17"/>
        <v>0</v>
      </c>
      <c r="AD50" s="79">
        <f t="shared" ca="1" si="18"/>
        <v>0</v>
      </c>
      <c r="AE50" s="48"/>
    </row>
  </sheetData>
  <sortState xmlns:xlrd2="http://schemas.microsoft.com/office/spreadsheetml/2017/richdata2" ref="Y20:AD39">
    <sortCondition ref="AA20:AA39"/>
  </sortState>
  <mergeCells count="10">
    <mergeCell ref="C2:F2"/>
    <mergeCell ref="Y11:AD11"/>
    <mergeCell ref="AF11:AR11"/>
    <mergeCell ref="AQ5:AR5"/>
    <mergeCell ref="AQ6:AR6"/>
    <mergeCell ref="AN6:AP6"/>
    <mergeCell ref="AQ8:AR8"/>
    <mergeCell ref="AN9:AP9"/>
    <mergeCell ref="AQ9:AR9"/>
    <mergeCell ref="Y2:AM2"/>
  </mergeCells>
  <conditionalFormatting sqref="Y13:AD50">
    <cfRule type="expression" dxfId="29" priority="19" stopIfTrue="1">
      <formula>row_id = income_header_row</formula>
    </cfRule>
    <cfRule type="expression" dxfId="28" priority="20" stopIfTrue="1">
      <formula>row_id = expenses_header_row</formula>
    </cfRule>
    <cfRule type="expression" dxfId="27" priority="21" stopIfTrue="1">
      <formula>row_id = savings_header_row</formula>
    </cfRule>
    <cfRule type="expression" dxfId="26" priority="22" stopIfTrue="1">
      <formula>is_total</formula>
    </cfRule>
  </conditionalFormatting>
  <conditionalFormatting sqref="AB13:AB50">
    <cfRule type="expression" dxfId="25" priority="23" stopIfTrue="1">
      <formula>AND(OR(is_cat, is_total), out_budget &gt; 0, out_percentage_completed &gt;=1, header_row_id=income_header_row)</formula>
    </cfRule>
    <cfRule type="expression" dxfId="24" priority="24" stopIfTrue="1">
      <formula>AND(OR(is_cat, is_total), out_budget &gt; 0, out_percentage_completed &gt;=1, header_row_id=expenses_header_row)</formula>
    </cfRule>
    <cfRule type="expression" dxfId="23" priority="25" stopIfTrue="1">
      <formula>AND(OR(is_cat, is_total), out_budget &gt; 0, out_percentage_completed &gt;=1, header_row_id=savings_header_row)</formula>
    </cfRule>
    <cfRule type="dataBar" priority="26">
      <dataBar>
        <cfvo type="num" val="0"/>
        <cfvo type="num" val="1"/>
        <color theme="2" tint="-0.249977111117893"/>
      </dataBar>
      <extLst>
        <ext xmlns:x14="http://schemas.microsoft.com/office/spreadsheetml/2009/9/main" uri="{B025F937-C7B1-47D3-B67F-A62EFF666E3E}">
          <x14:id>{39443E1D-8CB5-7944-BE52-460FD12AC027}</x14:id>
        </ext>
      </extLst>
    </cfRule>
  </conditionalFormatting>
  <conditionalFormatting sqref="AH16">
    <cfRule type="expression" dxfId="22" priority="13">
      <formula>AI16&lt;&gt;""</formula>
    </cfRule>
  </conditionalFormatting>
  <conditionalFormatting sqref="AH17">
    <cfRule type="expression" dxfId="21" priority="14">
      <formula>AI17&lt;&gt;""</formula>
    </cfRule>
  </conditionalFormatting>
  <conditionalFormatting sqref="AH18">
    <cfRule type="expression" dxfId="20" priority="15">
      <formula>AI18&lt;&gt;""</formula>
    </cfRule>
  </conditionalFormatting>
  <conditionalFormatting sqref="AH19">
    <cfRule type="expression" dxfId="19" priority="16">
      <formula>AI19&lt;&gt;""</formula>
    </cfRule>
  </conditionalFormatting>
  <conditionalFormatting sqref="AH20">
    <cfRule type="expression" dxfId="18" priority="17">
      <formula>AI20&lt;&gt;""</formula>
    </cfRule>
  </conditionalFormatting>
  <conditionalFormatting sqref="AH21">
    <cfRule type="expression" dxfId="17" priority="18">
      <formula>AI21&lt;&gt;""</formula>
    </cfRule>
  </conditionalFormatting>
  <conditionalFormatting sqref="AH29">
    <cfRule type="expression" dxfId="16" priority="7">
      <formula>AI29&lt;&gt;""</formula>
    </cfRule>
  </conditionalFormatting>
  <conditionalFormatting sqref="AH30">
    <cfRule type="expression" dxfId="15" priority="8" stopIfTrue="1">
      <formula>AI30&lt;&gt;""</formula>
    </cfRule>
  </conditionalFormatting>
  <conditionalFormatting sqref="AH31">
    <cfRule type="expression" dxfId="14" priority="9" stopIfTrue="1">
      <formula>AI31&lt;&gt;""</formula>
    </cfRule>
  </conditionalFormatting>
  <conditionalFormatting sqref="AH32">
    <cfRule type="expression" dxfId="13" priority="10" stopIfTrue="1">
      <formula>AI32&lt;&gt;""</formula>
    </cfRule>
  </conditionalFormatting>
  <conditionalFormatting sqref="AH33">
    <cfRule type="expression" dxfId="12" priority="11" stopIfTrue="1">
      <formula>AI33&lt;&gt;""</formula>
    </cfRule>
  </conditionalFormatting>
  <conditionalFormatting sqref="AH34">
    <cfRule type="expression" dxfId="11" priority="12">
      <formula>AI34&lt;&gt;""</formula>
    </cfRule>
  </conditionalFormatting>
  <conditionalFormatting sqref="AO29">
    <cfRule type="expression" dxfId="10" priority="1" stopIfTrue="1">
      <formula>AP29&lt;&gt;""</formula>
    </cfRule>
  </conditionalFormatting>
  <conditionalFormatting sqref="AO30">
    <cfRule type="expression" dxfId="9" priority="2" stopIfTrue="1">
      <formula>AP30&lt;&gt;""</formula>
    </cfRule>
  </conditionalFormatting>
  <conditionalFormatting sqref="AO31">
    <cfRule type="expression" dxfId="8" priority="3" stopIfTrue="1">
      <formula>AP31&lt;&gt;""</formula>
    </cfRule>
  </conditionalFormatting>
  <conditionalFormatting sqref="AO32">
    <cfRule type="expression" dxfId="7" priority="4" stopIfTrue="1">
      <formula>AP32&lt;&gt;""</formula>
    </cfRule>
  </conditionalFormatting>
  <conditionalFormatting sqref="AO33">
    <cfRule type="expression" dxfId="6" priority="5" stopIfTrue="1">
      <formula>AP33&lt;&gt;""</formula>
    </cfRule>
  </conditionalFormatting>
  <conditionalFormatting sqref="AO34">
    <cfRule type="expression" dxfId="5" priority="6">
      <formula>AP34&lt;&gt;""</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9443E1D-8CB5-7944-BE52-460FD12AC027}">
            <x14:dataBar minLength="0" maxLength="100" gradient="0">
              <x14:cfvo type="num">
                <xm:f>0</xm:f>
              </x14:cfvo>
              <x14:cfvo type="num">
                <xm:f>1</xm:f>
              </x14:cfvo>
              <x14:negativeFillColor rgb="FFFF0000"/>
              <x14:axisColor rgb="FF000000"/>
            </x14:dataBar>
          </x14:cfRule>
          <xm:sqref>AB13:AB50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FDFEC761-EDFB-0046-9396-988B91C5EA42}">
          <x14:formula1>
            <xm:f>'Dropdown Data'!$C$8:$C$18</xm:f>
          </x14:formula1>
          <xm:sqref>AQ6:AR6</xm:sqref>
        </x14:dataValidation>
        <x14:dataValidation type="list" allowBlank="1" showInputMessage="1" showErrorMessage="1" xr:uid="{1617A2F9-AE28-A848-A938-202A85A7BE0D}">
          <x14:formula1>
            <xm:f>'Dropdown Data'!$E$8:$E$21</xm:f>
          </x14:formula1>
          <xm:sqref>AQ9:AR9</xm:sqref>
        </x14:dataValidation>
      </x14:dataValidations>
    </ex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7501E-7EC1-5747-9138-6C73D34E97DA}">
  <sheetPr>
    <tabColor theme="3"/>
  </sheetPr>
  <dimension ref="C1:W541"/>
  <sheetViews>
    <sheetView showGridLines="0" workbookViewId="0">
      <pane ySplit="11" topLeftCell="A522" activePane="bottomLeft" state="frozen"/>
      <selection pane="bottomLeft" activeCell="H545" sqref="H545"/>
    </sheetView>
  </sheetViews>
  <sheetFormatPr baseColWidth="10" defaultRowHeight="16" x14ac:dyDescent="0.2"/>
  <cols>
    <col min="2" max="2" width="5" customWidth="1"/>
    <col min="3" max="4" width="14.1640625" customWidth="1"/>
    <col min="5" max="5" width="34.83203125" customWidth="1"/>
    <col min="6" max="6" width="14.1640625" customWidth="1"/>
    <col min="7" max="7" width="67.5" customWidth="1"/>
    <col min="8" max="8" width="17.1640625" customWidth="1"/>
    <col min="9" max="9" width="23.6640625" customWidth="1"/>
    <col min="12" max="12" width="16.5" bestFit="1" customWidth="1"/>
    <col min="13" max="13" width="24.1640625" customWidth="1"/>
    <col min="16" max="16" width="11.5" customWidth="1"/>
    <col min="17" max="17" width="12.5" customWidth="1"/>
    <col min="18" max="18" width="13.6640625" customWidth="1"/>
  </cols>
  <sheetData>
    <row r="1" spans="3:16" s="1" customFormat="1" x14ac:dyDescent="0.2"/>
    <row r="2" spans="3:16" s="1" customFormat="1" ht="38" customHeight="1" x14ac:dyDescent="0.2">
      <c r="C2" s="123" t="s">
        <v>1</v>
      </c>
      <c r="D2" s="123"/>
      <c r="E2" s="123"/>
      <c r="F2" s="123"/>
    </row>
    <row r="3" spans="3:16" s="1" customFormat="1" x14ac:dyDescent="0.2"/>
    <row r="6" spans="3:16" x14ac:dyDescent="0.2">
      <c r="L6" s="112" cm="1">
        <f t="array" ref="L6">SUMPRODUCT((Tracking[Year]=2025)*(Tracking[Month]=8)*(Tracking[Amount])*(Tracking[Type]="Income"))</f>
        <v>8095.95</v>
      </c>
    </row>
    <row r="11" spans="3:16" x14ac:dyDescent="0.2">
      <c r="C11" s="33" t="s">
        <v>28</v>
      </c>
      <c r="D11" s="33" t="s">
        <v>29</v>
      </c>
      <c r="E11" s="33" t="s">
        <v>30</v>
      </c>
      <c r="F11" s="33" t="s">
        <v>85</v>
      </c>
      <c r="G11" s="33" t="s">
        <v>31</v>
      </c>
      <c r="H11" s="37" t="s">
        <v>32</v>
      </c>
      <c r="I11" s="37" t="s">
        <v>33</v>
      </c>
      <c r="J11" s="110" t="s">
        <v>87</v>
      </c>
      <c r="K11" s="113" t="s">
        <v>192</v>
      </c>
    </row>
    <row r="12" spans="3:16" x14ac:dyDescent="0.2">
      <c r="C12" s="34">
        <f>SOURCE!A2</f>
        <v>45870</v>
      </c>
      <c r="D12" s="11" t="str">
        <f>SOURCE!B2</f>
        <v>Expenses</v>
      </c>
      <c r="E12" s="11" t="str">
        <f>SOURCE!C2</f>
        <v>Digital Goods</v>
      </c>
      <c r="F12" s="35">
        <f>SOURCE!E2</f>
        <v>0.05</v>
      </c>
      <c r="G12" s="36"/>
      <c r="H12" s="38" cm="1">
        <f t="array" ref="H12">SUMPRODUCT(Tracking[Amount],--(Tracking[Date]&lt;=Tracking[[#This Row],[Date]]),(Tracking[Type]&lt;&gt;"Income")*(-1)+(Tracking[Type]="Income"))</f>
        <v>-40.15</v>
      </c>
      <c r="I12" s="42">
        <f>IF(AND(Tracking[[#This Row],[Type]]="Income", shift_late_income_status="Active", DAY(Tracking[[#This Row],[Date]])&gt;=shift_late_income_starting_date), DATE(YEAR(Tracking[[#This Row],[Date]]),MONTH(Tracking[[#This Row],[Date]])+1,1),Tracking[[#This Row],[Date]])</f>
        <v>45870</v>
      </c>
      <c r="J12" s="11">
        <f>MONTH(Tracking[[#This Row],[Date]])</f>
        <v>8</v>
      </c>
      <c r="K12" s="64">
        <f>YEAR(Tracking[[#This Row],[Date]])</f>
        <v>2025</v>
      </c>
      <c r="L12" s="63"/>
    </row>
    <row r="13" spans="3:16" x14ac:dyDescent="0.2">
      <c r="C13" s="34">
        <f>SOURCE!A3</f>
        <v>45870</v>
      </c>
      <c r="D13" s="11" t="str">
        <f>SOURCE!B3</f>
        <v>Expenses</v>
      </c>
      <c r="E13" s="11" t="str">
        <f>SOURCE!C3</f>
        <v>Train</v>
      </c>
      <c r="F13" s="35">
        <f>SOURCE!E3</f>
        <v>18</v>
      </c>
      <c r="G13" s="36"/>
      <c r="H13" s="38" cm="1">
        <f t="array" ref="H13">SUMPRODUCT(Tracking[Amount],--(Tracking[Date]&lt;=Tracking[[#This Row],[Date]]),(Tracking[Type]&lt;&gt;"Income")*(-1)+(Tracking[Type]="Income"))</f>
        <v>-40.15</v>
      </c>
      <c r="I13" s="42">
        <f>IF(AND(Tracking[[#This Row],[Type]]="Income", shift_late_income_status="Active", DAY(Tracking[[#This Row],[Date]])&gt;=shift_late_income_starting_date), DATE(YEAR(Tracking[[#This Row],[Date]]),MONTH(Tracking[[#This Row],[Date]])+1,1),Tracking[[#This Row],[Date]])</f>
        <v>45870</v>
      </c>
      <c r="J13" s="11">
        <f>MONTH(Tracking[[#This Row],[Date]])</f>
        <v>8</v>
      </c>
      <c r="K13" s="64">
        <f>YEAR(Tracking[[#This Row],[Date]])</f>
        <v>2025</v>
      </c>
    </row>
    <row r="14" spans="3:16" x14ac:dyDescent="0.2">
      <c r="C14" s="34">
        <f>SOURCE!A4</f>
        <v>45870</v>
      </c>
      <c r="D14" s="11" t="str">
        <f>SOURCE!B4</f>
        <v>Expenses</v>
      </c>
      <c r="E14" s="11" t="str">
        <f>SOURCE!C4</f>
        <v>Restaurants</v>
      </c>
      <c r="F14" s="35">
        <f>SOURCE!E4</f>
        <v>13.5</v>
      </c>
      <c r="G14" s="36"/>
      <c r="H14" s="38" cm="1">
        <f t="array" ref="H14">SUMPRODUCT(Tracking[Amount],--(Tracking[Date]&lt;=Tracking[[#This Row],[Date]]),(Tracking[Type]&lt;&gt;"Income")*(-1)+(Tracking[Type]="Income"))</f>
        <v>-40.15</v>
      </c>
      <c r="I14" s="42">
        <f>IF(AND(Tracking[[#This Row],[Type]]="Income", shift_late_income_status="Active", DAY(Tracking[[#This Row],[Date]])&gt;=shift_late_income_starting_date), DATE(YEAR(Tracking[[#This Row],[Date]]),MONTH(Tracking[[#This Row],[Date]])+1,1),Tracking[[#This Row],[Date]])</f>
        <v>45870</v>
      </c>
      <c r="J14" s="11">
        <f>MONTH(Tracking[[#This Row],[Date]])</f>
        <v>8</v>
      </c>
      <c r="K14" s="64">
        <f>YEAR(Tracking[[#This Row],[Date]])</f>
        <v>2025</v>
      </c>
    </row>
    <row r="15" spans="3:16" x14ac:dyDescent="0.2">
      <c r="C15" s="34">
        <f>SOURCE!A5</f>
        <v>45870</v>
      </c>
      <c r="D15" s="11" t="str">
        <f>SOURCE!B5</f>
        <v>Expenses</v>
      </c>
      <c r="E15" s="11" t="str">
        <f>SOURCE!C5</f>
        <v>Train</v>
      </c>
      <c r="F15" s="35">
        <f>SOURCE!E5</f>
        <v>4.7</v>
      </c>
      <c r="G15" s="36"/>
      <c r="H15" s="38" cm="1">
        <f t="array" ref="H15">SUMPRODUCT(Tracking[Amount],--(Tracking[Date]&lt;=Tracking[[#This Row],[Date]]),(Tracking[Type]&lt;&gt;"Income")*(-1)+(Tracking[Type]="Income"))</f>
        <v>-40.15</v>
      </c>
      <c r="I15" s="42">
        <f>IF(AND(Tracking[[#This Row],[Type]]="Income", shift_late_income_status="Active", DAY(Tracking[[#This Row],[Date]])&gt;=shift_late_income_starting_date), DATE(YEAR(Tracking[[#This Row],[Date]]),MONTH(Tracking[[#This Row],[Date]])+1,1),Tracking[[#This Row],[Date]])</f>
        <v>45870</v>
      </c>
      <c r="J15" s="11">
        <f>MONTH(Tracking[[#This Row],[Date]])</f>
        <v>8</v>
      </c>
      <c r="K15" s="64">
        <f>YEAR(Tracking[[#This Row],[Date]])</f>
        <v>2025</v>
      </c>
    </row>
    <row r="16" spans="3:16" x14ac:dyDescent="0.2">
      <c r="C16" s="34">
        <f>SOURCE!A6</f>
        <v>45870</v>
      </c>
      <c r="D16" s="11" t="str">
        <f>SOURCE!B6</f>
        <v>Expenses</v>
      </c>
      <c r="E16" s="11" t="str">
        <f>SOURCE!C6</f>
        <v>Train</v>
      </c>
      <c r="F16" s="35">
        <f>SOURCE!E6</f>
        <v>3.9</v>
      </c>
      <c r="G16" s="36"/>
      <c r="H16" s="38" cm="1">
        <f t="array" ref="H16">SUMPRODUCT(Tracking[Amount],--(Tracking[Date]&lt;=Tracking[[#This Row],[Date]]),(Tracking[Type]&lt;&gt;"Income")*(-1)+(Tracking[Type]="Income"))</f>
        <v>-40.15</v>
      </c>
      <c r="I16" s="42">
        <f>IF(AND(Tracking[[#This Row],[Type]]="Income", shift_late_income_status="Active", DAY(Tracking[[#This Row],[Date]])&gt;=shift_late_income_starting_date), DATE(YEAR(Tracking[[#This Row],[Date]]),MONTH(Tracking[[#This Row],[Date]])+1,1),Tracking[[#This Row],[Date]])</f>
        <v>45870</v>
      </c>
      <c r="J16" s="11">
        <f>MONTH(Tracking[[#This Row],[Date]])</f>
        <v>8</v>
      </c>
      <c r="K16" s="64">
        <f>YEAR(Tracking[[#This Row],[Date]])</f>
        <v>2025</v>
      </c>
      <c r="P16" cm="1">
        <f t="array" aca="1" ref="P16" ca="1">SUMPRODUCT((P27:P47)*(M27:M47="Expenses"))</f>
        <v>0</v>
      </c>
    </row>
    <row r="17" spans="3:23" x14ac:dyDescent="0.2">
      <c r="C17" s="34">
        <f>SOURCE!A7</f>
        <v>45872</v>
      </c>
      <c r="D17" s="11" t="str">
        <f>SOURCE!B7</f>
        <v>Expenses</v>
      </c>
      <c r="E17" s="11" t="str">
        <f>SOURCE!C7</f>
        <v>Car</v>
      </c>
      <c r="F17" s="35">
        <f>SOURCE!E7</f>
        <v>49.11</v>
      </c>
      <c r="G17" s="36"/>
      <c r="H17" s="38" cm="1">
        <f t="array" ref="H17">SUMPRODUCT(Tracking[Amount],--(Tracking[Date]&lt;=Tracking[[#This Row],[Date]]),(Tracking[Type]&lt;&gt;"Income")*(-1)+(Tracking[Type]="Income"))</f>
        <v>-45.259999999999991</v>
      </c>
      <c r="I17" s="42">
        <f>IF(AND(Tracking[[#This Row],[Type]]="Income", shift_late_income_status="Active", DAY(Tracking[[#This Row],[Date]])&gt;=shift_late_income_starting_date), DATE(YEAR(Tracking[[#This Row],[Date]]),MONTH(Tracking[[#This Row],[Date]])+1,1),Tracking[[#This Row],[Date]])</f>
        <v>45872</v>
      </c>
      <c r="J17" s="11">
        <f>MONTH(Tracking[[#This Row],[Date]])</f>
        <v>8</v>
      </c>
      <c r="K17" s="64">
        <f>YEAR(Tracking[[#This Row],[Date]])</f>
        <v>2025</v>
      </c>
    </row>
    <row r="18" spans="3:23" x14ac:dyDescent="0.2">
      <c r="C18" s="34">
        <f>SOURCE!A8</f>
        <v>45872</v>
      </c>
      <c r="D18" s="11" t="str">
        <f>SOURCE!B8</f>
        <v>Income</v>
      </c>
      <c r="E18" s="11" t="str">
        <f>SOURCE!C8</f>
        <v>Extras / Twint Chargeback</v>
      </c>
      <c r="F18" s="35">
        <f>SOURCE!E8</f>
        <v>44</v>
      </c>
      <c r="G18" s="36"/>
      <c r="H18" s="38" cm="1">
        <f t="array" ref="H18">SUMPRODUCT(Tracking[Amount],--(Tracking[Date]&lt;=Tracking[[#This Row],[Date]]),(Tracking[Type]&lt;&gt;"Income")*(-1)+(Tracking[Type]="Income"))</f>
        <v>-45.259999999999991</v>
      </c>
      <c r="I18" s="42">
        <f>IF(AND(Tracking[[#This Row],[Type]]="Income", shift_late_income_status="Active", DAY(Tracking[[#This Row],[Date]])&gt;=shift_late_income_starting_date), DATE(YEAR(Tracking[[#This Row],[Date]]),MONTH(Tracking[[#This Row],[Date]])+1,1),Tracking[[#This Row],[Date]])</f>
        <v>45872</v>
      </c>
      <c r="J18" s="11">
        <f>MONTH(Tracking[[#This Row],[Date]])</f>
        <v>8</v>
      </c>
      <c r="K18" s="64">
        <f>YEAR(Tracking[[#This Row],[Date]])</f>
        <v>2025</v>
      </c>
    </row>
    <row r="19" spans="3:23" x14ac:dyDescent="0.2">
      <c r="C19" s="34">
        <f>SOURCE!A9</f>
        <v>45873</v>
      </c>
      <c r="D19" s="11" t="str">
        <f>SOURCE!B9</f>
        <v>Expenses</v>
      </c>
      <c r="E19" s="11" t="str">
        <f>SOURCE!C9</f>
        <v>Train</v>
      </c>
      <c r="F19" s="35">
        <f>SOURCE!E9</f>
        <v>4.7</v>
      </c>
      <c r="G19" s="36"/>
      <c r="H19" s="38" cm="1">
        <f t="array" ref="H19">SUMPRODUCT(Tracking[Amount],--(Tracking[Date]&lt;=Tracking[[#This Row],[Date]]),(Tracking[Type]&lt;&gt;"Income")*(-1)+(Tracking[Type]="Income"))</f>
        <v>-81.459999999999994</v>
      </c>
      <c r="I19" s="42">
        <f>IF(AND(Tracking[[#This Row],[Type]]="Income", shift_late_income_status="Active", DAY(Tracking[[#This Row],[Date]])&gt;=shift_late_income_starting_date), DATE(YEAR(Tracking[[#This Row],[Date]]),MONTH(Tracking[[#This Row],[Date]])+1,1),Tracking[[#This Row],[Date]])</f>
        <v>45873</v>
      </c>
      <c r="J19" s="11">
        <f>MONTH(Tracking[[#This Row],[Date]])</f>
        <v>8</v>
      </c>
      <c r="K19" s="64">
        <f>YEAR(Tracking[[#This Row],[Date]])</f>
        <v>2025</v>
      </c>
      <c r="N19">
        <f>MONTH(C12)</f>
        <v>8</v>
      </c>
    </row>
    <row r="20" spans="3:23" x14ac:dyDescent="0.2">
      <c r="C20" s="34">
        <f>SOURCE!A10</f>
        <v>45873</v>
      </c>
      <c r="D20" s="11" t="str">
        <f>SOURCE!B10</f>
        <v>Expenses</v>
      </c>
      <c r="E20" s="11" t="str">
        <f>SOURCE!C10</f>
        <v>Restaurants</v>
      </c>
      <c r="F20" s="35">
        <f>SOURCE!E10</f>
        <v>31.5</v>
      </c>
      <c r="G20" s="36"/>
      <c r="H20" s="38" cm="1">
        <f t="array" ref="H20">SUMPRODUCT(Tracking[Amount],--(Tracking[Date]&lt;=Tracking[[#This Row],[Date]]),(Tracking[Type]&lt;&gt;"Income")*(-1)+(Tracking[Type]="Income"))</f>
        <v>-81.459999999999994</v>
      </c>
      <c r="I20" s="42">
        <f>IF(AND(Tracking[[#This Row],[Type]]="Income", shift_late_income_status="Active", DAY(Tracking[[#This Row],[Date]])&gt;=shift_late_income_starting_date), DATE(YEAR(Tracking[[#This Row],[Date]]),MONTH(Tracking[[#This Row],[Date]])+1,1),Tracking[[#This Row],[Date]])</f>
        <v>45873</v>
      </c>
      <c r="J20" s="11">
        <f>MONTH(Tracking[[#This Row],[Date]])</f>
        <v>8</v>
      </c>
      <c r="K20" s="64">
        <f>YEAR(Tracking[[#This Row],[Date]])</f>
        <v>2025</v>
      </c>
    </row>
    <row r="21" spans="3:23" x14ac:dyDescent="0.2">
      <c r="C21" s="34">
        <f>SOURCE!A11</f>
        <v>45874</v>
      </c>
      <c r="D21" s="11" t="str">
        <f>SOURCE!B11</f>
        <v>Expenses</v>
      </c>
      <c r="E21" s="11" t="str">
        <f>SOURCE!C11</f>
        <v>Restaurants</v>
      </c>
      <c r="F21" s="35">
        <f>SOURCE!E11</f>
        <v>8</v>
      </c>
      <c r="G21" s="66"/>
      <c r="H21" s="67" cm="1">
        <f t="array" ref="H21">SUMPRODUCT(Tracking[Amount],--(Tracking[Date]&lt;=Tracking[[#This Row],[Date]]),(Tracking[Type]&lt;&gt;"Income")*(-1)+(Tracking[Type]="Income"))</f>
        <v>-94.16</v>
      </c>
      <c r="I21" s="42">
        <f>IF(AND(Tracking[[#This Row],[Type]]="Income", shift_late_income_status="Active", DAY(Tracking[[#This Row],[Date]])&gt;=shift_late_income_starting_date), DATE(YEAR(Tracking[[#This Row],[Date]]),MONTH(Tracking[[#This Row],[Date]])+1,1),Tracking[[#This Row],[Date]])</f>
        <v>45874</v>
      </c>
      <c r="J21" s="11">
        <f>MONTH(Tracking[[#This Row],[Date]])</f>
        <v>8</v>
      </c>
      <c r="K21" s="64">
        <f>YEAR(Tracking[[#This Row],[Date]])</f>
        <v>2025</v>
      </c>
    </row>
    <row r="22" spans="3:23" x14ac:dyDescent="0.2">
      <c r="C22" s="34">
        <f>SOURCE!A12</f>
        <v>45874</v>
      </c>
      <c r="D22" s="11" t="str">
        <f>SOURCE!B12</f>
        <v>Expenses</v>
      </c>
      <c r="E22" s="11" t="str">
        <f>SOURCE!C12</f>
        <v>Train</v>
      </c>
      <c r="F22" s="35">
        <f>SOURCE!E12</f>
        <v>4.7</v>
      </c>
      <c r="G22" s="36"/>
      <c r="H22" s="38" cm="1">
        <f t="array" ref="H22">SUMPRODUCT(Tracking[Amount],--(Tracking[Date]&lt;=Tracking[[#This Row],[Date]]),(Tracking[Type]&lt;&gt;"Income")*(-1)+(Tracking[Type]="Income"))</f>
        <v>-94.16</v>
      </c>
      <c r="I22" s="42">
        <f>IF(AND(Tracking[[#This Row],[Type]]="Income", shift_late_income_status="Active", DAY(Tracking[[#This Row],[Date]])&gt;=shift_late_income_starting_date), DATE(YEAR(Tracking[[#This Row],[Date]]),MONTH(Tracking[[#This Row],[Date]])+1,1),Tracking[[#This Row],[Date]])</f>
        <v>45874</v>
      </c>
      <c r="J22" s="11">
        <f>MONTH(Tracking[[#This Row],[Date]])</f>
        <v>8</v>
      </c>
      <c r="K22" s="64">
        <f>YEAR(Tracking[[#This Row],[Date]])</f>
        <v>2025</v>
      </c>
    </row>
    <row r="23" spans="3:23" x14ac:dyDescent="0.2">
      <c r="C23" s="34">
        <f>SOURCE!A13</f>
        <v>45875</v>
      </c>
      <c r="D23" s="11" t="str">
        <f>SOURCE!B13</f>
        <v>Expenses</v>
      </c>
      <c r="E23" s="11" t="str">
        <f>SOURCE!C13</f>
        <v>Groceries</v>
      </c>
      <c r="F23" s="35">
        <f>SOURCE!E13</f>
        <v>9.5</v>
      </c>
      <c r="G23" s="36"/>
      <c r="H23" s="38" cm="1">
        <f t="array" ref="H23">SUMPRODUCT(Tracking[Amount],--(Tracking[Date]&lt;=Tracking[[#This Row],[Date]]),(Tracking[Type]&lt;&gt;"Income")*(-1)+(Tracking[Type]="Income"))</f>
        <v>-113.06</v>
      </c>
      <c r="I23" s="42">
        <f>IF(AND(Tracking[[#This Row],[Type]]="Income", shift_late_income_status="Active", DAY(Tracking[[#This Row],[Date]])&gt;=shift_late_income_starting_date), DATE(YEAR(Tracking[[#This Row],[Date]]),MONTH(Tracking[[#This Row],[Date]])+1,1),Tracking[[#This Row],[Date]])</f>
        <v>45875</v>
      </c>
      <c r="J23" s="11">
        <f>MONTH(Tracking[[#This Row],[Date]])</f>
        <v>8</v>
      </c>
      <c r="K23" s="64">
        <f>YEAR(Tracking[[#This Row],[Date]])</f>
        <v>2025</v>
      </c>
    </row>
    <row r="24" spans="3:23" x14ac:dyDescent="0.2">
      <c r="C24" s="34">
        <f>SOURCE!A14</f>
        <v>45875</v>
      </c>
      <c r="D24" s="11" t="str">
        <f>SOURCE!B14</f>
        <v>Expenses</v>
      </c>
      <c r="E24" s="11" t="str">
        <f>SOURCE!C14</f>
        <v>Train</v>
      </c>
      <c r="F24" s="35">
        <f>SOURCE!E14</f>
        <v>4.7</v>
      </c>
      <c r="G24" s="36"/>
      <c r="H24" s="38" cm="1">
        <f t="array" ref="H24">SUMPRODUCT(Tracking[Amount],--(Tracking[Date]&lt;=Tracking[[#This Row],[Date]]),(Tracking[Type]&lt;&gt;"Income")*(-1)+(Tracking[Type]="Income"))</f>
        <v>-113.06</v>
      </c>
      <c r="I24" s="42">
        <f>IF(AND(Tracking[[#This Row],[Type]]="Income", shift_late_income_status="Active", DAY(Tracking[[#This Row],[Date]])&gt;=shift_late_income_starting_date), DATE(YEAR(Tracking[[#This Row],[Date]]),MONTH(Tracking[[#This Row],[Date]])+1,1),Tracking[[#This Row],[Date]])</f>
        <v>45875</v>
      </c>
      <c r="J24" s="11">
        <f>MONTH(Tracking[[#This Row],[Date]])</f>
        <v>8</v>
      </c>
      <c r="K24" s="64">
        <f>YEAR(Tracking[[#This Row],[Date]])</f>
        <v>2025</v>
      </c>
    </row>
    <row r="25" spans="3:23" x14ac:dyDescent="0.2">
      <c r="C25" s="34">
        <f>SOURCE!A15</f>
        <v>45875</v>
      </c>
      <c r="D25" s="11" t="str">
        <f>SOURCE!B15</f>
        <v>Expenses</v>
      </c>
      <c r="E25" s="11" t="str">
        <f>SOURCE!C15</f>
        <v>Train</v>
      </c>
      <c r="F25" s="35">
        <f>SOURCE!E15</f>
        <v>4.7</v>
      </c>
      <c r="G25" s="36"/>
      <c r="H25" s="38" cm="1">
        <f t="array" ref="H25">SUMPRODUCT(Tracking[Amount],--(Tracking[Date]&lt;=Tracking[[#This Row],[Date]]),(Tracking[Type]&lt;&gt;"Income")*(-1)+(Tracking[Type]="Income"))</f>
        <v>-113.06</v>
      </c>
      <c r="I25" s="42">
        <f>IF(AND(Tracking[[#This Row],[Type]]="Income", shift_late_income_status="Active", DAY(Tracking[[#This Row],[Date]])&gt;=shift_late_income_starting_date), DATE(YEAR(Tracking[[#This Row],[Date]]),MONTH(Tracking[[#This Row],[Date]])+1,1),Tracking[[#This Row],[Date]])</f>
        <v>45875</v>
      </c>
      <c r="J25" s="11">
        <f>MONTH(Tracking[[#This Row],[Date]])</f>
        <v>8</v>
      </c>
      <c r="K25" s="64">
        <f>YEAR(Tracking[[#This Row],[Date]])</f>
        <v>2025</v>
      </c>
      <c r="N25" s="109" t="s">
        <v>169</v>
      </c>
    </row>
    <row r="26" spans="3:23" x14ac:dyDescent="0.2">
      <c r="C26" s="34">
        <f>SOURCE!A16</f>
        <v>45876</v>
      </c>
      <c r="D26" s="11" t="str">
        <f>SOURCE!B16</f>
        <v>Expenses</v>
      </c>
      <c r="E26" s="11" t="str">
        <f>SOURCE!C16</f>
        <v>Wellbeing</v>
      </c>
      <c r="F26" s="35">
        <f>SOURCE!E16</f>
        <v>10</v>
      </c>
      <c r="G26" s="36"/>
      <c r="H26" s="38" cm="1">
        <f t="array" ref="H26">SUMPRODUCT(Tracking[Amount],--(Tracking[Date]&lt;=Tracking[[#This Row],[Date]]),(Tracking[Type]&lt;&gt;"Income")*(-1)+(Tracking[Type]="Income"))</f>
        <v>-200.41</v>
      </c>
      <c r="I26" s="42">
        <f>IF(AND(Tracking[[#This Row],[Type]]="Income", shift_late_income_status="Active", DAY(Tracking[[#This Row],[Date]])&gt;=shift_late_income_starting_date), DATE(YEAR(Tracking[[#This Row],[Date]]),MONTH(Tracking[[#This Row],[Date]])+1,1),Tracking[[#This Row],[Date]])</f>
        <v>45876</v>
      </c>
      <c r="J26" s="11">
        <f>MONTH(Tracking[[#This Row],[Date]])</f>
        <v>8</v>
      </c>
      <c r="K26" s="64">
        <f>YEAR(Tracking[[#This Row],[Date]])</f>
        <v>2025</v>
      </c>
      <c r="M26" t="s">
        <v>29</v>
      </c>
      <c r="N26" t="s">
        <v>172</v>
      </c>
      <c r="O26" t="s">
        <v>174</v>
      </c>
      <c r="P26" t="s">
        <v>175</v>
      </c>
      <c r="Q26" t="s">
        <v>170</v>
      </c>
      <c r="R26" t="s">
        <v>171</v>
      </c>
      <c r="S26" t="s">
        <v>173</v>
      </c>
      <c r="U26" t="s">
        <v>13</v>
      </c>
      <c r="V26">
        <f ca="1">SUMIF(M27:M47,M27,S27:S47)</f>
        <v>0</v>
      </c>
    </row>
    <row r="27" spans="3:23" x14ac:dyDescent="0.2">
      <c r="C27" s="34">
        <f>SOURCE!A17</f>
        <v>45876</v>
      </c>
      <c r="D27" s="11" t="str">
        <f>SOURCE!B17</f>
        <v>Expenses</v>
      </c>
      <c r="E27" s="11" t="str">
        <f>SOURCE!C17</f>
        <v>Train</v>
      </c>
      <c r="F27" s="35">
        <f>SOURCE!E17</f>
        <v>7.8</v>
      </c>
      <c r="G27" s="36"/>
      <c r="H27" s="38" cm="1">
        <f t="array" ref="H27">SUMPRODUCT(Tracking[Amount],--(Tracking[Date]&lt;=Tracking[[#This Row],[Date]]),(Tracking[Type]&lt;&gt;"Income")*(-1)+(Tracking[Type]="Income"))</f>
        <v>-200.41</v>
      </c>
      <c r="I27" s="42">
        <f>IF(AND(Tracking[[#This Row],[Type]]="Income", shift_late_income_status="Active", DAY(Tracking[[#This Row],[Date]])&gt;=shift_late_income_starting_date), DATE(YEAR(Tracking[[#This Row],[Date]]),MONTH(Tracking[[#This Row],[Date]])+1,1),Tracking[[#This Row],[Date]])</f>
        <v>45876</v>
      </c>
      <c r="J27" s="11">
        <f>MONTH(Tracking[[#This Row],[Date]])</f>
        <v>8</v>
      </c>
      <c r="K27" s="64">
        <f>YEAR(Tracking[[#This Row],[Date]])</f>
        <v>2025</v>
      </c>
      <c r="M27" t="s">
        <v>13</v>
      </c>
      <c r="N27" t="e" cm="1" vm="1">
        <f t="array" aca="1" ref="N27" ca="1">_xlfn.UNIQUE(Tracking[Category])</f>
        <v>#VALUE!</v>
      </c>
      <c r="O27">
        <f ca="1">SUMIFS(Tracking[Amount],Tracking[Category],N27,Tracking[Month],8)</f>
        <v>0</v>
      </c>
      <c r="P27">
        <f ca="1">SUMIFS(Tracking[Amount],Tracking[Category],N27,Tracking[Month],9)</f>
        <v>0</v>
      </c>
      <c r="Q27" s="111">
        <f ca="1">(O27+P27)/2</f>
        <v>0</v>
      </c>
      <c r="R27">
        <f ca="1">Q27*12</f>
        <v>0</v>
      </c>
      <c r="S27">
        <f ca="1">Q27*1.1</f>
        <v>0</v>
      </c>
      <c r="U27" t="s">
        <v>10</v>
      </c>
      <c r="V27">
        <f>P39</f>
        <v>0</v>
      </c>
    </row>
    <row r="28" spans="3:23" x14ac:dyDescent="0.2">
      <c r="C28" s="34">
        <f>SOURCE!A18</f>
        <v>45876</v>
      </c>
      <c r="D28" s="11" t="str">
        <f>SOURCE!B18</f>
        <v>Expenses</v>
      </c>
      <c r="E28" s="11" t="str">
        <f>SOURCE!C18</f>
        <v>Groceries</v>
      </c>
      <c r="F28" s="35">
        <f>SOURCE!E18</f>
        <v>40.35</v>
      </c>
      <c r="G28" s="36"/>
      <c r="H28" s="38" cm="1">
        <f t="array" ref="H28">SUMPRODUCT(Tracking[Amount],--(Tracking[Date]&lt;=Tracking[[#This Row],[Date]]),(Tracking[Type]&lt;&gt;"Income")*(-1)+(Tracking[Type]="Income"))</f>
        <v>-200.41</v>
      </c>
      <c r="I28" s="42">
        <f>IF(AND(Tracking[[#This Row],[Type]]="Income", shift_late_income_status="Active", DAY(Tracking[[#This Row],[Date]])&gt;=shift_late_income_starting_date), DATE(YEAR(Tracking[[#This Row],[Date]]),MONTH(Tracking[[#This Row],[Date]])+1,1),Tracking[[#This Row],[Date]])</f>
        <v>45876</v>
      </c>
      <c r="J28" s="11">
        <f>MONTH(Tracking[[#This Row],[Date]])</f>
        <v>8</v>
      </c>
      <c r="K28" s="64">
        <f>YEAR(Tracking[[#This Row],[Date]])</f>
        <v>2025</v>
      </c>
      <c r="M28" t="s">
        <v>13</v>
      </c>
      <c r="O28">
        <f>SUMIFS(Tracking[Amount],Tracking[Category],N28,Tracking[Month],8)</f>
        <v>0</v>
      </c>
      <c r="P28">
        <f>SUMIFS(Tracking[Amount],Tracking[Category],N28,Tracking[Month],9)</f>
        <v>0</v>
      </c>
      <c r="Q28" s="111">
        <f t="shared" ref="Q28:Q47" si="0">(O28+P28)/2</f>
        <v>0</v>
      </c>
      <c r="R28">
        <f t="shared" ref="R28:R47" si="1">Q28*12</f>
        <v>0</v>
      </c>
      <c r="S28">
        <f t="shared" ref="S28:S47" si="2">Q28*1.1</f>
        <v>0</v>
      </c>
      <c r="U28" t="s">
        <v>94</v>
      </c>
      <c r="V28">
        <f ca="1">V27+V26</f>
        <v>0</v>
      </c>
      <c r="W28">
        <f ca="1">V28*12</f>
        <v>0</v>
      </c>
    </row>
    <row r="29" spans="3:23" x14ac:dyDescent="0.2">
      <c r="C29" s="34">
        <f>SOURCE!A19</f>
        <v>45876</v>
      </c>
      <c r="D29" s="11" t="str">
        <f>SOURCE!B19</f>
        <v>Expenses</v>
      </c>
      <c r="E29" s="11" t="str">
        <f>SOURCE!C19</f>
        <v>Digital Goods</v>
      </c>
      <c r="F29" s="35">
        <f>SOURCE!E19</f>
        <v>7</v>
      </c>
      <c r="G29" s="36"/>
      <c r="H29" s="38" cm="1">
        <f t="array" ref="H29">SUMPRODUCT(Tracking[Amount],--(Tracking[Date]&lt;=Tracking[[#This Row],[Date]]),(Tracking[Type]&lt;&gt;"Income")*(-1)+(Tracking[Type]="Income"))</f>
        <v>-200.41</v>
      </c>
      <c r="I29" s="42">
        <f>IF(AND(Tracking[[#This Row],[Type]]="Income", shift_late_income_status="Active", DAY(Tracking[[#This Row],[Date]])&gt;=shift_late_income_starting_date), DATE(YEAR(Tracking[[#This Row],[Date]]),MONTH(Tracking[[#This Row],[Date]])+1,1),Tracking[[#This Row],[Date]])</f>
        <v>45876</v>
      </c>
      <c r="J29" s="11">
        <f>MONTH(Tracking[[#This Row],[Date]])</f>
        <v>8</v>
      </c>
      <c r="K29" s="64">
        <f>YEAR(Tracking[[#This Row],[Date]])</f>
        <v>2025</v>
      </c>
      <c r="M29" t="s">
        <v>13</v>
      </c>
      <c r="O29">
        <f>SUMIFS(Tracking[Amount],Tracking[Category],N29,Tracking[Month],8)</f>
        <v>0</v>
      </c>
      <c r="P29">
        <f>SUMIFS(Tracking[Amount],Tracking[Category],N29,Tracking[Month],9)</f>
        <v>0</v>
      </c>
      <c r="Q29" s="111">
        <f t="shared" si="0"/>
        <v>0</v>
      </c>
      <c r="R29">
        <f t="shared" si="1"/>
        <v>0</v>
      </c>
      <c r="S29">
        <f t="shared" si="2"/>
        <v>0</v>
      </c>
    </row>
    <row r="30" spans="3:23" x14ac:dyDescent="0.2">
      <c r="C30" s="34">
        <f>SOURCE!A20</f>
        <v>45876</v>
      </c>
      <c r="D30" s="11" t="str">
        <f>SOURCE!B20</f>
        <v>Expenses</v>
      </c>
      <c r="E30" s="11" t="str">
        <f>SOURCE!C20</f>
        <v>Restaurants</v>
      </c>
      <c r="F30" s="35">
        <f>SOURCE!E20</f>
        <v>8.1999999999999993</v>
      </c>
      <c r="G30" s="36"/>
      <c r="H30" s="38" cm="1">
        <f t="array" ref="H30">SUMPRODUCT(Tracking[Amount],--(Tracking[Date]&lt;=Tracking[[#This Row],[Date]]),(Tracking[Type]&lt;&gt;"Income")*(-1)+(Tracking[Type]="Income"))</f>
        <v>-200.41</v>
      </c>
      <c r="I30" s="42">
        <f>IF(AND(Tracking[[#This Row],[Type]]="Income", shift_late_income_status="Active", DAY(Tracking[[#This Row],[Date]])&gt;=shift_late_income_starting_date), DATE(YEAR(Tracking[[#This Row],[Date]]),MONTH(Tracking[[#This Row],[Date]])+1,1),Tracking[[#This Row],[Date]])</f>
        <v>45876</v>
      </c>
      <c r="J30" s="11">
        <f>MONTH(Tracking[[#This Row],[Date]])</f>
        <v>8</v>
      </c>
      <c r="K30" s="64">
        <f>YEAR(Tracking[[#This Row],[Date]])</f>
        <v>2025</v>
      </c>
      <c r="M30" t="s">
        <v>13</v>
      </c>
      <c r="O30">
        <f>SUMIFS(Tracking[Amount],Tracking[Category],N30,Tracking[Month],8)</f>
        <v>0</v>
      </c>
      <c r="P30">
        <f>SUMIFS(Tracking[Amount],Tracking[Category],N30,Tracking[Month],9)</f>
        <v>0</v>
      </c>
      <c r="Q30" s="111">
        <f t="shared" si="0"/>
        <v>0</v>
      </c>
      <c r="R30">
        <f t="shared" si="1"/>
        <v>0</v>
      </c>
      <c r="S30">
        <f t="shared" si="2"/>
        <v>0</v>
      </c>
    </row>
    <row r="31" spans="3:23" x14ac:dyDescent="0.2">
      <c r="C31" s="34">
        <f>SOURCE!A21</f>
        <v>45876</v>
      </c>
      <c r="D31" s="11" t="str">
        <f>SOURCE!B21</f>
        <v>Expenses</v>
      </c>
      <c r="E31" s="11" t="str">
        <f>SOURCE!C21</f>
        <v>Restaurants</v>
      </c>
      <c r="F31" s="35">
        <f>SOURCE!E21</f>
        <v>14</v>
      </c>
      <c r="G31" s="36"/>
      <c r="H31" s="38" cm="1">
        <f t="array" ref="H31">SUMPRODUCT(Tracking[Amount],--(Tracking[Date]&lt;=Tracking[[#This Row],[Date]]),(Tracking[Type]&lt;&gt;"Income")*(-1)+(Tracking[Type]="Income"))</f>
        <v>-200.41</v>
      </c>
      <c r="I31" s="42">
        <f>IF(AND(Tracking[[#This Row],[Type]]="Income", shift_late_income_status="Active", DAY(Tracking[[#This Row],[Date]])&gt;=shift_late_income_starting_date), DATE(YEAR(Tracking[[#This Row],[Date]]),MONTH(Tracking[[#This Row],[Date]])+1,1),Tracking[[#This Row],[Date]])</f>
        <v>45876</v>
      </c>
      <c r="J31" s="11">
        <f>MONTH(Tracking[[#This Row],[Date]])</f>
        <v>8</v>
      </c>
      <c r="K31" s="64">
        <f>YEAR(Tracking[[#This Row],[Date]])</f>
        <v>2025</v>
      </c>
      <c r="M31" t="s">
        <v>13</v>
      </c>
      <c r="O31">
        <f>SUMIFS(Tracking[Amount],Tracking[Category],N31,Tracking[Month],8)</f>
        <v>0</v>
      </c>
      <c r="P31">
        <f>SUMIFS(Tracking[Amount],Tracking[Category],N31,Tracking[Month],9)</f>
        <v>0</v>
      </c>
      <c r="Q31" s="111">
        <f t="shared" si="0"/>
        <v>0</v>
      </c>
      <c r="R31">
        <f t="shared" si="1"/>
        <v>0</v>
      </c>
      <c r="S31">
        <f t="shared" si="2"/>
        <v>0</v>
      </c>
    </row>
    <row r="32" spans="3:23" x14ac:dyDescent="0.2">
      <c r="C32" s="34">
        <f>SOURCE!A22</f>
        <v>45877</v>
      </c>
      <c r="D32" s="11" t="str">
        <f>SOURCE!B22</f>
        <v>Expenses</v>
      </c>
      <c r="E32" s="11" t="str">
        <f>SOURCE!C22</f>
        <v>Internet + Mobile</v>
      </c>
      <c r="F32" s="35">
        <f>SOURCE!E22</f>
        <v>49</v>
      </c>
      <c r="G32" s="36"/>
      <c r="H32" s="38" cm="1">
        <f t="array" ref="H32">SUMPRODUCT(Tracking[Amount],--(Tracking[Date]&lt;=Tracking[[#This Row],[Date]]),(Tracking[Type]&lt;&gt;"Income")*(-1)+(Tracking[Type]="Income"))</f>
        <v>-305.35999999999996</v>
      </c>
      <c r="I32" s="42">
        <f>IF(AND(Tracking[[#This Row],[Type]]="Income", shift_late_income_status="Active", DAY(Tracking[[#This Row],[Date]])&gt;=shift_late_income_starting_date), DATE(YEAR(Tracking[[#This Row],[Date]]),MONTH(Tracking[[#This Row],[Date]])+1,1),Tracking[[#This Row],[Date]])</f>
        <v>45877</v>
      </c>
      <c r="J32" s="11">
        <f>MONTH(Tracking[[#This Row],[Date]])</f>
        <v>8</v>
      </c>
      <c r="K32" s="64">
        <f>YEAR(Tracking[[#This Row],[Date]])</f>
        <v>2025</v>
      </c>
      <c r="M32" t="s">
        <v>13</v>
      </c>
      <c r="O32">
        <f>SUMIFS(Tracking[Amount],Tracking[Category],N32,Tracking[Month],8)</f>
        <v>0</v>
      </c>
      <c r="P32">
        <f>SUMIFS(Tracking[Amount],Tracking[Category],N32,Tracking[Month],9)</f>
        <v>0</v>
      </c>
      <c r="Q32" s="111">
        <f t="shared" si="0"/>
        <v>0</v>
      </c>
      <c r="R32">
        <f t="shared" si="1"/>
        <v>0</v>
      </c>
      <c r="S32">
        <f t="shared" si="2"/>
        <v>0</v>
      </c>
    </row>
    <row r="33" spans="3:19" x14ac:dyDescent="0.2">
      <c r="C33" s="34">
        <f>SOURCE!A23</f>
        <v>45877</v>
      </c>
      <c r="D33" s="11" t="str">
        <f>SOURCE!B23</f>
        <v>Expenses</v>
      </c>
      <c r="E33" s="11" t="str">
        <f>SOURCE!C23</f>
        <v>Internet + Mobile</v>
      </c>
      <c r="F33" s="35">
        <f>SOURCE!E23</f>
        <v>28.85</v>
      </c>
      <c r="G33" s="36"/>
      <c r="H33" s="38" cm="1">
        <f t="array" ref="H33">SUMPRODUCT(Tracking[Amount],--(Tracking[Date]&lt;=Tracking[[#This Row],[Date]]),(Tracking[Type]&lt;&gt;"Income")*(-1)+(Tracking[Type]="Income"))</f>
        <v>-305.35999999999996</v>
      </c>
      <c r="I33" s="42">
        <f>IF(AND(Tracking[[#This Row],[Type]]="Income", shift_late_income_status="Active", DAY(Tracking[[#This Row],[Date]])&gt;=shift_late_income_starting_date), DATE(YEAR(Tracking[[#This Row],[Date]]),MONTH(Tracking[[#This Row],[Date]])+1,1),Tracking[[#This Row],[Date]])</f>
        <v>45877</v>
      </c>
      <c r="J33" s="11">
        <f>MONTH(Tracking[[#This Row],[Date]])</f>
        <v>8</v>
      </c>
      <c r="K33" s="64">
        <f>YEAR(Tracking[[#This Row],[Date]])</f>
        <v>2025</v>
      </c>
      <c r="M33" t="s">
        <v>13</v>
      </c>
      <c r="O33">
        <f>SUMIFS(Tracking[Amount],Tracking[Category],N33,Tracking[Month],8)</f>
        <v>0</v>
      </c>
      <c r="P33">
        <f>SUMIFS(Tracking[Amount],Tracking[Category],N33,Tracking[Month],9)</f>
        <v>0</v>
      </c>
      <c r="Q33" s="111">
        <f t="shared" si="0"/>
        <v>0</v>
      </c>
      <c r="R33">
        <f t="shared" si="1"/>
        <v>0</v>
      </c>
      <c r="S33">
        <f t="shared" si="2"/>
        <v>0</v>
      </c>
    </row>
    <row r="34" spans="3:19" x14ac:dyDescent="0.2">
      <c r="C34" s="34">
        <f>SOURCE!A24</f>
        <v>45877</v>
      </c>
      <c r="D34" s="11" t="str">
        <f>SOURCE!B24</f>
        <v>Expenses</v>
      </c>
      <c r="E34" s="11" t="str">
        <f>SOURCE!C24</f>
        <v>Groceries</v>
      </c>
      <c r="F34" s="35">
        <f>SOURCE!E24</f>
        <v>4.9000000000000004</v>
      </c>
      <c r="G34" s="36"/>
      <c r="H34" s="38" cm="1">
        <f t="array" ref="H34">SUMPRODUCT(Tracking[Amount],--(Tracking[Date]&lt;=Tracking[[#This Row],[Date]]),(Tracking[Type]&lt;&gt;"Income")*(-1)+(Tracking[Type]="Income"))</f>
        <v>-305.35999999999996</v>
      </c>
      <c r="I34" s="42">
        <f>IF(AND(Tracking[[#This Row],[Type]]="Income", shift_late_income_status="Active", DAY(Tracking[[#This Row],[Date]])&gt;=shift_late_income_starting_date), DATE(YEAR(Tracking[[#This Row],[Date]]),MONTH(Tracking[[#This Row],[Date]])+1,1),Tracking[[#This Row],[Date]])</f>
        <v>45877</v>
      </c>
      <c r="J34" s="11">
        <f>MONTH(Tracking[[#This Row],[Date]])</f>
        <v>8</v>
      </c>
      <c r="K34" s="64">
        <f>YEAR(Tracking[[#This Row],[Date]])</f>
        <v>2025</v>
      </c>
      <c r="M34" t="s">
        <v>13</v>
      </c>
      <c r="O34">
        <f>SUMIFS(Tracking[Amount],Tracking[Category],N34,Tracking[Month],8)</f>
        <v>0</v>
      </c>
      <c r="P34">
        <f>SUMIFS(Tracking[Amount],Tracking[Category],N34,Tracking[Month],9)</f>
        <v>0</v>
      </c>
      <c r="Q34" s="111">
        <f t="shared" si="0"/>
        <v>0</v>
      </c>
      <c r="R34">
        <f t="shared" si="1"/>
        <v>0</v>
      </c>
      <c r="S34">
        <f t="shared" si="2"/>
        <v>0</v>
      </c>
    </row>
    <row r="35" spans="3:19" x14ac:dyDescent="0.2">
      <c r="C35" s="34">
        <f>SOURCE!A25</f>
        <v>45877</v>
      </c>
      <c r="D35" s="11" t="str">
        <f>SOURCE!B25</f>
        <v>Expenses</v>
      </c>
      <c r="E35" s="11" t="str">
        <f>SOURCE!C25</f>
        <v>Restaurants</v>
      </c>
      <c r="F35" s="35">
        <f>SOURCE!E25</f>
        <v>15.5</v>
      </c>
      <c r="G35" s="36"/>
      <c r="H35" s="38" cm="1">
        <f t="array" ref="H35">SUMPRODUCT(Tracking[Amount],--(Tracking[Date]&lt;=Tracking[[#This Row],[Date]]),(Tracking[Type]&lt;&gt;"Income")*(-1)+(Tracking[Type]="Income"))</f>
        <v>-305.35999999999996</v>
      </c>
      <c r="I35" s="42">
        <f>IF(AND(Tracking[[#This Row],[Type]]="Income", shift_late_income_status="Active", DAY(Tracking[[#This Row],[Date]])&gt;=shift_late_income_starting_date), DATE(YEAR(Tracking[[#This Row],[Date]]),MONTH(Tracking[[#This Row],[Date]])+1,1),Tracking[[#This Row],[Date]])</f>
        <v>45877</v>
      </c>
      <c r="J35" s="11">
        <f>MONTH(Tracking[[#This Row],[Date]])</f>
        <v>8</v>
      </c>
      <c r="K35" s="64">
        <f>YEAR(Tracking[[#This Row],[Date]])</f>
        <v>2025</v>
      </c>
      <c r="M35" t="s">
        <v>13</v>
      </c>
      <c r="O35">
        <f>SUMIFS(Tracking[Amount],Tracking[Category],N35,Tracking[Month],8)</f>
        <v>0</v>
      </c>
      <c r="P35">
        <f>SUMIFS(Tracking[Amount],Tracking[Category],N35,Tracking[Month],9)</f>
        <v>0</v>
      </c>
      <c r="Q35" s="111">
        <f t="shared" si="0"/>
        <v>0</v>
      </c>
      <c r="R35">
        <f t="shared" si="1"/>
        <v>0</v>
      </c>
      <c r="S35">
        <f t="shared" si="2"/>
        <v>0</v>
      </c>
    </row>
    <row r="36" spans="3:19" x14ac:dyDescent="0.2">
      <c r="C36" s="34">
        <f>SOURCE!A26</f>
        <v>45877</v>
      </c>
      <c r="D36" s="11" t="str">
        <f>SOURCE!B26</f>
        <v>Income</v>
      </c>
      <c r="E36" s="11" t="str">
        <f>SOURCE!C26</f>
        <v>Extras / Twint Chargeback</v>
      </c>
      <c r="F36" s="35">
        <f>SOURCE!E26</f>
        <v>30</v>
      </c>
      <c r="G36" s="36"/>
      <c r="H36" s="38" cm="1">
        <f t="array" ref="H36">SUMPRODUCT(Tracking[Amount],--(Tracking[Date]&lt;=Tracking[[#This Row],[Date]]),(Tracking[Type]&lt;&gt;"Income")*(-1)+(Tracking[Type]="Income"))</f>
        <v>-305.35999999999996</v>
      </c>
      <c r="I36" s="42">
        <f>IF(AND(Tracking[[#This Row],[Type]]="Income", shift_late_income_status="Active", DAY(Tracking[[#This Row],[Date]])&gt;=shift_late_income_starting_date), DATE(YEAR(Tracking[[#This Row],[Date]]),MONTH(Tracking[[#This Row],[Date]])+1,1),Tracking[[#This Row],[Date]])</f>
        <v>45877</v>
      </c>
      <c r="J36" s="11">
        <f>MONTH(Tracking[[#This Row],[Date]])</f>
        <v>8</v>
      </c>
      <c r="K36" s="64">
        <f>YEAR(Tracking[[#This Row],[Date]])</f>
        <v>2025</v>
      </c>
      <c r="M36" t="s">
        <v>13</v>
      </c>
      <c r="O36">
        <f>SUMIFS(Tracking[Amount],Tracking[Category],N36,Tracking[Month],8)</f>
        <v>0</v>
      </c>
      <c r="P36">
        <f>SUMIFS(Tracking[Amount],Tracking[Category],N36,Tracking[Month],9)</f>
        <v>0</v>
      </c>
      <c r="Q36" s="111">
        <f t="shared" si="0"/>
        <v>0</v>
      </c>
      <c r="R36">
        <f t="shared" si="1"/>
        <v>0</v>
      </c>
      <c r="S36">
        <f t="shared" si="2"/>
        <v>0</v>
      </c>
    </row>
    <row r="37" spans="3:19" x14ac:dyDescent="0.2">
      <c r="C37" s="34">
        <f>SOURCE!A27</f>
        <v>45877</v>
      </c>
      <c r="D37" s="11" t="str">
        <f>SOURCE!B27</f>
        <v>Expenses</v>
      </c>
      <c r="E37" s="11" t="str">
        <f>SOURCE!C27</f>
        <v>Train</v>
      </c>
      <c r="F37" s="35">
        <f>SOURCE!E27</f>
        <v>4.7</v>
      </c>
      <c r="G37" s="36"/>
      <c r="H37" s="38" cm="1">
        <f t="array" ref="H37">SUMPRODUCT(Tracking[Amount],--(Tracking[Date]&lt;=Tracking[[#This Row],[Date]]),(Tracking[Type]&lt;&gt;"Income")*(-1)+(Tracking[Type]="Income"))</f>
        <v>-305.35999999999996</v>
      </c>
      <c r="I37" s="42">
        <f>IF(AND(Tracking[[#This Row],[Type]]="Income", shift_late_income_status="Active", DAY(Tracking[[#This Row],[Date]])&gt;=shift_late_income_starting_date), DATE(YEAR(Tracking[[#This Row],[Date]]),MONTH(Tracking[[#This Row],[Date]])+1,1),Tracking[[#This Row],[Date]])</f>
        <v>45877</v>
      </c>
      <c r="J37" s="11">
        <f>MONTH(Tracking[[#This Row],[Date]])</f>
        <v>8</v>
      </c>
      <c r="K37" s="64">
        <f>YEAR(Tracking[[#This Row],[Date]])</f>
        <v>2025</v>
      </c>
      <c r="M37" t="s">
        <v>10</v>
      </c>
      <c r="O37">
        <f>SUMIFS(Tracking[Amount],Tracking[Category],N37,Tracking[Month],8)</f>
        <v>0</v>
      </c>
      <c r="P37">
        <f>SUMIFS(Tracking[Amount],Tracking[Category],N37,Tracking[Month],9)</f>
        <v>0</v>
      </c>
      <c r="Q37" s="111">
        <f t="shared" si="0"/>
        <v>0</v>
      </c>
      <c r="R37">
        <f t="shared" si="1"/>
        <v>0</v>
      </c>
      <c r="S37">
        <f t="shared" si="2"/>
        <v>0</v>
      </c>
    </row>
    <row r="38" spans="3:19" x14ac:dyDescent="0.2">
      <c r="C38" s="34">
        <f>SOURCE!A28</f>
        <v>45877</v>
      </c>
      <c r="D38" s="11" t="str">
        <f>SOURCE!B28</f>
        <v>Expenses</v>
      </c>
      <c r="E38" s="11" t="str">
        <f>SOURCE!C28</f>
        <v>Restaurants</v>
      </c>
      <c r="F38" s="35">
        <f>SOURCE!E28</f>
        <v>32</v>
      </c>
      <c r="G38" s="36"/>
      <c r="H38" s="38" cm="1">
        <f t="array" ref="H38">SUMPRODUCT(Tracking[Amount],--(Tracking[Date]&lt;=Tracking[[#This Row],[Date]]),(Tracking[Type]&lt;&gt;"Income")*(-1)+(Tracking[Type]="Income"))</f>
        <v>-305.35999999999996</v>
      </c>
      <c r="I38" s="42">
        <f>IF(AND(Tracking[[#This Row],[Type]]="Income", shift_late_income_status="Active", DAY(Tracking[[#This Row],[Date]])&gt;=shift_late_income_starting_date), DATE(YEAR(Tracking[[#This Row],[Date]]),MONTH(Tracking[[#This Row],[Date]])+1,1),Tracking[[#This Row],[Date]])</f>
        <v>45877</v>
      </c>
      <c r="J38" s="11">
        <f>MONTH(Tracking[[#This Row],[Date]])</f>
        <v>8</v>
      </c>
      <c r="K38" s="64">
        <f>YEAR(Tracking[[#This Row],[Date]])</f>
        <v>2025</v>
      </c>
      <c r="M38" t="s">
        <v>13</v>
      </c>
      <c r="O38">
        <f>SUMIFS(Tracking[Amount],Tracking[Category],N38,Tracking[Month],8)</f>
        <v>0</v>
      </c>
      <c r="P38">
        <f>SUMIFS(Tracking[Amount],Tracking[Category],N38,Tracking[Month],9)</f>
        <v>0</v>
      </c>
      <c r="Q38" s="111">
        <f t="shared" si="0"/>
        <v>0</v>
      </c>
      <c r="R38">
        <f t="shared" si="1"/>
        <v>0</v>
      </c>
      <c r="S38">
        <f t="shared" si="2"/>
        <v>0</v>
      </c>
    </row>
    <row r="39" spans="3:19" x14ac:dyDescent="0.2">
      <c r="C39" s="34">
        <f>SOURCE!A29</f>
        <v>45878</v>
      </c>
      <c r="D39" s="11" t="str">
        <f>SOURCE!B29</f>
        <v>Income</v>
      </c>
      <c r="E39" s="11" t="str">
        <f>SOURCE!C29</f>
        <v>Extras / Twint Chargeback</v>
      </c>
      <c r="F39" s="35">
        <f>SOURCE!E29</f>
        <v>23</v>
      </c>
      <c r="G39" s="36"/>
      <c r="H39" s="38" cm="1">
        <f t="array" ref="H39">SUMPRODUCT(Tracking[Amount],--(Tracking[Date]&lt;=Tracking[[#This Row],[Date]]),(Tracking[Type]&lt;&gt;"Income")*(-1)+(Tracking[Type]="Income"))</f>
        <v>-282.35999999999996</v>
      </c>
      <c r="I39" s="42">
        <f>IF(AND(Tracking[[#This Row],[Type]]="Income", shift_late_income_status="Active", DAY(Tracking[[#This Row],[Date]])&gt;=shift_late_income_starting_date), DATE(YEAR(Tracking[[#This Row],[Date]]),MONTH(Tracking[[#This Row],[Date]])+1,1),Tracking[[#This Row],[Date]])</f>
        <v>45878</v>
      </c>
      <c r="J39" s="11">
        <f>MONTH(Tracking[[#This Row],[Date]])</f>
        <v>8</v>
      </c>
      <c r="K39" s="64">
        <f>YEAR(Tracking[[#This Row],[Date]])</f>
        <v>2025</v>
      </c>
      <c r="M39" t="s">
        <v>10</v>
      </c>
      <c r="O39">
        <f>SUMIFS(Tracking[Amount],Tracking[Category],N39,Tracking[Month],8)</f>
        <v>0</v>
      </c>
      <c r="P39">
        <f>SUMIFS(Tracking[Amount],Tracking[Category],N39,Tracking[Month],9)</f>
        <v>0</v>
      </c>
      <c r="Q39" s="111">
        <f t="shared" si="0"/>
        <v>0</v>
      </c>
      <c r="R39">
        <f t="shared" si="1"/>
        <v>0</v>
      </c>
      <c r="S39">
        <f t="shared" si="2"/>
        <v>0</v>
      </c>
    </row>
    <row r="40" spans="3:19" x14ac:dyDescent="0.2">
      <c r="C40" s="34">
        <f>SOURCE!A30</f>
        <v>45880</v>
      </c>
      <c r="D40" s="11" t="str">
        <f>SOURCE!B30</f>
        <v>Expenses</v>
      </c>
      <c r="E40" s="11" t="str">
        <f>SOURCE!C30</f>
        <v>Restaurants</v>
      </c>
      <c r="F40" s="35">
        <f>SOURCE!E30</f>
        <v>10</v>
      </c>
      <c r="G40" s="36"/>
      <c r="H40" s="38" cm="1">
        <f t="array" ref="H40">SUMPRODUCT(Tracking[Amount],--(Tracking[Date]&lt;=Tracking[[#This Row],[Date]]),(Tracking[Type]&lt;&gt;"Income")*(-1)+(Tracking[Type]="Income"))</f>
        <v>-827.41000000000008</v>
      </c>
      <c r="I40" s="42">
        <f>IF(AND(Tracking[[#This Row],[Type]]="Income", shift_late_income_status="Active", DAY(Tracking[[#This Row],[Date]])&gt;=shift_late_income_starting_date), DATE(YEAR(Tracking[[#This Row],[Date]]),MONTH(Tracking[[#This Row],[Date]])+1,1),Tracking[[#This Row],[Date]])</f>
        <v>45880</v>
      </c>
      <c r="J40" s="11">
        <f>MONTH(Tracking[[#This Row],[Date]])</f>
        <v>8</v>
      </c>
      <c r="K40" s="64">
        <f>YEAR(Tracking[[#This Row],[Date]])</f>
        <v>2025</v>
      </c>
      <c r="M40" t="s">
        <v>13</v>
      </c>
      <c r="O40">
        <f>SUMIFS(Tracking[Amount],Tracking[Category],N40,Tracking[Month],8)</f>
        <v>0</v>
      </c>
      <c r="P40">
        <f>SUMIFS(Tracking[Amount],Tracking[Category],N40,Tracking[Month],9)</f>
        <v>0</v>
      </c>
      <c r="Q40" s="111">
        <f t="shared" si="0"/>
        <v>0</v>
      </c>
      <c r="R40">
        <f t="shared" si="1"/>
        <v>0</v>
      </c>
      <c r="S40">
        <f t="shared" si="2"/>
        <v>0</v>
      </c>
    </row>
    <row r="41" spans="3:19" x14ac:dyDescent="0.2">
      <c r="C41" s="34">
        <f>SOURCE!A31</f>
        <v>45880</v>
      </c>
      <c r="D41" s="11" t="str">
        <f>SOURCE!B31</f>
        <v>Expenses</v>
      </c>
      <c r="E41" s="11" t="str">
        <f>SOURCE!C31</f>
        <v>Groceries</v>
      </c>
      <c r="F41" s="35">
        <f>SOURCE!E31</f>
        <v>18.55</v>
      </c>
      <c r="G41" s="36"/>
      <c r="H41" s="38" cm="1">
        <f t="array" ref="H41">SUMPRODUCT(Tracking[Amount],--(Tracking[Date]&lt;=Tracking[[#This Row],[Date]]),(Tracking[Type]&lt;&gt;"Income")*(-1)+(Tracking[Type]="Income"))</f>
        <v>-827.41000000000008</v>
      </c>
      <c r="I41" s="42">
        <f>IF(AND(Tracking[[#This Row],[Type]]="Income", shift_late_income_status="Active", DAY(Tracking[[#This Row],[Date]])&gt;=shift_late_income_starting_date), DATE(YEAR(Tracking[[#This Row],[Date]]),MONTH(Tracking[[#This Row],[Date]])+1,1),Tracking[[#This Row],[Date]])</f>
        <v>45880</v>
      </c>
      <c r="J41" s="11">
        <f>MONTH(Tracking[[#This Row],[Date]])</f>
        <v>8</v>
      </c>
      <c r="K41" s="64">
        <f>YEAR(Tracking[[#This Row],[Date]])</f>
        <v>2025</v>
      </c>
      <c r="M41" t="s">
        <v>13</v>
      </c>
      <c r="O41">
        <f>SUMIFS(Tracking[Amount],Tracking[Category],N41,Tracking[Month],8)</f>
        <v>0</v>
      </c>
      <c r="P41">
        <f>SUMIFS(Tracking[Amount],Tracking[Category],N41,Tracking[Month],9)</f>
        <v>0</v>
      </c>
      <c r="Q41" s="111">
        <f t="shared" si="0"/>
        <v>0</v>
      </c>
      <c r="R41">
        <f t="shared" si="1"/>
        <v>0</v>
      </c>
      <c r="S41">
        <f t="shared" si="2"/>
        <v>0</v>
      </c>
    </row>
    <row r="42" spans="3:19" x14ac:dyDescent="0.2">
      <c r="C42" s="34">
        <f>SOURCE!A32</f>
        <v>45880</v>
      </c>
      <c r="D42" s="11" t="str">
        <f>SOURCE!B32</f>
        <v>Expenses</v>
      </c>
      <c r="E42" s="11" t="str">
        <f>SOURCE!C32</f>
        <v>Health Insurance</v>
      </c>
      <c r="F42" s="35">
        <f>SOURCE!E32</f>
        <v>501.35</v>
      </c>
      <c r="G42" s="36"/>
      <c r="H42" s="38" cm="1">
        <f t="array" ref="H42">SUMPRODUCT(Tracking[Amount],--(Tracking[Date]&lt;=Tracking[[#This Row],[Date]]),(Tracking[Type]&lt;&gt;"Income")*(-1)+(Tracking[Type]="Income"))</f>
        <v>-827.41000000000008</v>
      </c>
      <c r="I42" s="42">
        <f>IF(AND(Tracking[[#This Row],[Type]]="Income", shift_late_income_status="Active", DAY(Tracking[[#This Row],[Date]])&gt;=shift_late_income_starting_date), DATE(YEAR(Tracking[[#This Row],[Date]]),MONTH(Tracking[[#This Row],[Date]])+1,1),Tracking[[#This Row],[Date]])</f>
        <v>45880</v>
      </c>
      <c r="J42" s="11">
        <f>MONTH(Tracking[[#This Row],[Date]])</f>
        <v>8</v>
      </c>
      <c r="K42" s="64">
        <f>YEAR(Tracking[[#This Row],[Date]])</f>
        <v>2025</v>
      </c>
      <c r="M42" t="s">
        <v>13</v>
      </c>
      <c r="O42">
        <f>SUMIFS(Tracking[Amount],Tracking[Category],N42,Tracking[Month],8)</f>
        <v>0</v>
      </c>
      <c r="P42">
        <f>SUMIFS(Tracking[Amount],Tracking[Category],N42,Tracking[Month],9)</f>
        <v>0</v>
      </c>
      <c r="Q42" s="111">
        <f t="shared" si="0"/>
        <v>0</v>
      </c>
      <c r="R42">
        <f t="shared" si="1"/>
        <v>0</v>
      </c>
      <c r="S42">
        <f t="shared" si="2"/>
        <v>0</v>
      </c>
    </row>
    <row r="43" spans="3:19" x14ac:dyDescent="0.2">
      <c r="C43" s="34">
        <f>SOURCE!A33</f>
        <v>45880</v>
      </c>
      <c r="D43" s="11" t="str">
        <f>SOURCE!B33</f>
        <v>Expenses</v>
      </c>
      <c r="E43" s="11" t="str">
        <f>SOURCE!C33</f>
        <v>Train</v>
      </c>
      <c r="F43" s="35">
        <f>SOURCE!E33</f>
        <v>4.7</v>
      </c>
      <c r="G43" s="36"/>
      <c r="H43" s="38" cm="1">
        <f t="array" ref="H43">SUMPRODUCT(Tracking[Amount],--(Tracking[Date]&lt;=Tracking[[#This Row],[Date]]),(Tracking[Type]&lt;&gt;"Income")*(-1)+(Tracking[Type]="Income"))</f>
        <v>-827.41000000000008</v>
      </c>
      <c r="I43" s="42">
        <f>IF(AND(Tracking[[#This Row],[Type]]="Income", shift_late_income_status="Active", DAY(Tracking[[#This Row],[Date]])&gt;=shift_late_income_starting_date), DATE(YEAR(Tracking[[#This Row],[Date]]),MONTH(Tracking[[#This Row],[Date]])+1,1),Tracking[[#This Row],[Date]])</f>
        <v>45880</v>
      </c>
      <c r="J43" s="11">
        <f>MONTH(Tracking[[#This Row],[Date]])</f>
        <v>8</v>
      </c>
      <c r="K43" s="64">
        <f>YEAR(Tracking[[#This Row],[Date]])</f>
        <v>2025</v>
      </c>
      <c r="M43" t="s">
        <v>107</v>
      </c>
      <c r="O43">
        <f>SUMIFS(Tracking[Amount],Tracking[Category],N43,Tracking[Month],8)</f>
        <v>0</v>
      </c>
      <c r="P43">
        <f>SUMIFS(Tracking[Amount],Tracking[Category],N43,Tracking[Month],9)</f>
        <v>0</v>
      </c>
      <c r="Q43" s="111">
        <f t="shared" si="0"/>
        <v>0</v>
      </c>
      <c r="R43">
        <f t="shared" si="1"/>
        <v>0</v>
      </c>
      <c r="S43">
        <f t="shared" si="2"/>
        <v>0</v>
      </c>
    </row>
    <row r="44" spans="3:19" x14ac:dyDescent="0.2">
      <c r="C44" s="34">
        <f>SOURCE!A34</f>
        <v>45880</v>
      </c>
      <c r="D44" s="11" t="str">
        <f>SOURCE!B34</f>
        <v>Expenses</v>
      </c>
      <c r="E44" s="11" t="str">
        <f>SOURCE!C34</f>
        <v>Groceries</v>
      </c>
      <c r="F44" s="35">
        <f>SOURCE!E34</f>
        <v>10.45</v>
      </c>
      <c r="G44" s="36"/>
      <c r="H44" s="38" cm="1">
        <f t="array" ref="H44">SUMPRODUCT(Tracking[Amount],--(Tracking[Date]&lt;=Tracking[[#This Row],[Date]]),(Tracking[Type]&lt;&gt;"Income")*(-1)+(Tracking[Type]="Income"))</f>
        <v>-827.41000000000008</v>
      </c>
      <c r="I44" s="42">
        <f>IF(AND(Tracking[[#This Row],[Type]]="Income", shift_late_income_status="Active", DAY(Tracking[[#This Row],[Date]])&gt;=shift_late_income_starting_date), DATE(YEAR(Tracking[[#This Row],[Date]]),MONTH(Tracking[[#This Row],[Date]])+1,1),Tracking[[#This Row],[Date]])</f>
        <v>45880</v>
      </c>
      <c r="J44" s="11">
        <f>MONTH(Tracking[[#This Row],[Date]])</f>
        <v>8</v>
      </c>
      <c r="K44" s="64">
        <f>YEAR(Tracking[[#This Row],[Date]])</f>
        <v>2025</v>
      </c>
      <c r="M44" t="s">
        <v>13</v>
      </c>
      <c r="O44">
        <f>SUMIFS(Tracking[Amount],Tracking[Category],N44,Tracking[Month],8)</f>
        <v>0</v>
      </c>
      <c r="P44">
        <f>SUMIFS(Tracking[Amount],Tracking[Category],N44,Tracking[Month],9)</f>
        <v>0</v>
      </c>
      <c r="Q44" s="111">
        <f t="shared" si="0"/>
        <v>0</v>
      </c>
      <c r="R44">
        <f t="shared" si="1"/>
        <v>0</v>
      </c>
      <c r="S44">
        <f t="shared" si="2"/>
        <v>0</v>
      </c>
    </row>
    <row r="45" spans="3:19" x14ac:dyDescent="0.2">
      <c r="C45" s="34">
        <f>SOURCE!A35</f>
        <v>45881</v>
      </c>
      <c r="D45" s="11" t="str">
        <f>SOURCE!B35</f>
        <v>Expenses</v>
      </c>
      <c r="E45" s="11" t="str">
        <f>SOURCE!C35</f>
        <v>Groceries</v>
      </c>
      <c r="F45" s="35">
        <f>SOURCE!E35</f>
        <v>14.85</v>
      </c>
      <c r="G45" s="36"/>
      <c r="H45" s="38" cm="1">
        <f t="array" ref="H45">SUMPRODUCT(Tracking[Amount],--(Tracking[Date]&lt;=Tracking[[#This Row],[Date]]),(Tracking[Type]&lt;&gt;"Income")*(-1)+(Tracking[Type]="Income"))</f>
        <v>-901.81000000000006</v>
      </c>
      <c r="I45" s="42">
        <f>IF(AND(Tracking[[#This Row],[Type]]="Income", shift_late_income_status="Active", DAY(Tracking[[#This Row],[Date]])&gt;=shift_late_income_starting_date), DATE(YEAR(Tracking[[#This Row],[Date]]),MONTH(Tracking[[#This Row],[Date]])+1,1),Tracking[[#This Row],[Date]])</f>
        <v>45881</v>
      </c>
      <c r="J45" s="11">
        <f>MONTH(Tracking[[#This Row],[Date]])</f>
        <v>8</v>
      </c>
      <c r="K45" s="64">
        <f>YEAR(Tracking[[#This Row],[Date]])</f>
        <v>2025</v>
      </c>
      <c r="M45" t="s">
        <v>13</v>
      </c>
      <c r="O45">
        <f>SUMIFS(Tracking[Amount],Tracking[Category],N45,Tracking[Month],8)</f>
        <v>0</v>
      </c>
      <c r="P45">
        <f>SUMIFS(Tracking[Amount],Tracking[Category],N45,Tracking[Month],9)</f>
        <v>0</v>
      </c>
      <c r="Q45" s="111">
        <f t="shared" si="0"/>
        <v>0</v>
      </c>
      <c r="R45">
        <f t="shared" si="1"/>
        <v>0</v>
      </c>
      <c r="S45">
        <f t="shared" si="2"/>
        <v>0</v>
      </c>
    </row>
    <row r="46" spans="3:19" x14ac:dyDescent="0.2">
      <c r="C46" s="34">
        <f>SOURCE!A36</f>
        <v>45881</v>
      </c>
      <c r="D46" s="11" t="str">
        <f>SOURCE!B36</f>
        <v>Expenses</v>
      </c>
      <c r="E46" s="11" t="str">
        <f>SOURCE!C36</f>
        <v>Groceries</v>
      </c>
      <c r="F46" s="35">
        <f>SOURCE!E36</f>
        <v>9.9499999999999993</v>
      </c>
      <c r="G46" s="36"/>
      <c r="H46" s="38" cm="1">
        <f t="array" ref="H46">SUMPRODUCT(Tracking[Amount],--(Tracking[Date]&lt;=Tracking[[#This Row],[Date]]),(Tracking[Type]&lt;&gt;"Income")*(-1)+(Tracking[Type]="Income"))</f>
        <v>-901.81000000000006</v>
      </c>
      <c r="I46" s="42">
        <f>IF(AND(Tracking[[#This Row],[Type]]="Income", shift_late_income_status="Active", DAY(Tracking[[#This Row],[Date]])&gt;=shift_late_income_starting_date), DATE(YEAR(Tracking[[#This Row],[Date]]),MONTH(Tracking[[#This Row],[Date]])+1,1),Tracking[[#This Row],[Date]])</f>
        <v>45881</v>
      </c>
      <c r="J46" s="11">
        <f>MONTH(Tracking[[#This Row],[Date]])</f>
        <v>8</v>
      </c>
      <c r="K46" s="64">
        <f>YEAR(Tracking[[#This Row],[Date]])</f>
        <v>2025</v>
      </c>
      <c r="M46" t="s">
        <v>13</v>
      </c>
      <c r="O46">
        <f>SUMIFS(Tracking[Amount],Tracking[Category],N46,Tracking[Month],8)</f>
        <v>0</v>
      </c>
      <c r="P46">
        <f>SUMIFS(Tracking[Amount],Tracking[Category],N46,Tracking[Month],9)</f>
        <v>0</v>
      </c>
      <c r="Q46" s="111">
        <f t="shared" si="0"/>
        <v>0</v>
      </c>
      <c r="R46">
        <f t="shared" si="1"/>
        <v>0</v>
      </c>
      <c r="S46">
        <f t="shared" si="2"/>
        <v>0</v>
      </c>
    </row>
    <row r="47" spans="3:19" x14ac:dyDescent="0.2">
      <c r="C47" s="34">
        <f>SOURCE!A37</f>
        <v>45881</v>
      </c>
      <c r="D47" s="11" t="str">
        <f>SOURCE!B37</f>
        <v>Expenses</v>
      </c>
      <c r="E47" s="11" t="str">
        <f>SOURCE!C37</f>
        <v>Groceries</v>
      </c>
      <c r="F47" s="35">
        <f>SOURCE!E37</f>
        <v>39.799999999999997</v>
      </c>
      <c r="G47" s="36"/>
      <c r="H47" s="38" cm="1">
        <f t="array" ref="H47">SUMPRODUCT(Tracking[Amount],--(Tracking[Date]&lt;=Tracking[[#This Row],[Date]]),(Tracking[Type]&lt;&gt;"Income")*(-1)+(Tracking[Type]="Income"))</f>
        <v>-901.81000000000006</v>
      </c>
      <c r="I47" s="42">
        <f>IF(AND(Tracking[[#This Row],[Type]]="Income", shift_late_income_status="Active", DAY(Tracking[[#This Row],[Date]])&gt;=shift_late_income_starting_date), DATE(YEAR(Tracking[[#This Row],[Date]]),MONTH(Tracking[[#This Row],[Date]])+1,1),Tracking[[#This Row],[Date]])</f>
        <v>45881</v>
      </c>
      <c r="J47" s="11">
        <f>MONTH(Tracking[[#This Row],[Date]])</f>
        <v>8</v>
      </c>
      <c r="K47" s="64">
        <f>YEAR(Tracking[[#This Row],[Date]])</f>
        <v>2025</v>
      </c>
      <c r="M47" t="s">
        <v>13</v>
      </c>
      <c r="O47">
        <f>SUMIFS(Tracking[Amount],Tracking[Category],N47,Tracking[Month],8)</f>
        <v>0</v>
      </c>
      <c r="P47">
        <f>SUMIFS(Tracking[Amount],Tracking[Category],N47,Tracking[Month],9)</f>
        <v>0</v>
      </c>
      <c r="Q47" s="111">
        <f t="shared" si="0"/>
        <v>0</v>
      </c>
      <c r="R47">
        <f t="shared" si="1"/>
        <v>0</v>
      </c>
      <c r="S47">
        <f t="shared" si="2"/>
        <v>0</v>
      </c>
    </row>
    <row r="48" spans="3:19" x14ac:dyDescent="0.2">
      <c r="C48" s="34">
        <f>SOURCE!A38</f>
        <v>45881</v>
      </c>
      <c r="D48" s="11" t="str">
        <f>SOURCE!B38</f>
        <v>Expenses</v>
      </c>
      <c r="E48" s="11" t="str">
        <f>SOURCE!C38</f>
        <v>Health Other</v>
      </c>
      <c r="F48" s="35">
        <f>SOURCE!E38</f>
        <v>9.8000000000000007</v>
      </c>
      <c r="G48" s="36"/>
      <c r="H48" s="38" cm="1">
        <f t="array" ref="H48">SUMPRODUCT(Tracking[Amount],--(Tracking[Date]&lt;=Tracking[[#This Row],[Date]]),(Tracking[Type]&lt;&gt;"Income")*(-1)+(Tracking[Type]="Income"))</f>
        <v>-901.81000000000006</v>
      </c>
      <c r="I48" s="42">
        <f>IF(AND(Tracking[[#This Row],[Type]]="Income", shift_late_income_status="Active", DAY(Tracking[[#This Row],[Date]])&gt;=shift_late_income_starting_date), DATE(YEAR(Tracking[[#This Row],[Date]]),MONTH(Tracking[[#This Row],[Date]])+1,1),Tracking[[#This Row],[Date]])</f>
        <v>45881</v>
      </c>
      <c r="J48" s="11">
        <f>MONTH(Tracking[[#This Row],[Date]])</f>
        <v>8</v>
      </c>
      <c r="K48" s="64">
        <f>YEAR(Tracking[[#This Row],[Date]])</f>
        <v>2025</v>
      </c>
    </row>
    <row r="49" spans="3:19" x14ac:dyDescent="0.2">
      <c r="C49" s="34">
        <f>SOURCE!A39</f>
        <v>45882</v>
      </c>
      <c r="D49" s="11" t="str">
        <f>SOURCE!B39</f>
        <v>Income</v>
      </c>
      <c r="E49" s="11" t="str">
        <f>SOURCE!C39</f>
        <v>Side Hustle</v>
      </c>
      <c r="F49" s="35">
        <f>SOURCE!E39</f>
        <v>1465.3</v>
      </c>
      <c r="G49" s="36"/>
      <c r="H49" s="38" cm="1">
        <f t="array" ref="H49">SUMPRODUCT(Tracking[Amount],--(Tracking[Date]&lt;=Tracking[[#This Row],[Date]]),(Tracking[Type]&lt;&gt;"Income")*(-1)+(Tracking[Type]="Income"))</f>
        <v>2429.5899999999997</v>
      </c>
      <c r="I49" s="42">
        <f>IF(AND(Tracking[[#This Row],[Type]]="Income", shift_late_income_status="Active", DAY(Tracking[[#This Row],[Date]])&gt;=shift_late_income_starting_date), DATE(YEAR(Tracking[[#This Row],[Date]]),MONTH(Tracking[[#This Row],[Date]])+1,1),Tracking[[#This Row],[Date]])</f>
        <v>45882</v>
      </c>
      <c r="J49" s="11">
        <f>MONTH(Tracking[[#This Row],[Date]])</f>
        <v>8</v>
      </c>
      <c r="K49" s="64">
        <f>YEAR(Tracking[[#This Row],[Date]])</f>
        <v>2025</v>
      </c>
    </row>
    <row r="50" spans="3:19" x14ac:dyDescent="0.2">
      <c r="C50" s="34">
        <f>SOURCE!A40</f>
        <v>45882</v>
      </c>
      <c r="D50" s="11" t="str">
        <f>SOURCE!B40</f>
        <v>Income</v>
      </c>
      <c r="E50" s="11" t="str">
        <f>SOURCE!C40</f>
        <v>Side Hustle</v>
      </c>
      <c r="F50" s="35">
        <f>SOURCE!E40</f>
        <v>852</v>
      </c>
      <c r="G50" s="36"/>
      <c r="H50" s="38" cm="1">
        <f t="array" ref="H50">SUMPRODUCT(Tracking[Amount],--(Tracking[Date]&lt;=Tracking[[#This Row],[Date]]),(Tracking[Type]&lt;&gt;"Income")*(-1)+(Tracking[Type]="Income"))</f>
        <v>2429.5899999999997</v>
      </c>
      <c r="I50" s="42">
        <f>IF(AND(Tracking[[#This Row],[Type]]="Income", shift_late_income_status="Active", DAY(Tracking[[#This Row],[Date]])&gt;=shift_late_income_starting_date), DATE(YEAR(Tracking[[#This Row],[Date]]),MONTH(Tracking[[#This Row],[Date]])+1,1),Tracking[[#This Row],[Date]])</f>
        <v>45882</v>
      </c>
      <c r="J50" s="11">
        <f>MONTH(Tracking[[#This Row],[Date]])</f>
        <v>8</v>
      </c>
      <c r="K50" s="64">
        <f>YEAR(Tracking[[#This Row],[Date]])</f>
        <v>2025</v>
      </c>
      <c r="M50" t="s">
        <v>29</v>
      </c>
      <c r="N50" t="s">
        <v>172</v>
      </c>
      <c r="O50" t="s">
        <v>174</v>
      </c>
      <c r="P50" t="s">
        <v>175</v>
      </c>
      <c r="Q50" t="s">
        <v>170</v>
      </c>
      <c r="R50" t="s">
        <v>171</v>
      </c>
      <c r="S50" t="s">
        <v>173</v>
      </c>
    </row>
    <row r="51" spans="3:19" x14ac:dyDescent="0.2">
      <c r="C51" s="34">
        <f>SOURCE!A41</f>
        <v>45882</v>
      </c>
      <c r="D51" s="11" t="str">
        <f>SOURCE!B41</f>
        <v>Income</v>
      </c>
      <c r="E51" s="11" t="str">
        <f>SOURCE!C41</f>
        <v>Side Hustle</v>
      </c>
      <c r="F51" s="35">
        <f>SOURCE!E41</f>
        <v>400</v>
      </c>
      <c r="G51" s="36"/>
      <c r="H51" s="38" cm="1">
        <f t="array" ref="H51">SUMPRODUCT(Tracking[Amount],--(Tracking[Date]&lt;=Tracking[[#This Row],[Date]]),(Tracking[Type]&lt;&gt;"Income")*(-1)+(Tracking[Type]="Income"))</f>
        <v>2429.5899999999997</v>
      </c>
      <c r="I51" s="42">
        <f>IF(AND(Tracking[[#This Row],[Type]]="Income", shift_late_income_status="Active", DAY(Tracking[[#This Row],[Date]])&gt;=shift_late_income_starting_date), DATE(YEAR(Tracking[[#This Row],[Date]]),MONTH(Tracking[[#This Row],[Date]])+1,1),Tracking[[#This Row],[Date]])</f>
        <v>45882</v>
      </c>
      <c r="J51" s="11">
        <f>MONTH(Tracking[[#This Row],[Date]])</f>
        <v>8</v>
      </c>
      <c r="K51" s="64">
        <f>YEAR(Tracking[[#This Row],[Date]])</f>
        <v>2025</v>
      </c>
      <c r="M51" t="s">
        <v>13</v>
      </c>
      <c r="N51" t="s">
        <v>158</v>
      </c>
      <c r="O51">
        <v>-83.6</v>
      </c>
      <c r="P51">
        <v>-204.42000000000002</v>
      </c>
      <c r="Q51" s="111">
        <v>-144.01</v>
      </c>
      <c r="R51">
        <v>-1728.12</v>
      </c>
      <c r="S51">
        <v>200</v>
      </c>
    </row>
    <row r="52" spans="3:19" x14ac:dyDescent="0.2">
      <c r="C52" s="34">
        <f>SOURCE!A42</f>
        <v>45882</v>
      </c>
      <c r="D52" s="11" t="str">
        <f>SOURCE!B42</f>
        <v>Income</v>
      </c>
      <c r="E52" s="11" t="str">
        <f>SOURCE!C42</f>
        <v>Side Hustle</v>
      </c>
      <c r="F52" s="35">
        <f>SOURCE!E42</f>
        <v>320</v>
      </c>
      <c r="G52" s="36"/>
      <c r="H52" s="38" cm="1">
        <f t="array" ref="H52">SUMPRODUCT(Tracking[Amount],--(Tracking[Date]&lt;=Tracking[[#This Row],[Date]]),(Tracking[Type]&lt;&gt;"Income")*(-1)+(Tracking[Type]="Income"))</f>
        <v>2429.5899999999997</v>
      </c>
      <c r="I52" s="42">
        <f>IF(AND(Tracking[[#This Row],[Type]]="Income", shift_late_income_status="Active", DAY(Tracking[[#This Row],[Date]])&gt;=shift_late_income_starting_date), DATE(YEAR(Tracking[[#This Row],[Date]]),MONTH(Tracking[[#This Row],[Date]])+1,1),Tracking[[#This Row],[Date]])</f>
        <v>45882</v>
      </c>
      <c r="J52" s="11">
        <f>MONTH(Tracking[[#This Row],[Date]])</f>
        <v>8</v>
      </c>
      <c r="K52" s="64">
        <f>YEAR(Tracking[[#This Row],[Date]])</f>
        <v>2025</v>
      </c>
      <c r="M52" t="s">
        <v>13</v>
      </c>
      <c r="N52" t="s">
        <v>157</v>
      </c>
      <c r="O52">
        <v>-163.79999999999998</v>
      </c>
      <c r="P52">
        <v>-151.29999999999998</v>
      </c>
      <c r="Q52" s="111">
        <v>-157.54999999999998</v>
      </c>
      <c r="R52">
        <v>-1890.6</v>
      </c>
      <c r="S52">
        <v>160</v>
      </c>
    </row>
    <row r="53" spans="3:19" x14ac:dyDescent="0.2">
      <c r="C53" s="34">
        <f>SOURCE!A43</f>
        <v>45882</v>
      </c>
      <c r="D53" s="11" t="str">
        <f>SOURCE!B43</f>
        <v>Income</v>
      </c>
      <c r="E53" s="11" t="str">
        <f>SOURCE!C43</f>
        <v>Side Hustle</v>
      </c>
      <c r="F53" s="35">
        <f>SOURCE!E43</f>
        <v>320</v>
      </c>
      <c r="G53" s="36"/>
      <c r="H53" s="38" cm="1">
        <f t="array" ref="H53">SUMPRODUCT(Tracking[Amount],--(Tracking[Date]&lt;=Tracking[[#This Row],[Date]]),(Tracking[Type]&lt;&gt;"Income")*(-1)+(Tracking[Type]="Income"))</f>
        <v>2429.5899999999997</v>
      </c>
      <c r="I53" s="42">
        <f>IF(AND(Tracking[[#This Row],[Type]]="Income", shift_late_income_status="Active", DAY(Tracking[[#This Row],[Date]])&gt;=shift_late_income_starting_date), DATE(YEAR(Tracking[[#This Row],[Date]]),MONTH(Tracking[[#This Row],[Date]])+1,1),Tracking[[#This Row],[Date]])</f>
        <v>45882</v>
      </c>
      <c r="J53" s="11">
        <f>MONTH(Tracking[[#This Row],[Date]])</f>
        <v>8</v>
      </c>
      <c r="K53" s="64">
        <f>YEAR(Tracking[[#This Row],[Date]])</f>
        <v>2025</v>
      </c>
      <c r="M53" t="s">
        <v>13</v>
      </c>
      <c r="N53" t="s">
        <v>111</v>
      </c>
      <c r="O53">
        <v>-555.79999999999995</v>
      </c>
      <c r="P53">
        <v>-558.63</v>
      </c>
      <c r="Q53" s="111">
        <v>-557.21499999999992</v>
      </c>
      <c r="R53">
        <v>-6686.579999999999</v>
      </c>
      <c r="S53">
        <v>600</v>
      </c>
    </row>
    <row r="54" spans="3:19" x14ac:dyDescent="0.2">
      <c r="C54" s="34">
        <f>SOURCE!A44</f>
        <v>45882</v>
      </c>
      <c r="D54" s="11" t="str">
        <f>SOURCE!B44</f>
        <v>Expenses</v>
      </c>
      <c r="E54" s="11" t="str">
        <f>SOURCE!C44</f>
        <v>Groceries</v>
      </c>
      <c r="F54" s="35">
        <f>SOURCE!E44</f>
        <v>25.9</v>
      </c>
      <c r="G54" s="36"/>
      <c r="H54" s="38" cm="1">
        <f t="array" ref="H54">SUMPRODUCT(Tracking[Amount],--(Tracking[Date]&lt;=Tracking[[#This Row],[Date]]),(Tracking[Type]&lt;&gt;"Income")*(-1)+(Tracking[Type]="Income"))</f>
        <v>2429.5899999999997</v>
      </c>
      <c r="I54" s="42">
        <f>IF(AND(Tracking[[#This Row],[Type]]="Income", shift_late_income_status="Active", DAY(Tracking[[#This Row],[Date]])&gt;=shift_late_income_starting_date), DATE(YEAR(Tracking[[#This Row],[Date]]),MONTH(Tracking[[#This Row],[Date]])+1,1),Tracking[[#This Row],[Date]])</f>
        <v>45882</v>
      </c>
      <c r="J54" s="11">
        <f>MONTH(Tracking[[#This Row],[Date]])</f>
        <v>8</v>
      </c>
      <c r="K54" s="64">
        <f>YEAR(Tracking[[#This Row],[Date]])</f>
        <v>2025</v>
      </c>
      <c r="M54" t="s">
        <v>13</v>
      </c>
      <c r="N54" t="s">
        <v>121</v>
      </c>
      <c r="O54">
        <v>-59.81</v>
      </c>
      <c r="P54">
        <v>-2.85</v>
      </c>
      <c r="Q54" s="111">
        <v>-31.330000000000002</v>
      </c>
      <c r="R54">
        <v>-375.96000000000004</v>
      </c>
      <c r="S54">
        <v>50</v>
      </c>
    </row>
    <row r="55" spans="3:19" x14ac:dyDescent="0.2">
      <c r="C55" s="34">
        <f>SOURCE!A45</f>
        <v>45883</v>
      </c>
      <c r="D55" s="11" t="str">
        <f>SOURCE!B45</f>
        <v>Expenses</v>
      </c>
      <c r="E55" s="11" t="str">
        <f>SOURCE!C45</f>
        <v>Train</v>
      </c>
      <c r="F55" s="35">
        <f>SOURCE!E45</f>
        <v>4.7</v>
      </c>
      <c r="G55" s="36"/>
      <c r="H55" s="38" cm="1">
        <f t="array" ref="H55">SUMPRODUCT(Tracking[Amount],--(Tracking[Date]&lt;=Tracking[[#This Row],[Date]]),(Tracking[Type]&lt;&gt;"Income")*(-1)+(Tracking[Type]="Income"))</f>
        <v>2410.44</v>
      </c>
      <c r="I55" s="42">
        <f>IF(AND(Tracking[[#This Row],[Type]]="Income", shift_late_income_status="Active", DAY(Tracking[[#This Row],[Date]])&gt;=shift_late_income_starting_date), DATE(YEAR(Tracking[[#This Row],[Date]]),MONTH(Tracking[[#This Row],[Date]])+1,1),Tracking[[#This Row],[Date]])</f>
        <v>45883</v>
      </c>
      <c r="J55" s="11">
        <f>MONTH(Tracking[[#This Row],[Date]])</f>
        <v>8</v>
      </c>
      <c r="K55" s="64">
        <f>YEAR(Tracking[[#This Row],[Date]])</f>
        <v>2025</v>
      </c>
      <c r="M55" t="s">
        <v>13</v>
      </c>
      <c r="N55" t="s">
        <v>105</v>
      </c>
      <c r="O55">
        <v>195.55</v>
      </c>
      <c r="P55">
        <v>38</v>
      </c>
      <c r="Q55" s="111">
        <v>116.77500000000001</v>
      </c>
      <c r="R55">
        <v>1401.3000000000002</v>
      </c>
      <c r="S55">
        <v>50</v>
      </c>
    </row>
    <row r="56" spans="3:19" x14ac:dyDescent="0.2">
      <c r="C56" s="34">
        <f>SOURCE!A46</f>
        <v>45883</v>
      </c>
      <c r="D56" s="11" t="str">
        <f>SOURCE!B46</f>
        <v>Expenses</v>
      </c>
      <c r="E56" s="11" t="str">
        <f>SOURCE!C46</f>
        <v>Train</v>
      </c>
      <c r="F56" s="35">
        <f>SOURCE!E46</f>
        <v>4.7</v>
      </c>
      <c r="G56" s="36"/>
      <c r="H56" s="38" cm="1">
        <f t="array" ref="H56">SUMPRODUCT(Tracking[Amount],--(Tracking[Date]&lt;=Tracking[[#This Row],[Date]]),(Tracking[Type]&lt;&gt;"Income")*(-1)+(Tracking[Type]="Income"))</f>
        <v>2410.44</v>
      </c>
      <c r="I56" s="42">
        <f>IF(AND(Tracking[[#This Row],[Type]]="Income", shift_late_income_status="Active", DAY(Tracking[[#This Row],[Date]])&gt;=shift_late_income_starting_date), DATE(YEAR(Tracking[[#This Row],[Date]]),MONTH(Tracking[[#This Row],[Date]])+1,1),Tracking[[#This Row],[Date]])</f>
        <v>45883</v>
      </c>
      <c r="J56" s="11">
        <f>MONTH(Tracking[[#This Row],[Date]])</f>
        <v>8</v>
      </c>
      <c r="K56" s="64">
        <f>YEAR(Tracking[[#This Row],[Date]])</f>
        <v>2025</v>
      </c>
      <c r="M56" t="s">
        <v>13</v>
      </c>
      <c r="N56" t="s">
        <v>15</v>
      </c>
      <c r="O56">
        <v>-389.54999999999995</v>
      </c>
      <c r="P56">
        <v>-233.80999999999992</v>
      </c>
      <c r="Q56" s="111">
        <v>-311.67999999999995</v>
      </c>
      <c r="R56">
        <v>-3740.1599999999994</v>
      </c>
      <c r="S56">
        <v>500</v>
      </c>
    </row>
    <row r="57" spans="3:19" x14ac:dyDescent="0.2">
      <c r="C57" s="34">
        <f>SOURCE!A47</f>
        <v>45883</v>
      </c>
      <c r="D57" s="11" t="str">
        <f>SOURCE!B47</f>
        <v>Expenses</v>
      </c>
      <c r="E57" s="11" t="str">
        <f>SOURCE!C47</f>
        <v>Car</v>
      </c>
      <c r="F57" s="35">
        <f>SOURCE!E47</f>
        <v>9.75</v>
      </c>
      <c r="G57" s="36"/>
      <c r="H57" s="38" cm="1">
        <f t="array" ref="H57">SUMPRODUCT(Tracking[Amount],--(Tracking[Date]&lt;=Tracking[[#This Row],[Date]]),(Tracking[Type]&lt;&gt;"Income")*(-1)+(Tracking[Type]="Income"))</f>
        <v>2410.44</v>
      </c>
      <c r="I57" s="42">
        <f>IF(AND(Tracking[[#This Row],[Type]]="Income", shift_late_income_status="Active", DAY(Tracking[[#This Row],[Date]])&gt;=shift_late_income_starting_date), DATE(YEAR(Tracking[[#This Row],[Date]]),MONTH(Tracking[[#This Row],[Date]])+1,1),Tracking[[#This Row],[Date]])</f>
        <v>45883</v>
      </c>
      <c r="J57" s="11">
        <f>MONTH(Tracking[[#This Row],[Date]])</f>
        <v>8</v>
      </c>
      <c r="K57" s="64">
        <f>YEAR(Tracking[[#This Row],[Date]])</f>
        <v>2025</v>
      </c>
      <c r="M57" t="s">
        <v>13</v>
      </c>
      <c r="N57" t="s">
        <v>161</v>
      </c>
      <c r="O57">
        <v>-10</v>
      </c>
      <c r="P57">
        <v>-209.7</v>
      </c>
      <c r="Q57" s="111">
        <v>-109.85</v>
      </c>
      <c r="R57">
        <v>-1318.1999999999998</v>
      </c>
      <c r="S57">
        <v>200</v>
      </c>
    </row>
    <row r="58" spans="3:19" x14ac:dyDescent="0.2">
      <c r="C58" s="34">
        <f>SOURCE!A48</f>
        <v>45884</v>
      </c>
      <c r="D58" s="11" t="str">
        <f>SOURCE!B48</f>
        <v>Expenses</v>
      </c>
      <c r="E58" s="11" t="str">
        <f>SOURCE!C48</f>
        <v>Groceries</v>
      </c>
      <c r="F58" s="35">
        <f>SOURCE!E48</f>
        <v>10.1</v>
      </c>
      <c r="G58" s="36"/>
      <c r="H58" s="38" cm="1">
        <f t="array" ref="H58">SUMPRODUCT(Tracking[Amount],--(Tracking[Date]&lt;=Tracking[[#This Row],[Date]]),(Tracking[Type]&lt;&gt;"Income")*(-1)+(Tracking[Type]="Income"))</f>
        <v>2319.7400000000002</v>
      </c>
      <c r="I58" s="42">
        <f>IF(AND(Tracking[[#This Row],[Type]]="Income", shift_late_income_status="Active", DAY(Tracking[[#This Row],[Date]])&gt;=shift_late_income_starting_date), DATE(YEAR(Tracking[[#This Row],[Date]]),MONTH(Tracking[[#This Row],[Date]])+1,1),Tracking[[#This Row],[Date]])</f>
        <v>45884</v>
      </c>
      <c r="J58" s="11">
        <f>MONTH(Tracking[[#This Row],[Date]])</f>
        <v>8</v>
      </c>
      <c r="K58" s="64">
        <f>YEAR(Tracking[[#This Row],[Date]])</f>
        <v>2025</v>
      </c>
      <c r="M58" t="s">
        <v>13</v>
      </c>
      <c r="N58" t="s">
        <v>163</v>
      </c>
      <c r="O58">
        <v>-77.849999999999994</v>
      </c>
      <c r="P58">
        <v>0</v>
      </c>
      <c r="Q58" s="111">
        <v>-38.924999999999997</v>
      </c>
      <c r="R58">
        <v>-467.09999999999997</v>
      </c>
      <c r="S58">
        <v>80</v>
      </c>
    </row>
    <row r="59" spans="3:19" x14ac:dyDescent="0.2">
      <c r="C59" s="34">
        <f>SOURCE!A49</f>
        <v>45884</v>
      </c>
      <c r="D59" s="11" t="str">
        <f>SOURCE!B49</f>
        <v>Expenses</v>
      </c>
      <c r="E59" s="11" t="str">
        <f>SOURCE!C49</f>
        <v>Restaurants</v>
      </c>
      <c r="F59" s="35">
        <f>SOURCE!E49</f>
        <v>33</v>
      </c>
      <c r="G59" s="36"/>
      <c r="H59" s="38" cm="1">
        <f t="array" ref="H59">SUMPRODUCT(Tracking[Amount],--(Tracking[Date]&lt;=Tracking[[#This Row],[Date]]),(Tracking[Type]&lt;&gt;"Income")*(-1)+(Tracking[Type]="Income"))</f>
        <v>2319.7400000000002</v>
      </c>
      <c r="I59" s="42">
        <f>IF(AND(Tracking[[#This Row],[Type]]="Income", shift_late_income_status="Active", DAY(Tracking[[#This Row],[Date]])&gt;=shift_late_income_starting_date), DATE(YEAR(Tracking[[#This Row],[Date]]),MONTH(Tracking[[#This Row],[Date]])+1,1),Tracking[[#This Row],[Date]])</f>
        <v>45884</v>
      </c>
      <c r="J59" s="11">
        <f>MONTH(Tracking[[#This Row],[Date]])</f>
        <v>8</v>
      </c>
      <c r="K59" s="64">
        <f>YEAR(Tracking[[#This Row],[Date]])</f>
        <v>2025</v>
      </c>
      <c r="M59" t="s">
        <v>13</v>
      </c>
      <c r="N59" t="s">
        <v>159</v>
      </c>
      <c r="O59">
        <v>-501.35</v>
      </c>
      <c r="P59">
        <v>-501.35</v>
      </c>
      <c r="Q59" s="111">
        <v>-501.35</v>
      </c>
      <c r="R59">
        <v>-6016.2000000000007</v>
      </c>
      <c r="S59">
        <v>501.35</v>
      </c>
    </row>
    <row r="60" spans="3:19" x14ac:dyDescent="0.2">
      <c r="C60" s="34">
        <f>SOURCE!A50</f>
        <v>45884</v>
      </c>
      <c r="D60" s="11" t="str">
        <f>SOURCE!B50</f>
        <v>Expenses</v>
      </c>
      <c r="E60" s="11" t="str">
        <f>SOURCE!C50</f>
        <v>Restaurants</v>
      </c>
      <c r="F60" s="35">
        <f>SOURCE!E50</f>
        <v>21</v>
      </c>
      <c r="G60" s="36"/>
      <c r="H60" s="38" cm="1">
        <f t="array" ref="H60">SUMPRODUCT(Tracking[Amount],--(Tracking[Date]&lt;=Tracking[[#This Row],[Date]]),(Tracking[Type]&lt;&gt;"Income")*(-1)+(Tracking[Type]="Income"))</f>
        <v>2319.7400000000002</v>
      </c>
      <c r="I60" s="42">
        <f>IF(AND(Tracking[[#This Row],[Type]]="Income", shift_late_income_status="Active", DAY(Tracking[[#This Row],[Date]])&gt;=shift_late_income_starting_date), DATE(YEAR(Tracking[[#This Row],[Date]]),MONTH(Tracking[[#This Row],[Date]])+1,1),Tracking[[#This Row],[Date]])</f>
        <v>45884</v>
      </c>
      <c r="J60" s="11">
        <f>MONTH(Tracking[[#This Row],[Date]])</f>
        <v>8</v>
      </c>
      <c r="K60" s="64">
        <f>YEAR(Tracking[[#This Row],[Date]])</f>
        <v>2025</v>
      </c>
      <c r="M60" t="s">
        <v>13</v>
      </c>
      <c r="N60" t="s">
        <v>113</v>
      </c>
      <c r="O60">
        <v>-18.100000000000001</v>
      </c>
      <c r="P60">
        <v>-21.15</v>
      </c>
      <c r="Q60" s="111">
        <v>-19.625</v>
      </c>
      <c r="R60">
        <v>-235.5</v>
      </c>
      <c r="S60">
        <v>100</v>
      </c>
    </row>
    <row r="61" spans="3:19" x14ac:dyDescent="0.2">
      <c r="C61" s="34">
        <f>SOURCE!A51</f>
        <v>45884</v>
      </c>
      <c r="D61" s="11" t="str">
        <f>SOURCE!B51</f>
        <v>Expenses</v>
      </c>
      <c r="E61" s="11" t="str">
        <f>SOURCE!C51</f>
        <v>Digital Goods</v>
      </c>
      <c r="F61" s="35">
        <f>SOURCE!E51</f>
        <v>26.6</v>
      </c>
      <c r="G61" s="36"/>
      <c r="H61" s="38" cm="1">
        <f t="array" ref="H61">SUMPRODUCT(Tracking[Amount],--(Tracking[Date]&lt;=Tracking[[#This Row],[Date]]),(Tracking[Type]&lt;&gt;"Income")*(-1)+(Tracking[Type]="Income"))</f>
        <v>2319.7400000000002</v>
      </c>
      <c r="I61" s="42">
        <f>IF(AND(Tracking[[#This Row],[Type]]="Income", shift_late_income_status="Active", DAY(Tracking[[#This Row],[Date]])&gt;=shift_late_income_starting_date), DATE(YEAR(Tracking[[#This Row],[Date]]),MONTH(Tracking[[#This Row],[Date]])+1,1),Tracking[[#This Row],[Date]])</f>
        <v>45884</v>
      </c>
      <c r="J61" s="11">
        <f>MONTH(Tracking[[#This Row],[Date]])</f>
        <v>8</v>
      </c>
      <c r="K61" s="64">
        <f>YEAR(Tracking[[#This Row],[Date]])</f>
        <v>2025</v>
      </c>
      <c r="M61" t="s">
        <v>10</v>
      </c>
      <c r="N61" t="s">
        <v>127</v>
      </c>
      <c r="O61">
        <v>4313.3</v>
      </c>
      <c r="P61">
        <v>1699.9</v>
      </c>
      <c r="Q61" s="111">
        <v>3006.6000000000004</v>
      </c>
      <c r="R61">
        <v>36079.200000000004</v>
      </c>
      <c r="S61">
        <v>0</v>
      </c>
    </row>
    <row r="62" spans="3:19" x14ac:dyDescent="0.2">
      <c r="C62" s="34">
        <f>SOURCE!A52</f>
        <v>45885</v>
      </c>
      <c r="D62" s="11" t="str">
        <f>SOURCE!B52</f>
        <v>Expenses</v>
      </c>
      <c r="E62" s="11" t="str">
        <f>SOURCE!C52</f>
        <v>Train</v>
      </c>
      <c r="F62" s="35">
        <f>SOURCE!E52</f>
        <v>4.7</v>
      </c>
      <c r="G62" s="36"/>
      <c r="H62" s="38" cm="1">
        <f t="array" ref="H62">SUMPRODUCT(Tracking[Amount],--(Tracking[Date]&lt;=Tracking[[#This Row],[Date]]),(Tracking[Type]&lt;&gt;"Income")*(-1)+(Tracking[Type]="Income"))</f>
        <v>2256.4400000000005</v>
      </c>
      <c r="I62" s="42">
        <f>IF(AND(Tracking[[#This Row],[Type]]="Income", shift_late_income_status="Active", DAY(Tracking[[#This Row],[Date]])&gt;=shift_late_income_starting_date), DATE(YEAR(Tracking[[#This Row],[Date]]),MONTH(Tracking[[#This Row],[Date]])+1,1),Tracking[[#This Row],[Date]])</f>
        <v>45885</v>
      </c>
      <c r="J62" s="11">
        <f>MONTH(Tracking[[#This Row],[Date]])</f>
        <v>8</v>
      </c>
      <c r="K62" s="64">
        <f>YEAR(Tracking[[#This Row],[Date]])</f>
        <v>2025</v>
      </c>
      <c r="M62" t="s">
        <v>13</v>
      </c>
      <c r="N62" t="s">
        <v>14</v>
      </c>
      <c r="O62">
        <v>-1912</v>
      </c>
      <c r="P62">
        <v>-1912</v>
      </c>
      <c r="Q62" s="111">
        <v>-1912</v>
      </c>
      <c r="R62">
        <v>-22944</v>
      </c>
      <c r="S62">
        <v>1912</v>
      </c>
    </row>
    <row r="63" spans="3:19" x14ac:dyDescent="0.2">
      <c r="C63" s="34">
        <f>SOURCE!A53</f>
        <v>45885</v>
      </c>
      <c r="D63" s="11" t="str">
        <f>SOURCE!B53</f>
        <v>Expenses</v>
      </c>
      <c r="E63" s="11" t="str">
        <f>SOURCE!C53</f>
        <v>Train</v>
      </c>
      <c r="F63" s="35">
        <f>SOURCE!E53</f>
        <v>4.7</v>
      </c>
      <c r="G63" s="36"/>
      <c r="H63" s="38" cm="1">
        <f t="array" ref="H63">SUMPRODUCT(Tracking[Amount],--(Tracking[Date]&lt;=Tracking[[#This Row],[Date]]),(Tracking[Type]&lt;&gt;"Income")*(-1)+(Tracking[Type]="Income"))</f>
        <v>2256.4400000000005</v>
      </c>
      <c r="I63" s="42">
        <f>IF(AND(Tracking[[#This Row],[Type]]="Income", shift_late_income_status="Active", DAY(Tracking[[#This Row],[Date]])&gt;=shift_late_income_starting_date), DATE(YEAR(Tracking[[#This Row],[Date]]),MONTH(Tracking[[#This Row],[Date]])+1,1),Tracking[[#This Row],[Date]])</f>
        <v>45885</v>
      </c>
      <c r="J63" s="11">
        <f>MONTH(Tracking[[#This Row],[Date]])</f>
        <v>8</v>
      </c>
      <c r="K63" s="64">
        <f>YEAR(Tracking[[#This Row],[Date]])</f>
        <v>2025</v>
      </c>
      <c r="M63" t="s">
        <v>10</v>
      </c>
      <c r="N63" t="s">
        <v>128</v>
      </c>
      <c r="O63">
        <v>3587.1</v>
      </c>
      <c r="P63">
        <v>8204.85</v>
      </c>
      <c r="Q63" s="111">
        <v>5895.9750000000004</v>
      </c>
      <c r="R63">
        <v>70751.700000000012</v>
      </c>
      <c r="S63">
        <v>8204.85</v>
      </c>
    </row>
    <row r="64" spans="3:19" x14ac:dyDescent="0.2">
      <c r="C64" s="34">
        <f>SOURCE!A54</f>
        <v>45885</v>
      </c>
      <c r="D64" s="11" t="str">
        <f>SOURCE!B54</f>
        <v>Expenses</v>
      </c>
      <c r="E64" s="11" t="str">
        <f>SOURCE!C54</f>
        <v>Restaurants</v>
      </c>
      <c r="F64" s="35">
        <f>SOURCE!E54</f>
        <v>53.9</v>
      </c>
      <c r="G64" s="36"/>
      <c r="H64" s="38" cm="1">
        <f t="array" ref="H64">SUMPRODUCT(Tracking[Amount],--(Tracking[Date]&lt;=Tracking[[#This Row],[Date]]),(Tracking[Type]&lt;&gt;"Income")*(-1)+(Tracking[Type]="Income"))</f>
        <v>2256.4400000000005</v>
      </c>
      <c r="I64" s="42">
        <f>IF(AND(Tracking[[#This Row],[Type]]="Income", shift_late_income_status="Active", DAY(Tracking[[#This Row],[Date]])&gt;=shift_late_income_starting_date), DATE(YEAR(Tracking[[#This Row],[Date]]),MONTH(Tracking[[#This Row],[Date]])+1,1),Tracking[[#This Row],[Date]])</f>
        <v>45885</v>
      </c>
      <c r="J64" s="11">
        <f>MONTH(Tracking[[#This Row],[Date]])</f>
        <v>8</v>
      </c>
      <c r="K64" s="64">
        <f>YEAR(Tracking[[#This Row],[Date]])</f>
        <v>2025</v>
      </c>
      <c r="M64" t="s">
        <v>13</v>
      </c>
      <c r="N64" t="s">
        <v>166</v>
      </c>
      <c r="O64">
        <v>-1202</v>
      </c>
      <c r="P64">
        <v>-554.85</v>
      </c>
      <c r="Q64" s="111">
        <v>-878.42499999999995</v>
      </c>
      <c r="R64">
        <v>-10541.099999999999</v>
      </c>
      <c r="S64">
        <v>2000</v>
      </c>
    </row>
    <row r="65" spans="3:19" x14ac:dyDescent="0.2">
      <c r="C65" s="34">
        <f>SOURCE!A55</f>
        <v>45886</v>
      </c>
      <c r="D65" s="11" t="str">
        <f>SOURCE!B55</f>
        <v>Expenses</v>
      </c>
      <c r="E65" s="11" t="str">
        <f>SOURCE!C55</f>
        <v>Train</v>
      </c>
      <c r="F65" s="35">
        <f>SOURCE!E55</f>
        <v>3.4</v>
      </c>
      <c r="G65" s="36"/>
      <c r="H65" s="38" cm="1">
        <f t="array" ref="H65">SUMPRODUCT(Tracking[Amount],--(Tracking[Date]&lt;=Tracking[[#This Row],[Date]]),(Tracking[Type]&lt;&gt;"Income")*(-1)+(Tracking[Type]="Income"))</f>
        <v>2238.5400000000004</v>
      </c>
      <c r="I65" s="42">
        <f>IF(AND(Tracking[[#This Row],[Type]]="Income", shift_late_income_status="Active", DAY(Tracking[[#This Row],[Date]])&gt;=shift_late_income_starting_date), DATE(YEAR(Tracking[[#This Row],[Date]]),MONTH(Tracking[[#This Row],[Date]])+1,1),Tracking[[#This Row],[Date]])</f>
        <v>45886</v>
      </c>
      <c r="J65" s="11">
        <f>MONTH(Tracking[[#This Row],[Date]])</f>
        <v>8</v>
      </c>
      <c r="K65" s="64">
        <f>YEAR(Tracking[[#This Row],[Date]])</f>
        <v>2025</v>
      </c>
      <c r="M65" t="s">
        <v>13</v>
      </c>
      <c r="N65" t="s">
        <v>104</v>
      </c>
      <c r="O65">
        <v>-50</v>
      </c>
      <c r="P65">
        <v>-40</v>
      </c>
      <c r="Q65" s="111">
        <v>-45</v>
      </c>
      <c r="R65">
        <v>-540</v>
      </c>
      <c r="S65">
        <v>50</v>
      </c>
    </row>
    <row r="66" spans="3:19" x14ac:dyDescent="0.2">
      <c r="C66" s="34">
        <f>SOURCE!A56</f>
        <v>45886</v>
      </c>
      <c r="D66" s="11" t="str">
        <f>SOURCE!B56</f>
        <v>Expenses</v>
      </c>
      <c r="E66" s="11" t="str">
        <f>SOURCE!C56</f>
        <v>Restaurants</v>
      </c>
      <c r="F66" s="35">
        <f>SOURCE!E56</f>
        <v>14.5</v>
      </c>
      <c r="G66" s="36"/>
      <c r="H66" s="38" cm="1">
        <f t="array" ref="H66">SUMPRODUCT(Tracking[Amount],--(Tracking[Date]&lt;=Tracking[[#This Row],[Date]]),(Tracking[Type]&lt;&gt;"Income")*(-1)+(Tracking[Type]="Income"))</f>
        <v>2238.5400000000004</v>
      </c>
      <c r="I66" s="42">
        <f>IF(AND(Tracking[[#This Row],[Type]]="Income", shift_late_income_status="Active", DAY(Tracking[[#This Row],[Date]])&gt;=shift_late_income_starting_date), DATE(YEAR(Tracking[[#This Row],[Date]]),MONTH(Tracking[[#This Row],[Date]])+1,1),Tracking[[#This Row],[Date]])</f>
        <v>45886</v>
      </c>
      <c r="J66" s="11">
        <f>MONTH(Tracking[[#This Row],[Date]])</f>
        <v>8</v>
      </c>
      <c r="K66" s="64">
        <f>YEAR(Tracking[[#This Row],[Date]])</f>
        <v>2025</v>
      </c>
      <c r="M66" t="s">
        <v>13</v>
      </c>
      <c r="N66" t="s">
        <v>167</v>
      </c>
      <c r="O66">
        <v>-15</v>
      </c>
      <c r="P66">
        <v>-15</v>
      </c>
      <c r="Q66" s="111">
        <v>-15</v>
      </c>
      <c r="R66">
        <v>-180</v>
      </c>
      <c r="S66">
        <v>15</v>
      </c>
    </row>
    <row r="67" spans="3:19" x14ac:dyDescent="0.2">
      <c r="C67" s="34">
        <f>SOURCE!A57</f>
        <v>45887</v>
      </c>
      <c r="D67" s="11" t="str">
        <f>SOURCE!B57</f>
        <v>Expenses</v>
      </c>
      <c r="E67" s="11" t="str">
        <f>SOURCE!C57</f>
        <v>Train</v>
      </c>
      <c r="F67" s="35">
        <f>SOURCE!E57</f>
        <v>4.7</v>
      </c>
      <c r="G67" s="36"/>
      <c r="H67" s="38" cm="1">
        <f t="array" ref="H67">SUMPRODUCT(Tracking[Amount],--(Tracking[Date]&lt;=Tracking[[#This Row],[Date]]),(Tracking[Type]&lt;&gt;"Income")*(-1)+(Tracking[Type]="Income"))</f>
        <v>2220.2900000000004</v>
      </c>
      <c r="I67" s="42">
        <f>IF(AND(Tracking[[#This Row],[Type]]="Income", shift_late_income_status="Active", DAY(Tracking[[#This Row],[Date]])&gt;=shift_late_income_starting_date), DATE(YEAR(Tracking[[#This Row],[Date]]),MONTH(Tracking[[#This Row],[Date]])+1,1),Tracking[[#This Row],[Date]])</f>
        <v>45887</v>
      </c>
      <c r="J67" s="11">
        <f>MONTH(Tracking[[#This Row],[Date]])</f>
        <v>8</v>
      </c>
      <c r="K67" s="64">
        <f>YEAR(Tracking[[#This Row],[Date]])</f>
        <v>2025</v>
      </c>
      <c r="M67" t="s">
        <v>107</v>
      </c>
      <c r="N67" t="s">
        <v>108</v>
      </c>
      <c r="O67">
        <v>0</v>
      </c>
      <c r="P67">
        <v>-726.2</v>
      </c>
      <c r="Q67" s="111">
        <v>-363.1</v>
      </c>
      <c r="R67">
        <v>-4357.2000000000007</v>
      </c>
      <c r="S67">
        <v>0</v>
      </c>
    </row>
    <row r="68" spans="3:19" x14ac:dyDescent="0.2">
      <c r="C68" s="34">
        <f>SOURCE!A58</f>
        <v>45887</v>
      </c>
      <c r="D68" s="11" t="str">
        <f>SOURCE!B58</f>
        <v>Expenses</v>
      </c>
      <c r="E68" s="11" t="str">
        <f>SOURCE!C58</f>
        <v>Health Other</v>
      </c>
      <c r="F68" s="35">
        <f>SOURCE!E58</f>
        <v>8.3000000000000007</v>
      </c>
      <c r="G68" s="36"/>
      <c r="H68" s="38" cm="1">
        <f t="array" ref="H68">SUMPRODUCT(Tracking[Amount],--(Tracking[Date]&lt;=Tracking[[#This Row],[Date]]),(Tracking[Type]&lt;&gt;"Income")*(-1)+(Tracking[Type]="Income"))</f>
        <v>2220.2900000000004</v>
      </c>
      <c r="I68" s="42">
        <f>IF(AND(Tracking[[#This Row],[Type]]="Income", shift_late_income_status="Active", DAY(Tracking[[#This Row],[Date]])&gt;=shift_late_income_starting_date), DATE(YEAR(Tracking[[#This Row],[Date]]),MONTH(Tracking[[#This Row],[Date]])+1,1),Tracking[[#This Row],[Date]])</f>
        <v>45887</v>
      </c>
      <c r="J68" s="11">
        <f>MONTH(Tracking[[#This Row],[Date]])</f>
        <v>8</v>
      </c>
      <c r="K68" s="64">
        <f>YEAR(Tracking[[#This Row],[Date]])</f>
        <v>2025</v>
      </c>
      <c r="M68" t="s">
        <v>13</v>
      </c>
      <c r="N68" t="s">
        <v>160</v>
      </c>
      <c r="O68">
        <v>0</v>
      </c>
      <c r="P68">
        <v>-150</v>
      </c>
      <c r="Q68" s="111">
        <v>-75</v>
      </c>
      <c r="R68">
        <v>-900</v>
      </c>
      <c r="S68">
        <v>400</v>
      </c>
    </row>
    <row r="69" spans="3:19" x14ac:dyDescent="0.2">
      <c r="C69" s="34">
        <f>SOURCE!A59</f>
        <v>45887</v>
      </c>
      <c r="D69" s="11" t="str">
        <f>SOURCE!B59</f>
        <v>Expenses</v>
      </c>
      <c r="E69" s="11" t="str">
        <f>SOURCE!C59</f>
        <v>Train</v>
      </c>
      <c r="F69" s="35">
        <f>SOURCE!E59</f>
        <v>3.3</v>
      </c>
      <c r="G69" s="36"/>
      <c r="H69" s="38" cm="1">
        <f t="array" ref="H69">SUMPRODUCT(Tracking[Amount],--(Tracking[Date]&lt;=Tracking[[#This Row],[Date]]),(Tracking[Type]&lt;&gt;"Income")*(-1)+(Tracking[Type]="Income"))</f>
        <v>2220.2900000000004</v>
      </c>
      <c r="I69" s="42">
        <f>IF(AND(Tracking[[#This Row],[Type]]="Income", shift_late_income_status="Active", DAY(Tracking[[#This Row],[Date]])&gt;=shift_late_income_starting_date), DATE(YEAR(Tracking[[#This Row],[Date]]),MONTH(Tracking[[#This Row],[Date]])+1,1),Tracking[[#This Row],[Date]])</f>
        <v>45887</v>
      </c>
      <c r="J69" s="11">
        <f>MONTH(Tracking[[#This Row],[Date]])</f>
        <v>8</v>
      </c>
      <c r="K69" s="64">
        <f>YEAR(Tracking[[#This Row],[Date]])</f>
        <v>2025</v>
      </c>
      <c r="M69" t="s">
        <v>13</v>
      </c>
      <c r="N69" t="s">
        <v>162</v>
      </c>
      <c r="O69">
        <v>0</v>
      </c>
      <c r="P69">
        <v>-116.1</v>
      </c>
      <c r="Q69" s="111">
        <v>-58.05</v>
      </c>
      <c r="R69">
        <v>-696.59999999999991</v>
      </c>
      <c r="S69">
        <v>35</v>
      </c>
    </row>
    <row r="70" spans="3:19" x14ac:dyDescent="0.2">
      <c r="C70" s="34">
        <f>SOURCE!A60</f>
        <v>45887</v>
      </c>
      <c r="D70" s="11" t="str">
        <f>SOURCE!B60</f>
        <v>Expenses</v>
      </c>
      <c r="E70" s="11" t="str">
        <f>SOURCE!C60</f>
        <v>Groceries</v>
      </c>
      <c r="F70" s="35">
        <f>SOURCE!E60</f>
        <v>1.95</v>
      </c>
      <c r="G70" s="36"/>
      <c r="H70" s="38" cm="1">
        <f t="array" ref="H70">SUMPRODUCT(Tracking[Amount],--(Tracking[Date]&lt;=Tracking[[#This Row],[Date]]),(Tracking[Type]&lt;&gt;"Income")*(-1)+(Tracking[Type]="Income"))</f>
        <v>2220.2900000000004</v>
      </c>
      <c r="I70" s="42">
        <f>IF(AND(Tracking[[#This Row],[Type]]="Income", shift_late_income_status="Active", DAY(Tracking[[#This Row],[Date]])&gt;=shift_late_income_starting_date), DATE(YEAR(Tracking[[#This Row],[Date]]),MONTH(Tracking[[#This Row],[Date]])+1,1),Tracking[[#This Row],[Date]])</f>
        <v>45887</v>
      </c>
      <c r="J70" s="11">
        <f>MONTH(Tracking[[#This Row],[Date]])</f>
        <v>8</v>
      </c>
      <c r="K70" s="64">
        <f>YEAR(Tracking[[#This Row],[Date]])</f>
        <v>2025</v>
      </c>
      <c r="M70" t="s">
        <v>13</v>
      </c>
      <c r="N70" t="s">
        <v>164</v>
      </c>
      <c r="O70">
        <v>0</v>
      </c>
      <c r="P70">
        <v>-150</v>
      </c>
      <c r="Q70" s="111">
        <v>-75</v>
      </c>
      <c r="R70">
        <v>-900</v>
      </c>
      <c r="S70">
        <v>20</v>
      </c>
    </row>
    <row r="71" spans="3:19" x14ac:dyDescent="0.2">
      <c r="C71" s="34">
        <f>SOURCE!A61</f>
        <v>45888</v>
      </c>
      <c r="D71" s="11" t="str">
        <f>SOURCE!B61</f>
        <v>Expenses</v>
      </c>
      <c r="E71" s="11" t="str">
        <f>SOURCE!C61</f>
        <v>Train</v>
      </c>
      <c r="F71" s="35">
        <f>SOURCE!E61</f>
        <v>3.4</v>
      </c>
      <c r="G71" s="36"/>
      <c r="H71" s="38" cm="1">
        <f t="array" ref="H71">SUMPRODUCT(Tracking[Amount],--(Tracking[Date]&lt;=Tracking[[#This Row],[Date]]),(Tracking[Type]&lt;&gt;"Income")*(-1)+(Tracking[Type]="Income"))</f>
        <v>2150.7900000000009</v>
      </c>
      <c r="I71" s="42">
        <f>IF(AND(Tracking[[#This Row],[Type]]="Income", shift_late_income_status="Active", DAY(Tracking[[#This Row],[Date]])&gt;=shift_late_income_starting_date), DATE(YEAR(Tracking[[#This Row],[Date]]),MONTH(Tracking[[#This Row],[Date]])+1,1),Tracking[[#This Row],[Date]])</f>
        <v>45888</v>
      </c>
      <c r="J71" s="11">
        <f>MONTH(Tracking[[#This Row],[Date]])</f>
        <v>8</v>
      </c>
      <c r="K71" s="64">
        <f>YEAR(Tracking[[#This Row],[Date]])</f>
        <v>2025</v>
      </c>
      <c r="M71" t="s">
        <v>13</v>
      </c>
      <c r="N71" t="s">
        <v>165</v>
      </c>
      <c r="O71">
        <v>0</v>
      </c>
      <c r="P71">
        <v>-28.9</v>
      </c>
      <c r="Q71" s="111">
        <v>-14.45</v>
      </c>
      <c r="R71">
        <v>-173.39999999999998</v>
      </c>
      <c r="S71">
        <v>100</v>
      </c>
    </row>
    <row r="72" spans="3:19" x14ac:dyDescent="0.2">
      <c r="C72" s="34">
        <f>SOURCE!A62</f>
        <v>45888</v>
      </c>
      <c r="D72" s="11" t="str">
        <f>SOURCE!B62</f>
        <v>Expenses</v>
      </c>
      <c r="E72" s="11" t="str">
        <f>SOURCE!C62</f>
        <v>Train</v>
      </c>
      <c r="F72" s="35">
        <f>SOURCE!E62</f>
        <v>4.7</v>
      </c>
      <c r="G72" s="36"/>
      <c r="H72" s="38" cm="1">
        <f t="array" ref="H72">SUMPRODUCT(Tracking[Amount],--(Tracking[Date]&lt;=Tracking[[#This Row],[Date]]),(Tracking[Type]&lt;&gt;"Income")*(-1)+(Tracking[Type]="Income"))</f>
        <v>2150.7900000000009</v>
      </c>
      <c r="I72" s="42">
        <f>IF(AND(Tracking[[#This Row],[Type]]="Income", shift_late_income_status="Active", DAY(Tracking[[#This Row],[Date]])&gt;=shift_late_income_starting_date), DATE(YEAR(Tracking[[#This Row],[Date]]),MONTH(Tracking[[#This Row],[Date]])+1,1),Tracking[[#This Row],[Date]])</f>
        <v>45888</v>
      </c>
      <c r="J72" s="11">
        <f>MONTH(Tracking[[#This Row],[Date]])</f>
        <v>8</v>
      </c>
      <c r="K72" s="64">
        <f>YEAR(Tracking[[#This Row],[Date]])</f>
        <v>2025</v>
      </c>
    </row>
    <row r="73" spans="3:19" x14ac:dyDescent="0.2">
      <c r="C73" s="34">
        <f>SOURCE!A63</f>
        <v>45888</v>
      </c>
      <c r="D73" s="11" t="str">
        <f>SOURCE!B63</f>
        <v>Expenses</v>
      </c>
      <c r="E73" s="11" t="str">
        <f>SOURCE!C63</f>
        <v>Restaurants</v>
      </c>
      <c r="F73" s="35">
        <f>SOURCE!E63</f>
        <v>9.5</v>
      </c>
      <c r="G73" s="36"/>
      <c r="H73" s="38" cm="1">
        <f t="array" ref="H73">SUMPRODUCT(Tracking[Amount],--(Tracking[Date]&lt;=Tracking[[#This Row],[Date]]),(Tracking[Type]&lt;&gt;"Income")*(-1)+(Tracking[Type]="Income"))</f>
        <v>2150.7900000000009</v>
      </c>
      <c r="I73" s="42">
        <f>IF(AND(Tracking[[#This Row],[Type]]="Income", shift_late_income_status="Active", DAY(Tracking[[#This Row],[Date]])&gt;=shift_late_income_starting_date), DATE(YEAR(Tracking[[#This Row],[Date]]),MONTH(Tracking[[#This Row],[Date]])+1,1),Tracking[[#This Row],[Date]])</f>
        <v>45888</v>
      </c>
      <c r="J73" s="11">
        <f>MONTH(Tracking[[#This Row],[Date]])</f>
        <v>8</v>
      </c>
      <c r="K73" s="64">
        <f>YEAR(Tracking[[#This Row],[Date]])</f>
        <v>2025</v>
      </c>
    </row>
    <row r="74" spans="3:19" x14ac:dyDescent="0.2">
      <c r="C74" s="34">
        <f>SOURCE!A64</f>
        <v>45888</v>
      </c>
      <c r="D74" s="11" t="str">
        <f>SOURCE!B64</f>
        <v>Expenses</v>
      </c>
      <c r="E74" s="11" t="str">
        <f>SOURCE!C64</f>
        <v>Digital Goods</v>
      </c>
      <c r="F74" s="35">
        <f>SOURCE!E64</f>
        <v>49.95</v>
      </c>
      <c r="G74" s="36"/>
      <c r="H74" s="38" cm="1">
        <f t="array" ref="H74">SUMPRODUCT(Tracking[Amount],--(Tracking[Date]&lt;=Tracking[[#This Row],[Date]]),(Tracking[Type]&lt;&gt;"Income")*(-1)+(Tracking[Type]="Income"))</f>
        <v>2150.7900000000009</v>
      </c>
      <c r="I74" s="42">
        <f>IF(AND(Tracking[[#This Row],[Type]]="Income", shift_late_income_status="Active", DAY(Tracking[[#This Row],[Date]])&gt;=shift_late_income_starting_date), DATE(YEAR(Tracking[[#This Row],[Date]]),MONTH(Tracking[[#This Row],[Date]])+1,1),Tracking[[#This Row],[Date]])</f>
        <v>45888</v>
      </c>
      <c r="J74" s="11">
        <f>MONTH(Tracking[[#This Row],[Date]])</f>
        <v>8</v>
      </c>
      <c r="K74" s="64">
        <f>YEAR(Tracking[[#This Row],[Date]])</f>
        <v>2025</v>
      </c>
    </row>
    <row r="75" spans="3:19" x14ac:dyDescent="0.2">
      <c r="C75" s="34">
        <f>SOURCE!A65</f>
        <v>45888</v>
      </c>
      <c r="D75" s="11" t="str">
        <f>SOURCE!B65</f>
        <v>Expenses</v>
      </c>
      <c r="E75" s="11" t="str">
        <f>SOURCE!C65</f>
        <v>Groceries</v>
      </c>
      <c r="F75" s="35">
        <f>SOURCE!E65</f>
        <v>1.95</v>
      </c>
      <c r="G75" s="36"/>
      <c r="H75" s="38" cm="1">
        <f t="array" ref="H75">SUMPRODUCT(Tracking[Amount],--(Tracking[Date]&lt;=Tracking[[#This Row],[Date]]),(Tracking[Type]&lt;&gt;"Income")*(-1)+(Tracking[Type]="Income"))</f>
        <v>2150.7900000000009</v>
      </c>
      <c r="I75" s="42">
        <f>IF(AND(Tracking[[#This Row],[Type]]="Income", shift_late_income_status="Active", DAY(Tracking[[#This Row],[Date]])&gt;=shift_late_income_starting_date), DATE(YEAR(Tracking[[#This Row],[Date]]),MONTH(Tracking[[#This Row],[Date]])+1,1),Tracking[[#This Row],[Date]])</f>
        <v>45888</v>
      </c>
      <c r="J75" s="11">
        <f>MONTH(Tracking[[#This Row],[Date]])</f>
        <v>8</v>
      </c>
      <c r="K75" s="64">
        <f>YEAR(Tracking[[#This Row],[Date]])</f>
        <v>2025</v>
      </c>
    </row>
    <row r="76" spans="3:19" x14ac:dyDescent="0.2">
      <c r="C76" s="34">
        <f>SOURCE!A66</f>
        <v>45889</v>
      </c>
      <c r="D76" s="11" t="str">
        <f>SOURCE!B66</f>
        <v>Expenses</v>
      </c>
      <c r="E76" s="11" t="str">
        <f>SOURCE!C66</f>
        <v>Train</v>
      </c>
      <c r="F76" s="35">
        <f>SOURCE!E66</f>
        <v>4.7</v>
      </c>
      <c r="G76" s="36"/>
      <c r="H76" s="38" cm="1">
        <f t="array" ref="H76">SUMPRODUCT(Tracking[Amount],--(Tracking[Date]&lt;=Tracking[[#This Row],[Date]]),(Tracking[Type]&lt;&gt;"Income")*(-1)+(Tracking[Type]="Income"))</f>
        <v>2125.7400000000007</v>
      </c>
      <c r="I76" s="42">
        <f>IF(AND(Tracking[[#This Row],[Type]]="Income", shift_late_income_status="Active", DAY(Tracking[[#This Row],[Date]])&gt;=shift_late_income_starting_date), DATE(YEAR(Tracking[[#This Row],[Date]]),MONTH(Tracking[[#This Row],[Date]])+1,1),Tracking[[#This Row],[Date]])</f>
        <v>45889</v>
      </c>
      <c r="J76" s="11">
        <f>MONTH(Tracking[[#This Row],[Date]])</f>
        <v>8</v>
      </c>
      <c r="K76" s="64">
        <f>YEAR(Tracking[[#This Row],[Date]])</f>
        <v>2025</v>
      </c>
    </row>
    <row r="77" spans="3:19" x14ac:dyDescent="0.2">
      <c r="C77" s="34">
        <f>SOURCE!A67</f>
        <v>45889</v>
      </c>
      <c r="D77" s="11" t="str">
        <f>SOURCE!B67</f>
        <v>Expenses</v>
      </c>
      <c r="E77" s="11" t="str">
        <f>SOURCE!C67</f>
        <v>Train</v>
      </c>
      <c r="F77" s="35">
        <f>SOURCE!E67</f>
        <v>3.4</v>
      </c>
      <c r="G77" s="36"/>
      <c r="H77" s="38" cm="1">
        <f t="array" ref="H77">SUMPRODUCT(Tracking[Amount],--(Tracking[Date]&lt;=Tracking[[#This Row],[Date]]),(Tracking[Type]&lt;&gt;"Income")*(-1)+(Tracking[Type]="Income"))</f>
        <v>2125.7400000000007</v>
      </c>
      <c r="I77" s="42">
        <f>IF(AND(Tracking[[#This Row],[Type]]="Income", shift_late_income_status="Active", DAY(Tracking[[#This Row],[Date]])&gt;=shift_late_income_starting_date), DATE(YEAR(Tracking[[#This Row],[Date]]),MONTH(Tracking[[#This Row],[Date]])+1,1),Tracking[[#This Row],[Date]])</f>
        <v>45889</v>
      </c>
      <c r="J77" s="11">
        <f>MONTH(Tracking[[#This Row],[Date]])</f>
        <v>8</v>
      </c>
      <c r="K77" s="64">
        <f>YEAR(Tracking[[#This Row],[Date]])</f>
        <v>2025</v>
      </c>
    </row>
    <row r="78" spans="3:19" x14ac:dyDescent="0.2">
      <c r="C78" s="34">
        <f>SOURCE!A68</f>
        <v>45889</v>
      </c>
      <c r="D78" s="11" t="str">
        <f>SOURCE!B68</f>
        <v>Expenses</v>
      </c>
      <c r="E78" s="11" t="str">
        <f>SOURCE!C68</f>
        <v>Groceries</v>
      </c>
      <c r="F78" s="35">
        <f>SOURCE!E68</f>
        <v>6.05</v>
      </c>
      <c r="G78" s="36"/>
      <c r="H78" s="38" cm="1">
        <f t="array" ref="H78">SUMPRODUCT(Tracking[Amount],--(Tracking[Date]&lt;=Tracking[[#This Row],[Date]]),(Tracking[Type]&lt;&gt;"Income")*(-1)+(Tracking[Type]="Income"))</f>
        <v>2125.7400000000007</v>
      </c>
      <c r="I78" s="42">
        <f>IF(AND(Tracking[[#This Row],[Type]]="Income", shift_late_income_status="Active", DAY(Tracking[[#This Row],[Date]])&gt;=shift_late_income_starting_date), DATE(YEAR(Tracking[[#This Row],[Date]]),MONTH(Tracking[[#This Row],[Date]])+1,1),Tracking[[#This Row],[Date]])</f>
        <v>45889</v>
      </c>
      <c r="J78" s="11">
        <f>MONTH(Tracking[[#This Row],[Date]])</f>
        <v>8</v>
      </c>
      <c r="K78" s="64">
        <f>YEAR(Tracking[[#This Row],[Date]])</f>
        <v>2025</v>
      </c>
    </row>
    <row r="79" spans="3:19" x14ac:dyDescent="0.2">
      <c r="C79" s="34">
        <f>SOURCE!A69</f>
        <v>45889</v>
      </c>
      <c r="D79" s="11" t="str">
        <f>SOURCE!B69</f>
        <v>Expenses</v>
      </c>
      <c r="E79" s="11" t="str">
        <f>SOURCE!C69</f>
        <v>Restaurants</v>
      </c>
      <c r="F79" s="35">
        <f>SOURCE!E69</f>
        <v>10.9</v>
      </c>
      <c r="G79" s="36"/>
      <c r="H79" s="38" cm="1">
        <f t="array" ref="H79">SUMPRODUCT(Tracking[Amount],--(Tracking[Date]&lt;=Tracking[[#This Row],[Date]]),(Tracking[Type]&lt;&gt;"Income")*(-1)+(Tracking[Type]="Income"))</f>
        <v>2125.7400000000007</v>
      </c>
      <c r="I79" s="42">
        <f>IF(AND(Tracking[[#This Row],[Type]]="Income", shift_late_income_status="Active", DAY(Tracking[[#This Row],[Date]])&gt;=shift_late_income_starting_date), DATE(YEAR(Tracking[[#This Row],[Date]]),MONTH(Tracking[[#This Row],[Date]])+1,1),Tracking[[#This Row],[Date]])</f>
        <v>45889</v>
      </c>
      <c r="J79" s="11">
        <f>MONTH(Tracking[[#This Row],[Date]])</f>
        <v>8</v>
      </c>
      <c r="K79" s="64">
        <f>YEAR(Tracking[[#This Row],[Date]])</f>
        <v>2025</v>
      </c>
    </row>
    <row r="80" spans="3:19" x14ac:dyDescent="0.2">
      <c r="C80" s="34">
        <f>SOURCE!A70</f>
        <v>45890</v>
      </c>
      <c r="D80" s="11" t="str">
        <f>SOURCE!B70</f>
        <v>Expenses</v>
      </c>
      <c r="E80" s="11" t="str">
        <f>SOURCE!C70</f>
        <v>Train</v>
      </c>
      <c r="F80" s="35">
        <f>SOURCE!E70</f>
        <v>4.7</v>
      </c>
      <c r="G80" s="36"/>
      <c r="H80" s="38" cm="1">
        <f t="array" ref="H80">SUMPRODUCT(Tracking[Amount],--(Tracking[Date]&lt;=Tracking[[#This Row],[Date]]),(Tracking[Type]&lt;&gt;"Income")*(-1)+(Tracking[Type]="Income"))</f>
        <v>2117.6400000000008</v>
      </c>
      <c r="I80" s="42">
        <f>IF(AND(Tracking[[#This Row],[Type]]="Income", shift_late_income_status="Active", DAY(Tracking[[#This Row],[Date]])&gt;=shift_late_income_starting_date), DATE(YEAR(Tracking[[#This Row],[Date]]),MONTH(Tracking[[#This Row],[Date]])+1,1),Tracking[[#This Row],[Date]])</f>
        <v>45890</v>
      </c>
      <c r="J80" s="11">
        <f>MONTH(Tracking[[#This Row],[Date]])</f>
        <v>8</v>
      </c>
      <c r="K80" s="64">
        <f>YEAR(Tracking[[#This Row],[Date]])</f>
        <v>2025</v>
      </c>
    </row>
    <row r="81" spans="3:11" x14ac:dyDescent="0.2">
      <c r="C81" s="34">
        <f>SOURCE!A71</f>
        <v>45890</v>
      </c>
      <c r="D81" s="11" t="str">
        <f>SOURCE!B71</f>
        <v>Expenses</v>
      </c>
      <c r="E81" s="11" t="str">
        <f>SOURCE!C71</f>
        <v>Train</v>
      </c>
      <c r="F81" s="35">
        <f>SOURCE!E71</f>
        <v>3.4</v>
      </c>
      <c r="G81" s="36"/>
      <c r="H81" s="38" cm="1">
        <f t="array" ref="H81">SUMPRODUCT(Tracking[Amount],--(Tracking[Date]&lt;=Tracking[[#This Row],[Date]]),(Tracking[Type]&lt;&gt;"Income")*(-1)+(Tracking[Type]="Income"))</f>
        <v>2117.6400000000008</v>
      </c>
      <c r="I81" s="42">
        <f>IF(AND(Tracking[[#This Row],[Type]]="Income", shift_late_income_status="Active", DAY(Tracking[[#This Row],[Date]])&gt;=shift_late_income_starting_date), DATE(YEAR(Tracking[[#This Row],[Date]]),MONTH(Tracking[[#This Row],[Date]])+1,1),Tracking[[#This Row],[Date]])</f>
        <v>45890</v>
      </c>
      <c r="J81" s="11">
        <f>MONTH(Tracking[[#This Row],[Date]])</f>
        <v>8</v>
      </c>
      <c r="K81" s="64">
        <f>YEAR(Tracking[[#This Row],[Date]])</f>
        <v>2025</v>
      </c>
    </row>
    <row r="82" spans="3:11" x14ac:dyDescent="0.2">
      <c r="C82" s="34">
        <f>SOURCE!A72</f>
        <v>45891</v>
      </c>
      <c r="D82" s="11" t="str">
        <f>SOURCE!B72</f>
        <v>Income</v>
      </c>
      <c r="E82" s="11" t="str">
        <f>SOURCE!C72</f>
        <v>Side Hustle</v>
      </c>
      <c r="F82" s="35">
        <f>SOURCE!E72</f>
        <v>956</v>
      </c>
      <c r="G82" s="36"/>
      <c r="H82" s="38" cm="1">
        <f t="array" ref="H82">SUMPRODUCT(Tracking[Amount],--(Tracking[Date]&lt;=Tracking[[#This Row],[Date]]),(Tracking[Type]&lt;&gt;"Income")*(-1)+(Tracking[Type]="Income"))</f>
        <v>3029.2900000000009</v>
      </c>
      <c r="I82" s="42">
        <f>IF(AND(Tracking[[#This Row],[Type]]="Income", shift_late_income_status="Active", DAY(Tracking[[#This Row],[Date]])&gt;=shift_late_income_starting_date), DATE(YEAR(Tracking[[#This Row],[Date]]),MONTH(Tracking[[#This Row],[Date]])+1,1),Tracking[[#This Row],[Date]])</f>
        <v>45891</v>
      </c>
      <c r="J82" s="11">
        <f>MONTH(Tracking[[#This Row],[Date]])</f>
        <v>8</v>
      </c>
      <c r="K82" s="64">
        <f>YEAR(Tracking[[#This Row],[Date]])</f>
        <v>2025</v>
      </c>
    </row>
    <row r="83" spans="3:11" x14ac:dyDescent="0.2">
      <c r="C83" s="34">
        <f>SOURCE!A73</f>
        <v>45891</v>
      </c>
      <c r="D83" s="11" t="str">
        <f>SOURCE!B73</f>
        <v>Expenses</v>
      </c>
      <c r="E83" s="11" t="str">
        <f>SOURCE!C73</f>
        <v>Train</v>
      </c>
      <c r="F83" s="35">
        <f>SOURCE!E73</f>
        <v>4.7</v>
      </c>
      <c r="G83" s="36"/>
      <c r="H83" s="38" cm="1">
        <f t="array" ref="H83">SUMPRODUCT(Tracking[Amount],--(Tracking[Date]&lt;=Tracking[[#This Row],[Date]]),(Tracking[Type]&lt;&gt;"Income")*(-1)+(Tracking[Type]="Income"))</f>
        <v>3029.2900000000009</v>
      </c>
      <c r="I83" s="42">
        <f>IF(AND(Tracking[[#This Row],[Type]]="Income", shift_late_income_status="Active", DAY(Tracking[[#This Row],[Date]])&gt;=shift_late_income_starting_date), DATE(YEAR(Tracking[[#This Row],[Date]]),MONTH(Tracking[[#This Row],[Date]])+1,1),Tracking[[#This Row],[Date]])</f>
        <v>45891</v>
      </c>
      <c r="J83" s="11">
        <f>MONTH(Tracking[[#This Row],[Date]])</f>
        <v>8</v>
      </c>
      <c r="K83" s="64">
        <f>YEAR(Tracking[[#This Row],[Date]])</f>
        <v>2025</v>
      </c>
    </row>
    <row r="84" spans="3:11" x14ac:dyDescent="0.2">
      <c r="C84" s="34">
        <f>SOURCE!A74</f>
        <v>45891</v>
      </c>
      <c r="D84" s="11" t="str">
        <f>SOURCE!B74</f>
        <v>Expenses</v>
      </c>
      <c r="E84" s="11" t="str">
        <f>SOURCE!C74</f>
        <v>Groceries</v>
      </c>
      <c r="F84" s="35">
        <f>SOURCE!E74</f>
        <v>0.85</v>
      </c>
      <c r="G84" s="36"/>
      <c r="H84" s="38" cm="1">
        <f t="array" ref="H84">SUMPRODUCT(Tracking[Amount],--(Tracking[Date]&lt;=Tracking[[#This Row],[Date]]),(Tracking[Type]&lt;&gt;"Income")*(-1)+(Tracking[Type]="Income"))</f>
        <v>3029.2900000000009</v>
      </c>
      <c r="I84" s="42">
        <f>IF(AND(Tracking[[#This Row],[Type]]="Income", shift_late_income_status="Active", DAY(Tracking[[#This Row],[Date]])&gt;=shift_late_income_starting_date), DATE(YEAR(Tracking[[#This Row],[Date]]),MONTH(Tracking[[#This Row],[Date]])+1,1),Tracking[[#This Row],[Date]])</f>
        <v>45891</v>
      </c>
      <c r="J84" s="11">
        <f>MONTH(Tracking[[#This Row],[Date]])</f>
        <v>8</v>
      </c>
      <c r="K84" s="64">
        <f>YEAR(Tracking[[#This Row],[Date]])</f>
        <v>2025</v>
      </c>
    </row>
    <row r="85" spans="3:11" x14ac:dyDescent="0.2">
      <c r="C85" s="34">
        <f>SOURCE!A75</f>
        <v>45891</v>
      </c>
      <c r="D85" s="11" t="str">
        <f>SOURCE!B75</f>
        <v>Expenses</v>
      </c>
      <c r="E85" s="11" t="str">
        <f>SOURCE!C75</f>
        <v>Groceries</v>
      </c>
      <c r="F85" s="35">
        <f>SOURCE!E75</f>
        <v>19.899999999999999</v>
      </c>
      <c r="G85" s="36"/>
      <c r="H85" s="38" cm="1">
        <f t="array" ref="H85">SUMPRODUCT(Tracking[Amount],--(Tracking[Date]&lt;=Tracking[[#This Row],[Date]]),(Tracking[Type]&lt;&gt;"Income")*(-1)+(Tracking[Type]="Income"))</f>
        <v>3029.2900000000009</v>
      </c>
      <c r="I85" s="42">
        <f>IF(AND(Tracking[[#This Row],[Type]]="Income", shift_late_income_status="Active", DAY(Tracking[[#This Row],[Date]])&gt;=shift_late_income_starting_date), DATE(YEAR(Tracking[[#This Row],[Date]]),MONTH(Tracking[[#This Row],[Date]])+1,1),Tracking[[#This Row],[Date]])</f>
        <v>45891</v>
      </c>
      <c r="J85" s="11">
        <f>MONTH(Tracking[[#This Row],[Date]])</f>
        <v>8</v>
      </c>
      <c r="K85" s="64">
        <f>YEAR(Tracking[[#This Row],[Date]])</f>
        <v>2025</v>
      </c>
    </row>
    <row r="86" spans="3:11" x14ac:dyDescent="0.2">
      <c r="C86" s="34">
        <f>SOURCE!A76</f>
        <v>45891</v>
      </c>
      <c r="D86" s="11" t="str">
        <f>SOURCE!B76</f>
        <v>Expenses</v>
      </c>
      <c r="E86" s="11" t="str">
        <f>SOURCE!C76</f>
        <v>Restaurants</v>
      </c>
      <c r="F86" s="35">
        <f>SOURCE!E76</f>
        <v>9</v>
      </c>
      <c r="G86" s="36"/>
      <c r="H86" s="38" cm="1">
        <f t="array" ref="H86">SUMPRODUCT(Tracking[Amount],--(Tracking[Date]&lt;=Tracking[[#This Row],[Date]]),(Tracking[Type]&lt;&gt;"Income")*(-1)+(Tracking[Type]="Income"))</f>
        <v>3029.2900000000009</v>
      </c>
      <c r="I86" s="42">
        <f>IF(AND(Tracking[[#This Row],[Type]]="Income", shift_late_income_status="Active", DAY(Tracking[[#This Row],[Date]])&gt;=shift_late_income_starting_date), DATE(YEAR(Tracking[[#This Row],[Date]]),MONTH(Tracking[[#This Row],[Date]])+1,1),Tracking[[#This Row],[Date]])</f>
        <v>45891</v>
      </c>
      <c r="J86" s="11">
        <f>MONTH(Tracking[[#This Row],[Date]])</f>
        <v>8</v>
      </c>
      <c r="K86" s="64">
        <f>YEAR(Tracking[[#This Row],[Date]])</f>
        <v>2025</v>
      </c>
    </row>
    <row r="87" spans="3:11" x14ac:dyDescent="0.2">
      <c r="C87" s="34">
        <f>SOURCE!A77</f>
        <v>45891</v>
      </c>
      <c r="D87" s="11" t="str">
        <f>SOURCE!B77</f>
        <v>Expenses</v>
      </c>
      <c r="E87" s="11" t="str">
        <f>SOURCE!C77</f>
        <v>Restaurants</v>
      </c>
      <c r="F87" s="35">
        <f>SOURCE!E77</f>
        <v>9.9</v>
      </c>
      <c r="G87" s="36"/>
      <c r="H87" s="38" cm="1">
        <f t="array" ref="H87">SUMPRODUCT(Tracking[Amount],--(Tracking[Date]&lt;=Tracking[[#This Row],[Date]]),(Tracking[Type]&lt;&gt;"Income")*(-1)+(Tracking[Type]="Income"))</f>
        <v>3029.2900000000009</v>
      </c>
      <c r="I87" s="42">
        <f>IF(AND(Tracking[[#This Row],[Type]]="Income", shift_late_income_status="Active", DAY(Tracking[[#This Row],[Date]])&gt;=shift_late_income_starting_date), DATE(YEAR(Tracking[[#This Row],[Date]]),MONTH(Tracking[[#This Row],[Date]])+1,1),Tracking[[#This Row],[Date]])</f>
        <v>45891</v>
      </c>
      <c r="J87" s="11">
        <f>MONTH(Tracking[[#This Row],[Date]])</f>
        <v>8</v>
      </c>
      <c r="K87" s="64">
        <f>YEAR(Tracking[[#This Row],[Date]])</f>
        <v>2025</v>
      </c>
    </row>
    <row r="88" spans="3:11" x14ac:dyDescent="0.2">
      <c r="C88" s="34">
        <f>SOURCE!A78</f>
        <v>45892</v>
      </c>
      <c r="D88" s="11" t="str">
        <f>SOURCE!B78</f>
        <v>Expenses</v>
      </c>
      <c r="E88" s="11" t="str">
        <f>SOURCE!C78</f>
        <v>Restaurants</v>
      </c>
      <c r="F88" s="35">
        <f>SOURCE!E78</f>
        <v>45</v>
      </c>
      <c r="G88" s="36"/>
      <c r="H88" s="38" cm="1">
        <f t="array" ref="H88">SUMPRODUCT(Tracking[Amount],--(Tracking[Date]&lt;=Tracking[[#This Row],[Date]]),(Tracking[Type]&lt;&gt;"Income")*(-1)+(Tracking[Type]="Income"))</f>
        <v>2887.690000000001</v>
      </c>
      <c r="I88" s="42">
        <f>IF(AND(Tracking[[#This Row],[Type]]="Income", shift_late_income_status="Active", DAY(Tracking[[#This Row],[Date]])&gt;=shift_late_income_starting_date), DATE(YEAR(Tracking[[#This Row],[Date]]),MONTH(Tracking[[#This Row],[Date]])+1,1),Tracking[[#This Row],[Date]])</f>
        <v>45892</v>
      </c>
      <c r="J88" s="11">
        <f>MONTH(Tracking[[#This Row],[Date]])</f>
        <v>8</v>
      </c>
      <c r="K88" s="64">
        <f>YEAR(Tracking[[#This Row],[Date]])</f>
        <v>2025</v>
      </c>
    </row>
    <row r="89" spans="3:11" x14ac:dyDescent="0.2">
      <c r="C89" s="34">
        <f>SOURCE!A79</f>
        <v>45892</v>
      </c>
      <c r="D89" s="11" t="str">
        <f>SOURCE!B79</f>
        <v>Expenses</v>
      </c>
      <c r="E89" s="11" t="str">
        <f>SOURCE!C79</f>
        <v>Groceries</v>
      </c>
      <c r="F89" s="35">
        <f>SOURCE!E79</f>
        <v>19.600000000000001</v>
      </c>
      <c r="G89" s="36"/>
      <c r="H89" s="38" cm="1">
        <f t="array" ref="H89">SUMPRODUCT(Tracking[Amount],--(Tracking[Date]&lt;=Tracking[[#This Row],[Date]]),(Tracking[Type]&lt;&gt;"Income")*(-1)+(Tracking[Type]="Income"))</f>
        <v>2887.690000000001</v>
      </c>
      <c r="I89" s="42">
        <f>IF(AND(Tracking[[#This Row],[Type]]="Income", shift_late_income_status="Active", DAY(Tracking[[#This Row],[Date]])&gt;=shift_late_income_starting_date), DATE(YEAR(Tracking[[#This Row],[Date]]),MONTH(Tracking[[#This Row],[Date]])+1,1),Tracking[[#This Row],[Date]])</f>
        <v>45892</v>
      </c>
      <c r="J89" s="11">
        <f>MONTH(Tracking[[#This Row],[Date]])</f>
        <v>8</v>
      </c>
      <c r="K89" s="64">
        <f>YEAR(Tracking[[#This Row],[Date]])</f>
        <v>2025</v>
      </c>
    </row>
    <row r="90" spans="3:11" x14ac:dyDescent="0.2">
      <c r="C90" s="34">
        <f>SOURCE!A80</f>
        <v>45892</v>
      </c>
      <c r="D90" s="11" t="str">
        <f>SOURCE!B80</f>
        <v>Expenses</v>
      </c>
      <c r="E90" s="11" t="str">
        <f>SOURCE!C80</f>
        <v>Groceries</v>
      </c>
      <c r="F90" s="35">
        <f>SOURCE!E80</f>
        <v>77</v>
      </c>
      <c r="G90" s="36"/>
      <c r="H90" s="38" cm="1">
        <f t="array" ref="H90">SUMPRODUCT(Tracking[Amount],--(Tracking[Date]&lt;=Tracking[[#This Row],[Date]]),(Tracking[Type]&lt;&gt;"Income")*(-1)+(Tracking[Type]="Income"))</f>
        <v>2887.690000000001</v>
      </c>
      <c r="I90" s="42">
        <f>IF(AND(Tracking[[#This Row],[Type]]="Income", shift_late_income_status="Active", DAY(Tracking[[#This Row],[Date]])&gt;=shift_late_income_starting_date), DATE(YEAR(Tracking[[#This Row],[Date]]),MONTH(Tracking[[#This Row],[Date]])+1,1),Tracking[[#This Row],[Date]])</f>
        <v>45892</v>
      </c>
      <c r="J90" s="11">
        <f>MONTH(Tracking[[#This Row],[Date]])</f>
        <v>8</v>
      </c>
      <c r="K90" s="64">
        <f>YEAR(Tracking[[#This Row],[Date]])</f>
        <v>2025</v>
      </c>
    </row>
    <row r="91" spans="3:11" x14ac:dyDescent="0.2">
      <c r="C91" s="34">
        <f>SOURCE!A81</f>
        <v>45893</v>
      </c>
      <c r="D91" s="11" t="str">
        <f>SOURCE!B81</f>
        <v>Expenses</v>
      </c>
      <c r="E91" s="11" t="str">
        <f>SOURCE!C81</f>
        <v>Restaurants</v>
      </c>
      <c r="F91" s="35">
        <f>SOURCE!E81</f>
        <v>16</v>
      </c>
      <c r="G91" s="36"/>
      <c r="H91" s="38" cm="1">
        <f t="array" ref="H91">SUMPRODUCT(Tracking[Amount],--(Tracking[Date]&lt;=Tracking[[#This Row],[Date]]),(Tracking[Type]&lt;&gt;"Income")*(-1)+(Tracking[Type]="Income"))</f>
        <v>2863.3900000000012</v>
      </c>
      <c r="I91" s="42">
        <f>IF(AND(Tracking[[#This Row],[Type]]="Income", shift_late_income_status="Active", DAY(Tracking[[#This Row],[Date]])&gt;=shift_late_income_starting_date), DATE(YEAR(Tracking[[#This Row],[Date]]),MONTH(Tracking[[#This Row],[Date]])+1,1),Tracking[[#This Row],[Date]])</f>
        <v>45893</v>
      </c>
      <c r="J91" s="11">
        <f>MONTH(Tracking[[#This Row],[Date]])</f>
        <v>8</v>
      </c>
      <c r="K91" s="64">
        <f>YEAR(Tracking[[#This Row],[Date]])</f>
        <v>2025</v>
      </c>
    </row>
    <row r="92" spans="3:11" x14ac:dyDescent="0.2">
      <c r="C92" s="34">
        <f>SOURCE!A82</f>
        <v>45893</v>
      </c>
      <c r="D92" s="11" t="str">
        <f>SOURCE!B82</f>
        <v>Expenses</v>
      </c>
      <c r="E92" s="11" t="str">
        <f>SOURCE!C82</f>
        <v>Train</v>
      </c>
      <c r="F92" s="35">
        <f>SOURCE!E82</f>
        <v>3.6</v>
      </c>
      <c r="G92" s="36"/>
      <c r="H92" s="38" cm="1">
        <f t="array" ref="H92">SUMPRODUCT(Tracking[Amount],--(Tracking[Date]&lt;=Tracking[[#This Row],[Date]]),(Tracking[Type]&lt;&gt;"Income")*(-1)+(Tracking[Type]="Income"))</f>
        <v>2863.3900000000012</v>
      </c>
      <c r="I92" s="42">
        <f>IF(AND(Tracking[[#This Row],[Type]]="Income", shift_late_income_status="Active", DAY(Tracking[[#This Row],[Date]])&gt;=shift_late_income_starting_date), DATE(YEAR(Tracking[[#This Row],[Date]]),MONTH(Tracking[[#This Row],[Date]])+1,1),Tracking[[#This Row],[Date]])</f>
        <v>45893</v>
      </c>
      <c r="J92" s="11">
        <f>MONTH(Tracking[[#This Row],[Date]])</f>
        <v>8</v>
      </c>
      <c r="K92" s="64">
        <f>YEAR(Tracking[[#This Row],[Date]])</f>
        <v>2025</v>
      </c>
    </row>
    <row r="93" spans="3:11" x14ac:dyDescent="0.2">
      <c r="C93" s="34">
        <f>SOURCE!A83</f>
        <v>45893</v>
      </c>
      <c r="D93" s="11" t="str">
        <f>SOURCE!B83</f>
        <v>Expenses</v>
      </c>
      <c r="E93" s="11" t="str">
        <f>SOURCE!C83</f>
        <v>Train</v>
      </c>
      <c r="F93" s="35">
        <f>SOURCE!E83</f>
        <v>4.7</v>
      </c>
      <c r="G93" s="36"/>
      <c r="H93" s="38" cm="1">
        <f t="array" ref="H93">SUMPRODUCT(Tracking[Amount],--(Tracking[Date]&lt;=Tracking[[#This Row],[Date]]),(Tracking[Type]&lt;&gt;"Income")*(-1)+(Tracking[Type]="Income"))</f>
        <v>2863.3900000000012</v>
      </c>
      <c r="I93" s="42">
        <f>IF(AND(Tracking[[#This Row],[Type]]="Income", shift_late_income_status="Active", DAY(Tracking[[#This Row],[Date]])&gt;=shift_late_income_starting_date), DATE(YEAR(Tracking[[#This Row],[Date]]),MONTH(Tracking[[#This Row],[Date]])+1,1),Tracking[[#This Row],[Date]])</f>
        <v>45893</v>
      </c>
      <c r="J93" s="11">
        <f>MONTH(Tracking[[#This Row],[Date]])</f>
        <v>8</v>
      </c>
      <c r="K93" s="64">
        <f>YEAR(Tracking[[#This Row],[Date]])</f>
        <v>2025</v>
      </c>
    </row>
    <row r="94" spans="3:11" x14ac:dyDescent="0.2">
      <c r="C94" s="34">
        <f>SOURCE!A84</f>
        <v>45894</v>
      </c>
      <c r="D94" s="11" t="str">
        <f>SOURCE!B84</f>
        <v>Expenses</v>
      </c>
      <c r="E94" s="11" t="str">
        <f>SOURCE!C84</f>
        <v>Housing</v>
      </c>
      <c r="F94" s="35">
        <f>SOURCE!E84</f>
        <v>1912</v>
      </c>
      <c r="G94" s="36"/>
      <c r="H94" s="38" cm="1">
        <f t="array" ref="H94">SUMPRODUCT(Tracking[Amount],--(Tracking[Date]&lt;=Tracking[[#This Row],[Date]]),(Tracking[Type]&lt;&gt;"Income")*(-1)+(Tracking[Type]="Income"))</f>
        <v>4585.0400000000018</v>
      </c>
      <c r="I94" s="42">
        <f>IF(AND(Tracking[[#This Row],[Type]]="Income", shift_late_income_status="Active", DAY(Tracking[[#This Row],[Date]])&gt;=shift_late_income_starting_date), DATE(YEAR(Tracking[[#This Row],[Date]]),MONTH(Tracking[[#This Row],[Date]])+1,1),Tracking[[#This Row],[Date]])</f>
        <v>45894</v>
      </c>
      <c r="J94" s="11">
        <f>MONTH(Tracking[[#This Row],[Date]])</f>
        <v>8</v>
      </c>
      <c r="K94" s="64">
        <f>YEAR(Tracking[[#This Row],[Date]])</f>
        <v>2025</v>
      </c>
    </row>
    <row r="95" spans="3:11" x14ac:dyDescent="0.2">
      <c r="C95" s="34">
        <f>SOURCE!A85</f>
        <v>45894</v>
      </c>
      <c r="D95" s="11" t="str">
        <f>SOURCE!B85</f>
        <v>Expenses</v>
      </c>
      <c r="E95" s="11" t="str">
        <f>SOURCE!C85</f>
        <v>Train</v>
      </c>
      <c r="F95" s="35">
        <f>SOURCE!E85</f>
        <v>4.7</v>
      </c>
      <c r="G95" s="36"/>
      <c r="H95" s="38" cm="1">
        <f t="array" ref="H95">SUMPRODUCT(Tracking[Amount],--(Tracking[Date]&lt;=Tracking[[#This Row],[Date]]),(Tracking[Type]&lt;&gt;"Income")*(-1)+(Tracking[Type]="Income"))</f>
        <v>4585.0400000000018</v>
      </c>
      <c r="I95" s="42">
        <f>IF(AND(Tracking[[#This Row],[Type]]="Income", shift_late_income_status="Active", DAY(Tracking[[#This Row],[Date]])&gt;=shift_late_income_starting_date), DATE(YEAR(Tracking[[#This Row],[Date]]),MONTH(Tracking[[#This Row],[Date]])+1,1),Tracking[[#This Row],[Date]])</f>
        <v>45894</v>
      </c>
      <c r="J95" s="11">
        <f>MONTH(Tracking[[#This Row],[Date]])</f>
        <v>8</v>
      </c>
      <c r="K95" s="64">
        <f>YEAR(Tracking[[#This Row],[Date]])</f>
        <v>2025</v>
      </c>
    </row>
    <row r="96" spans="3:11" x14ac:dyDescent="0.2">
      <c r="C96" s="34">
        <f>SOURCE!A86</f>
        <v>45894</v>
      </c>
      <c r="D96" s="11" t="str">
        <f>SOURCE!B86</f>
        <v>Expenses</v>
      </c>
      <c r="E96" s="11" t="str">
        <f>SOURCE!C86</f>
        <v>Train</v>
      </c>
      <c r="F96" s="35">
        <f>SOURCE!E86</f>
        <v>3.4</v>
      </c>
      <c r="G96" s="36"/>
      <c r="H96" s="38" cm="1">
        <f t="array" ref="H96">SUMPRODUCT(Tracking[Amount],--(Tracking[Date]&lt;=Tracking[[#This Row],[Date]]),(Tracking[Type]&lt;&gt;"Income")*(-1)+(Tracking[Type]="Income"))</f>
        <v>4585.0400000000018</v>
      </c>
      <c r="I96" s="42">
        <f>IF(AND(Tracking[[#This Row],[Type]]="Income", shift_late_income_status="Active", DAY(Tracking[[#This Row],[Date]])&gt;=shift_late_income_starting_date), DATE(YEAR(Tracking[[#This Row],[Date]]),MONTH(Tracking[[#This Row],[Date]])+1,1),Tracking[[#This Row],[Date]])</f>
        <v>45894</v>
      </c>
      <c r="J96" s="11">
        <f>MONTH(Tracking[[#This Row],[Date]])</f>
        <v>8</v>
      </c>
      <c r="K96" s="64">
        <f>YEAR(Tracking[[#This Row],[Date]])</f>
        <v>2025</v>
      </c>
    </row>
    <row r="97" spans="3:11" x14ac:dyDescent="0.2">
      <c r="C97" s="34">
        <f>SOURCE!A87</f>
        <v>45894</v>
      </c>
      <c r="D97" s="11" t="str">
        <f>SOURCE!B87</f>
        <v>Expenses</v>
      </c>
      <c r="E97" s="11" t="str">
        <f>SOURCE!C87</f>
        <v>Restaurants</v>
      </c>
      <c r="F97" s="35">
        <f>SOURCE!E87</f>
        <v>13.9</v>
      </c>
      <c r="G97" s="36"/>
      <c r="H97" s="38" cm="1">
        <f t="array" ref="H97">SUMPRODUCT(Tracking[Amount],--(Tracking[Date]&lt;=Tracking[[#This Row],[Date]]),(Tracking[Type]&lt;&gt;"Income")*(-1)+(Tracking[Type]="Income"))</f>
        <v>4585.0400000000018</v>
      </c>
      <c r="I97" s="42">
        <f>IF(AND(Tracking[[#This Row],[Type]]="Income", shift_late_income_status="Active", DAY(Tracking[[#This Row],[Date]])&gt;=shift_late_income_starting_date), DATE(YEAR(Tracking[[#This Row],[Date]]),MONTH(Tracking[[#This Row],[Date]])+1,1),Tracking[[#This Row],[Date]])</f>
        <v>45894</v>
      </c>
      <c r="J97" s="11">
        <f>MONTH(Tracking[[#This Row],[Date]])</f>
        <v>8</v>
      </c>
      <c r="K97" s="64">
        <f>YEAR(Tracking[[#This Row],[Date]])</f>
        <v>2025</v>
      </c>
    </row>
    <row r="98" spans="3:11" x14ac:dyDescent="0.2">
      <c r="C98" s="34">
        <f>SOURCE!A88</f>
        <v>45894</v>
      </c>
      <c r="D98" s="11" t="str">
        <f>SOURCE!B88</f>
        <v>Income</v>
      </c>
      <c r="E98" s="11" t="str">
        <f>SOURCE!C88</f>
        <v>Extras / Twint Chargeback</v>
      </c>
      <c r="F98" s="35">
        <f>SOURCE!E88</f>
        <v>38</v>
      </c>
      <c r="G98" s="36"/>
      <c r="H98" s="38" cm="1">
        <f t="array" ref="H98">SUMPRODUCT(Tracking[Amount],--(Tracking[Date]&lt;=Tracking[[#This Row],[Date]]),(Tracking[Type]&lt;&gt;"Income")*(-1)+(Tracking[Type]="Income"))</f>
        <v>4585.0400000000018</v>
      </c>
      <c r="I98" s="42">
        <f>IF(AND(Tracking[[#This Row],[Type]]="Income", shift_late_income_status="Active", DAY(Tracking[[#This Row],[Date]])&gt;=shift_late_income_starting_date), DATE(YEAR(Tracking[[#This Row],[Date]]),MONTH(Tracking[[#This Row],[Date]])+1,1),Tracking[[#This Row],[Date]])</f>
        <v>45894</v>
      </c>
      <c r="J98" s="11">
        <f>MONTH(Tracking[[#This Row],[Date]])</f>
        <v>8</v>
      </c>
      <c r="K98" s="64">
        <f>YEAR(Tracking[[#This Row],[Date]])</f>
        <v>2025</v>
      </c>
    </row>
    <row r="99" spans="3:11" x14ac:dyDescent="0.2">
      <c r="C99" s="34">
        <f>SOURCE!A89</f>
        <v>45894</v>
      </c>
      <c r="D99" s="11" t="str">
        <f>SOURCE!B89</f>
        <v>Income</v>
      </c>
      <c r="E99" s="11" t="str">
        <f>SOURCE!C89</f>
        <v>Employment</v>
      </c>
      <c r="F99" s="35">
        <f>SOURCE!E89</f>
        <v>3587.1</v>
      </c>
      <c r="G99" s="36"/>
      <c r="H99" s="38" cm="1">
        <f t="array" ref="H99">SUMPRODUCT(Tracking[Amount],--(Tracking[Date]&lt;=Tracking[[#This Row],[Date]]),(Tracking[Type]&lt;&gt;"Income")*(-1)+(Tracking[Type]="Income"))</f>
        <v>4585.0400000000018</v>
      </c>
      <c r="I99" s="42">
        <f>IF(AND(Tracking[[#This Row],[Type]]="Income", shift_late_income_status="Active", DAY(Tracking[[#This Row],[Date]])&gt;=shift_late_income_starting_date), DATE(YEAR(Tracking[[#This Row],[Date]]),MONTH(Tracking[[#This Row],[Date]])+1,1),Tracking[[#This Row],[Date]])</f>
        <v>45894</v>
      </c>
      <c r="J99" s="11">
        <f>MONTH(Tracking[[#This Row],[Date]])</f>
        <v>8</v>
      </c>
      <c r="K99" s="64">
        <f>YEAR(Tracking[[#This Row],[Date]])</f>
        <v>2025</v>
      </c>
    </row>
    <row r="100" spans="3:11" x14ac:dyDescent="0.2">
      <c r="C100" s="34">
        <f>SOURCE!A90</f>
        <v>45894</v>
      </c>
      <c r="D100" s="11" t="str">
        <f>SOURCE!B90</f>
        <v>Income</v>
      </c>
      <c r="E100" s="11" t="str">
        <f>SOURCE!C90</f>
        <v>Extras / Twint Chargeback</v>
      </c>
      <c r="F100" s="35">
        <f>SOURCE!E90</f>
        <v>30.55</v>
      </c>
      <c r="G100" s="36"/>
      <c r="H100" s="38" cm="1">
        <f t="array" ref="H100">SUMPRODUCT(Tracking[Amount],--(Tracking[Date]&lt;=Tracking[[#This Row],[Date]]),(Tracking[Type]&lt;&gt;"Income")*(-1)+(Tracking[Type]="Income"))</f>
        <v>4585.0400000000018</v>
      </c>
      <c r="I100" s="42">
        <f>IF(AND(Tracking[[#This Row],[Type]]="Income", shift_late_income_status="Active", DAY(Tracking[[#This Row],[Date]])&gt;=shift_late_income_starting_date), DATE(YEAR(Tracking[[#This Row],[Date]]),MONTH(Tracking[[#This Row],[Date]])+1,1),Tracking[[#This Row],[Date]])</f>
        <v>45894</v>
      </c>
      <c r="J100" s="11">
        <f>MONTH(Tracking[[#This Row],[Date]])</f>
        <v>8</v>
      </c>
      <c r="K100" s="64">
        <f>YEAR(Tracking[[#This Row],[Date]])</f>
        <v>2025</v>
      </c>
    </row>
    <row r="101" spans="3:11" x14ac:dyDescent="0.2">
      <c r="C101" s="34">
        <f>SOURCE!A91</f>
        <v>45895</v>
      </c>
      <c r="D101" s="11" t="str">
        <f>SOURCE!B91</f>
        <v>Expenses</v>
      </c>
      <c r="E101" s="11" t="str">
        <f>SOURCE!C91</f>
        <v>Restaurants</v>
      </c>
      <c r="F101" s="35">
        <f>SOURCE!E91</f>
        <v>60</v>
      </c>
      <c r="G101" s="36"/>
      <c r="H101" s="38" cm="1">
        <f t="array" ref="H101">SUMPRODUCT(Tracking[Amount],--(Tracking[Date]&lt;=Tracking[[#This Row],[Date]]),(Tracking[Type]&lt;&gt;"Income")*(-1)+(Tracking[Type]="Income"))</f>
        <v>3547.3900000000021</v>
      </c>
      <c r="I101" s="42">
        <f>IF(AND(Tracking[[#This Row],[Type]]="Income", shift_late_income_status="Active", DAY(Tracking[[#This Row],[Date]])&gt;=shift_late_income_starting_date), DATE(YEAR(Tracking[[#This Row],[Date]]),MONTH(Tracking[[#This Row],[Date]])+1,1),Tracking[[#This Row],[Date]])</f>
        <v>45895</v>
      </c>
      <c r="J101" s="11">
        <f>MONTH(Tracking[[#This Row],[Date]])</f>
        <v>8</v>
      </c>
      <c r="K101" s="64">
        <f>YEAR(Tracking[[#This Row],[Date]])</f>
        <v>2025</v>
      </c>
    </row>
    <row r="102" spans="3:11" x14ac:dyDescent="0.2">
      <c r="C102" s="34">
        <f>SOURCE!A92</f>
        <v>45895</v>
      </c>
      <c r="D102" s="11" t="str">
        <f>SOURCE!B92</f>
        <v>Expenses</v>
      </c>
      <c r="E102" s="11" t="str">
        <f>SOURCE!C92</f>
        <v>Car</v>
      </c>
      <c r="F102" s="35">
        <f>SOURCE!E92</f>
        <v>0.95</v>
      </c>
      <c r="G102" s="36"/>
      <c r="H102" s="38" cm="1">
        <f t="array" ref="H102">SUMPRODUCT(Tracking[Amount],--(Tracking[Date]&lt;=Tracking[[#This Row],[Date]]),(Tracking[Type]&lt;&gt;"Income")*(-1)+(Tracking[Type]="Income"))</f>
        <v>3547.3900000000021</v>
      </c>
      <c r="I102" s="42">
        <f>IF(AND(Tracking[[#This Row],[Type]]="Income", shift_late_income_status="Active", DAY(Tracking[[#This Row],[Date]])&gt;=shift_late_income_starting_date), DATE(YEAR(Tracking[[#This Row],[Date]]),MONTH(Tracking[[#This Row],[Date]])+1,1),Tracking[[#This Row],[Date]])</f>
        <v>45895</v>
      </c>
      <c r="J102" s="11">
        <f>MONTH(Tracking[[#This Row],[Date]])</f>
        <v>8</v>
      </c>
      <c r="K102" s="64">
        <f>YEAR(Tracking[[#This Row],[Date]])</f>
        <v>2025</v>
      </c>
    </row>
    <row r="103" spans="3:11" x14ac:dyDescent="0.2">
      <c r="C103" s="34">
        <f>SOURCE!A93</f>
        <v>45895</v>
      </c>
      <c r="D103" s="11" t="str">
        <f>SOURCE!B93</f>
        <v>Expenses</v>
      </c>
      <c r="E103" s="11" t="str">
        <f>SOURCE!C93</f>
        <v>Debt</v>
      </c>
      <c r="F103" s="35">
        <f>SOURCE!E93</f>
        <v>952</v>
      </c>
      <c r="G103" s="36"/>
      <c r="H103" s="38" cm="1">
        <f t="array" ref="H103">SUMPRODUCT(Tracking[Amount],--(Tracking[Date]&lt;=Tracking[[#This Row],[Date]]),(Tracking[Type]&lt;&gt;"Income")*(-1)+(Tracking[Type]="Income"))</f>
        <v>3547.3900000000021</v>
      </c>
      <c r="I103" s="42">
        <f>IF(AND(Tracking[[#This Row],[Type]]="Income", shift_late_income_status="Active", DAY(Tracking[[#This Row],[Date]])&gt;=shift_late_income_starting_date), DATE(YEAR(Tracking[[#This Row],[Date]]),MONTH(Tracking[[#This Row],[Date]])+1,1),Tracking[[#This Row],[Date]])</f>
        <v>45895</v>
      </c>
      <c r="J103" s="11">
        <f>MONTH(Tracking[[#This Row],[Date]])</f>
        <v>8</v>
      </c>
      <c r="K103" s="64">
        <f>YEAR(Tracking[[#This Row],[Date]])</f>
        <v>2025</v>
      </c>
    </row>
    <row r="104" spans="3:11" x14ac:dyDescent="0.2">
      <c r="C104" s="34">
        <f>SOURCE!A94</f>
        <v>45895</v>
      </c>
      <c r="D104" s="11" t="str">
        <f>SOURCE!B94</f>
        <v>Expenses</v>
      </c>
      <c r="E104" s="11" t="str">
        <f>SOURCE!C94</f>
        <v>Extras</v>
      </c>
      <c r="F104" s="35">
        <f>SOURCE!E94</f>
        <v>50</v>
      </c>
      <c r="G104" s="36"/>
      <c r="H104" s="38" cm="1">
        <f t="array" ref="H104">SUMPRODUCT(Tracking[Amount],--(Tracking[Date]&lt;=Tracking[[#This Row],[Date]]),(Tracking[Type]&lt;&gt;"Income")*(-1)+(Tracking[Type]="Income"))</f>
        <v>3547.3900000000021</v>
      </c>
      <c r="I104" s="42">
        <f>IF(AND(Tracking[[#This Row],[Type]]="Income", shift_late_income_status="Active", DAY(Tracking[[#This Row],[Date]])&gt;=shift_late_income_starting_date), DATE(YEAR(Tracking[[#This Row],[Date]]),MONTH(Tracking[[#This Row],[Date]])+1,1),Tracking[[#This Row],[Date]])</f>
        <v>45895</v>
      </c>
      <c r="J104" s="11">
        <f>MONTH(Tracking[[#This Row],[Date]])</f>
        <v>8</v>
      </c>
      <c r="K104" s="64">
        <f>YEAR(Tracking[[#This Row],[Date]])</f>
        <v>2025</v>
      </c>
    </row>
    <row r="105" spans="3:11" x14ac:dyDescent="0.2">
      <c r="C105" s="34">
        <f>SOURCE!A95</f>
        <v>45895</v>
      </c>
      <c r="D105" s="11" t="str">
        <f>SOURCE!B95</f>
        <v>Expenses</v>
      </c>
      <c r="E105" s="11" t="str">
        <f>SOURCE!C95</f>
        <v>Train</v>
      </c>
      <c r="F105" s="35">
        <f>SOURCE!E95</f>
        <v>4.7</v>
      </c>
      <c r="G105" s="36"/>
      <c r="H105" s="38" cm="1">
        <f t="array" ref="H105">SUMPRODUCT(Tracking[Amount],--(Tracking[Date]&lt;=Tracking[[#This Row],[Date]]),(Tracking[Type]&lt;&gt;"Income")*(-1)+(Tracking[Type]="Income"))</f>
        <v>3547.3900000000021</v>
      </c>
      <c r="I105" s="42">
        <f>IF(AND(Tracking[[#This Row],[Type]]="Income", shift_late_income_status="Active", DAY(Tracking[[#This Row],[Date]])&gt;=shift_late_income_starting_date), DATE(YEAR(Tracking[[#This Row],[Date]]),MONTH(Tracking[[#This Row],[Date]])+1,1),Tracking[[#This Row],[Date]])</f>
        <v>45895</v>
      </c>
      <c r="J105" s="11">
        <f>MONTH(Tracking[[#This Row],[Date]])</f>
        <v>8</v>
      </c>
      <c r="K105" s="64">
        <f>YEAR(Tracking[[#This Row],[Date]])</f>
        <v>2025</v>
      </c>
    </row>
    <row r="106" spans="3:11" x14ac:dyDescent="0.2">
      <c r="C106" s="34">
        <f>SOURCE!A96</f>
        <v>45895</v>
      </c>
      <c r="D106" s="11" t="str">
        <f>SOURCE!B96</f>
        <v>Income</v>
      </c>
      <c r="E106" s="11" t="str">
        <f>SOURCE!C96</f>
        <v>Extras / Twint Chargeback</v>
      </c>
      <c r="F106" s="35">
        <f>SOURCE!E96</f>
        <v>30</v>
      </c>
      <c r="G106" s="36"/>
      <c r="H106" s="38" cm="1">
        <f t="array" ref="H106">SUMPRODUCT(Tracking[Amount],--(Tracking[Date]&lt;=Tracking[[#This Row],[Date]]),(Tracking[Type]&lt;&gt;"Income")*(-1)+(Tracking[Type]="Income"))</f>
        <v>3547.3900000000021</v>
      </c>
      <c r="I106" s="42">
        <f>IF(AND(Tracking[[#This Row],[Type]]="Income", shift_late_income_status="Active", DAY(Tracking[[#This Row],[Date]])&gt;=shift_late_income_starting_date), DATE(YEAR(Tracking[[#This Row],[Date]]),MONTH(Tracking[[#This Row],[Date]])+1,1),Tracking[[#This Row],[Date]])</f>
        <v>45895</v>
      </c>
      <c r="J106" s="11">
        <f>MONTH(Tracking[[#This Row],[Date]])</f>
        <v>8</v>
      </c>
      <c r="K106" s="64">
        <f>YEAR(Tracking[[#This Row],[Date]])</f>
        <v>2025</v>
      </c>
    </row>
    <row r="107" spans="3:11" x14ac:dyDescent="0.2">
      <c r="C107" s="34">
        <f>SOURCE!A97</f>
        <v>45896</v>
      </c>
      <c r="D107" s="11" t="str">
        <f>SOURCE!B97</f>
        <v>Expenses</v>
      </c>
      <c r="E107" s="11" t="str">
        <f>SOURCE!C97</f>
        <v>Train</v>
      </c>
      <c r="F107" s="35">
        <f>SOURCE!E97</f>
        <v>4.7</v>
      </c>
      <c r="G107" s="36"/>
      <c r="H107" s="38" cm="1">
        <f t="array" ref="H107">SUMPRODUCT(Tracking[Amount],--(Tracking[Date]&lt;=Tracking[[#This Row],[Date]]),(Tracking[Type]&lt;&gt;"Income")*(-1)+(Tracking[Type]="Income"))</f>
        <v>3520.1900000000028</v>
      </c>
      <c r="I107" s="42">
        <f>IF(AND(Tracking[[#This Row],[Type]]="Income", shift_late_income_status="Active", DAY(Tracking[[#This Row],[Date]])&gt;=shift_late_income_starting_date), DATE(YEAR(Tracking[[#This Row],[Date]]),MONTH(Tracking[[#This Row],[Date]])+1,1),Tracking[[#This Row],[Date]])</f>
        <v>45896</v>
      </c>
      <c r="J107" s="11">
        <f>MONTH(Tracking[[#This Row],[Date]])</f>
        <v>8</v>
      </c>
      <c r="K107" s="64">
        <f>YEAR(Tracking[[#This Row],[Date]])</f>
        <v>2025</v>
      </c>
    </row>
    <row r="108" spans="3:11" x14ac:dyDescent="0.2">
      <c r="C108" s="34">
        <f>SOURCE!A98</f>
        <v>45896</v>
      </c>
      <c r="D108" s="11" t="str">
        <f>SOURCE!B98</f>
        <v>Expenses</v>
      </c>
      <c r="E108" s="11" t="str">
        <f>SOURCE!C98</f>
        <v>Train</v>
      </c>
      <c r="F108" s="35">
        <f>SOURCE!E98</f>
        <v>3.6</v>
      </c>
      <c r="G108" s="36"/>
      <c r="H108" s="38" cm="1">
        <f t="array" ref="H108">SUMPRODUCT(Tracking[Amount],--(Tracking[Date]&lt;=Tracking[[#This Row],[Date]]),(Tracking[Type]&lt;&gt;"Income")*(-1)+(Tracking[Type]="Income"))</f>
        <v>3520.1900000000028</v>
      </c>
      <c r="I108" s="42">
        <f>IF(AND(Tracking[[#This Row],[Type]]="Income", shift_late_income_status="Active", DAY(Tracking[[#This Row],[Date]])&gt;=shift_late_income_starting_date), DATE(YEAR(Tracking[[#This Row],[Date]]),MONTH(Tracking[[#This Row],[Date]])+1,1),Tracking[[#This Row],[Date]])</f>
        <v>45896</v>
      </c>
      <c r="J108" s="11">
        <f>MONTH(Tracking[[#This Row],[Date]])</f>
        <v>8</v>
      </c>
      <c r="K108" s="64">
        <f>YEAR(Tracking[[#This Row],[Date]])</f>
        <v>2025</v>
      </c>
    </row>
    <row r="109" spans="3:11" x14ac:dyDescent="0.2">
      <c r="C109" s="34">
        <f>SOURCE!A99</f>
        <v>45896</v>
      </c>
      <c r="D109" s="11" t="str">
        <f>SOURCE!B99</f>
        <v>Expenses</v>
      </c>
      <c r="E109" s="11" t="str">
        <f>SOURCE!C99</f>
        <v>Groceries</v>
      </c>
      <c r="F109" s="35">
        <f>SOURCE!E99</f>
        <v>14.2</v>
      </c>
      <c r="G109" s="36"/>
      <c r="H109" s="38" cm="1">
        <f t="array" ref="H109">SUMPRODUCT(Tracking[Amount],--(Tracking[Date]&lt;=Tracking[[#This Row],[Date]]),(Tracking[Type]&lt;&gt;"Income")*(-1)+(Tracking[Type]="Income"))</f>
        <v>3520.1900000000028</v>
      </c>
      <c r="I109" s="42">
        <f>IF(AND(Tracking[[#This Row],[Type]]="Income", shift_late_income_status="Active", DAY(Tracking[[#This Row],[Date]])&gt;=shift_late_income_starting_date), DATE(YEAR(Tracking[[#This Row],[Date]]),MONTH(Tracking[[#This Row],[Date]])+1,1),Tracking[[#This Row],[Date]])</f>
        <v>45896</v>
      </c>
      <c r="J109" s="11">
        <f>MONTH(Tracking[[#This Row],[Date]])</f>
        <v>8</v>
      </c>
      <c r="K109" s="64">
        <f>YEAR(Tracking[[#This Row],[Date]])</f>
        <v>2025</v>
      </c>
    </row>
    <row r="110" spans="3:11" x14ac:dyDescent="0.2">
      <c r="C110" s="34">
        <f>SOURCE!A100</f>
        <v>45896</v>
      </c>
      <c r="D110" s="11" t="str">
        <f>SOURCE!B100</f>
        <v>Expenses</v>
      </c>
      <c r="E110" s="11" t="str">
        <f>SOURCE!C100</f>
        <v>Train</v>
      </c>
      <c r="F110" s="35">
        <f>SOURCE!E100</f>
        <v>4.7</v>
      </c>
      <c r="G110" s="36"/>
      <c r="H110" s="38" cm="1">
        <f t="array" ref="H110">SUMPRODUCT(Tracking[Amount],--(Tracking[Date]&lt;=Tracking[[#This Row],[Date]]),(Tracking[Type]&lt;&gt;"Income")*(-1)+(Tracking[Type]="Income"))</f>
        <v>3520.1900000000028</v>
      </c>
      <c r="I110" s="42">
        <f>IF(AND(Tracking[[#This Row],[Type]]="Income", shift_late_income_status="Active", DAY(Tracking[[#This Row],[Date]])&gt;=shift_late_income_starting_date), DATE(YEAR(Tracking[[#This Row],[Date]]),MONTH(Tracking[[#This Row],[Date]])+1,1),Tracking[[#This Row],[Date]])</f>
        <v>45896</v>
      </c>
      <c r="J110" s="11">
        <f>MONTH(Tracking[[#This Row],[Date]])</f>
        <v>8</v>
      </c>
      <c r="K110" s="64">
        <f>YEAR(Tracking[[#This Row],[Date]])</f>
        <v>2025</v>
      </c>
    </row>
    <row r="111" spans="3:11" x14ac:dyDescent="0.2">
      <c r="C111" s="34">
        <f>SOURCE!A101</f>
        <v>45897</v>
      </c>
      <c r="D111" s="11" t="str">
        <f>SOURCE!B101</f>
        <v>Expenses</v>
      </c>
      <c r="E111" s="11" t="str">
        <f>SOURCE!C101</f>
        <v>Train</v>
      </c>
      <c r="F111" s="35">
        <f>SOURCE!E101</f>
        <v>4.7</v>
      </c>
      <c r="G111" s="36"/>
      <c r="H111" s="38" cm="1">
        <f t="array" ref="H111">SUMPRODUCT(Tracking[Amount],--(Tracking[Date]&lt;=Tracking[[#This Row],[Date]]),(Tracking[Type]&lt;&gt;"Income")*(-1)+(Tracking[Type]="Income"))</f>
        <v>3465.5900000000029</v>
      </c>
      <c r="I111" s="42">
        <f>IF(AND(Tracking[[#This Row],[Type]]="Income", shift_late_income_status="Active", DAY(Tracking[[#This Row],[Date]])&gt;=shift_late_income_starting_date), DATE(YEAR(Tracking[[#This Row],[Date]]),MONTH(Tracking[[#This Row],[Date]])+1,1),Tracking[[#This Row],[Date]])</f>
        <v>45897</v>
      </c>
      <c r="J111" s="11">
        <f>MONTH(Tracking[[#This Row],[Date]])</f>
        <v>8</v>
      </c>
      <c r="K111" s="64">
        <f>YEAR(Tracking[[#This Row],[Date]])</f>
        <v>2025</v>
      </c>
    </row>
    <row r="112" spans="3:11" x14ac:dyDescent="0.2">
      <c r="C112" s="34">
        <f>SOURCE!A102</f>
        <v>45897</v>
      </c>
      <c r="D112" s="11" t="str">
        <f>SOURCE!B102</f>
        <v>Expenses</v>
      </c>
      <c r="E112" s="11" t="str">
        <f>SOURCE!C102</f>
        <v>Groceries</v>
      </c>
      <c r="F112" s="35">
        <f>SOURCE!E102</f>
        <v>19.899999999999999</v>
      </c>
      <c r="G112" s="36"/>
      <c r="H112" s="38" cm="1">
        <f t="array" ref="H112">SUMPRODUCT(Tracking[Amount],--(Tracking[Date]&lt;=Tracking[[#This Row],[Date]]),(Tracking[Type]&lt;&gt;"Income")*(-1)+(Tracking[Type]="Income"))</f>
        <v>3465.5900000000029</v>
      </c>
      <c r="I112" s="42">
        <f>IF(AND(Tracking[[#This Row],[Type]]="Income", shift_late_income_status="Active", DAY(Tracking[[#This Row],[Date]])&gt;=shift_late_income_starting_date), DATE(YEAR(Tracking[[#This Row],[Date]]),MONTH(Tracking[[#This Row],[Date]])+1,1),Tracking[[#This Row],[Date]])</f>
        <v>45897</v>
      </c>
      <c r="J112" s="11">
        <f>MONTH(Tracking[[#This Row],[Date]])</f>
        <v>8</v>
      </c>
      <c r="K112" s="64">
        <f>YEAR(Tracking[[#This Row],[Date]])</f>
        <v>2025</v>
      </c>
    </row>
    <row r="113" spans="3:11" x14ac:dyDescent="0.2">
      <c r="C113" s="34">
        <f>SOURCE!A103</f>
        <v>45897</v>
      </c>
      <c r="D113" s="11" t="str">
        <f>SOURCE!B103</f>
        <v>Expenses</v>
      </c>
      <c r="E113" s="11" t="str">
        <f>SOURCE!C103</f>
        <v>Restaurants</v>
      </c>
      <c r="F113" s="35">
        <f>SOURCE!E103</f>
        <v>30</v>
      </c>
      <c r="G113" s="36"/>
      <c r="H113" s="38" cm="1">
        <f t="array" ref="H113">SUMPRODUCT(Tracking[Amount],--(Tracking[Date]&lt;=Tracking[[#This Row],[Date]]),(Tracking[Type]&lt;&gt;"Income")*(-1)+(Tracking[Type]="Income"))</f>
        <v>3465.5900000000029</v>
      </c>
      <c r="I113" s="42">
        <f>IF(AND(Tracking[[#This Row],[Type]]="Income", shift_late_income_status="Active", DAY(Tracking[[#This Row],[Date]])&gt;=shift_late_income_starting_date), DATE(YEAR(Tracking[[#This Row],[Date]]),MONTH(Tracking[[#This Row],[Date]])+1,1),Tracking[[#This Row],[Date]])</f>
        <v>45897</v>
      </c>
      <c r="J113" s="11">
        <f>MONTH(Tracking[[#This Row],[Date]])</f>
        <v>8</v>
      </c>
      <c r="K113" s="64">
        <f>YEAR(Tracking[[#This Row],[Date]])</f>
        <v>2025</v>
      </c>
    </row>
    <row r="114" spans="3:11" x14ac:dyDescent="0.2">
      <c r="C114" s="34">
        <f>SOURCE!A104</f>
        <v>45898</v>
      </c>
      <c r="D114" s="11" t="str">
        <f>SOURCE!B104</f>
        <v>Expenses</v>
      </c>
      <c r="E114" s="11" t="str">
        <f>SOURCE!C104</f>
        <v>Restaurants</v>
      </c>
      <c r="F114" s="35">
        <f>SOURCE!E104</f>
        <v>46.5</v>
      </c>
      <c r="G114" s="36"/>
      <c r="H114" s="38" cm="1">
        <f t="array" ref="H114">SUMPRODUCT(Tracking[Amount],--(Tracking[Date]&lt;=Tracking[[#This Row],[Date]]),(Tracking[Type]&lt;&gt;"Income")*(-1)+(Tracking[Type]="Income"))</f>
        <v>3404.0900000000029</v>
      </c>
      <c r="I114" s="42">
        <f>IF(AND(Tracking[[#This Row],[Type]]="Income", shift_late_income_status="Active", DAY(Tracking[[#This Row],[Date]])&gt;=shift_late_income_starting_date), DATE(YEAR(Tracking[[#This Row],[Date]]),MONTH(Tracking[[#This Row],[Date]])+1,1),Tracking[[#This Row],[Date]])</f>
        <v>45898</v>
      </c>
      <c r="J114" s="11">
        <f>MONTH(Tracking[[#This Row],[Date]])</f>
        <v>8</v>
      </c>
      <c r="K114" s="64">
        <f>YEAR(Tracking[[#This Row],[Date]])</f>
        <v>2025</v>
      </c>
    </row>
    <row r="115" spans="3:11" x14ac:dyDescent="0.2">
      <c r="C115" s="34">
        <f>SOURCE!A105</f>
        <v>45898</v>
      </c>
      <c r="D115" s="11" t="str">
        <f>SOURCE!B105</f>
        <v>Expenses</v>
      </c>
      <c r="E115" s="11" t="str">
        <f>SOURCE!C105</f>
        <v>CC fees</v>
      </c>
      <c r="F115" s="35">
        <f>SOURCE!E105</f>
        <v>15</v>
      </c>
      <c r="G115" s="36"/>
      <c r="H115" s="38" cm="1">
        <f t="array" ref="H115">SUMPRODUCT(Tracking[Amount],--(Tracking[Date]&lt;=Tracking[[#This Row],[Date]]),(Tracking[Type]&lt;&gt;"Income")*(-1)+(Tracking[Type]="Income"))</f>
        <v>3404.0900000000029</v>
      </c>
      <c r="I115" s="42">
        <f>IF(AND(Tracking[[#This Row],[Type]]="Income", shift_late_income_status="Active", DAY(Tracking[[#This Row],[Date]])&gt;=shift_late_income_starting_date), DATE(YEAR(Tracking[[#This Row],[Date]]),MONTH(Tracking[[#This Row],[Date]])+1,1),Tracking[[#This Row],[Date]])</f>
        <v>45898</v>
      </c>
      <c r="J115" s="11">
        <f>MONTH(Tracking[[#This Row],[Date]])</f>
        <v>8</v>
      </c>
      <c r="K115" s="64">
        <f>YEAR(Tracking[[#This Row],[Date]])</f>
        <v>2025</v>
      </c>
    </row>
    <row r="116" spans="3:11" x14ac:dyDescent="0.2">
      <c r="C116" s="34">
        <f>SOURCE!A106</f>
        <v>45899</v>
      </c>
      <c r="D116" s="11" t="str">
        <f>SOURCE!B106</f>
        <v>Expenses</v>
      </c>
      <c r="E116" s="11" t="str">
        <f>SOURCE!C106</f>
        <v>Groceries</v>
      </c>
      <c r="F116" s="35">
        <f>SOURCE!E106</f>
        <v>29.25</v>
      </c>
      <c r="G116" s="36"/>
      <c r="H116" s="38" cm="1">
        <f t="array" ref="H116">SUMPRODUCT(Tracking[Amount],--(Tracking[Date]&lt;=Tracking[[#This Row],[Date]]),(Tracking[Type]&lt;&gt;"Income")*(-1)+(Tracking[Type]="Income"))</f>
        <v>3097.0900000000029</v>
      </c>
      <c r="I116" s="42">
        <f>IF(AND(Tracking[[#This Row],[Type]]="Income", shift_late_income_status="Active", DAY(Tracking[[#This Row],[Date]])&gt;=shift_late_income_starting_date), DATE(YEAR(Tracking[[#This Row],[Date]]),MONTH(Tracking[[#This Row],[Date]])+1,1),Tracking[[#This Row],[Date]])</f>
        <v>45899</v>
      </c>
      <c r="J116" s="11">
        <f>MONTH(Tracking[[#This Row],[Date]])</f>
        <v>8</v>
      </c>
      <c r="K116" s="64">
        <f>YEAR(Tracking[[#This Row],[Date]])</f>
        <v>2025</v>
      </c>
    </row>
    <row r="117" spans="3:11" x14ac:dyDescent="0.2">
      <c r="C117" s="34">
        <f>SOURCE!A107</f>
        <v>45899</v>
      </c>
      <c r="D117" s="11" t="str">
        <f>SOURCE!B107</f>
        <v>Expenses</v>
      </c>
      <c r="E117" s="11" t="str">
        <f>SOURCE!C107</f>
        <v>Groceries</v>
      </c>
      <c r="F117" s="35">
        <f>SOURCE!E107</f>
        <v>14.55</v>
      </c>
      <c r="G117" s="36"/>
      <c r="H117" s="38" cm="1">
        <f t="array" ref="H117">SUMPRODUCT(Tracking[Amount],--(Tracking[Date]&lt;=Tracking[[#This Row],[Date]]),(Tracking[Type]&lt;&gt;"Income")*(-1)+(Tracking[Type]="Income"))</f>
        <v>3097.0900000000029</v>
      </c>
      <c r="I117" s="42">
        <f>IF(AND(Tracking[[#This Row],[Type]]="Income", shift_late_income_status="Active", DAY(Tracking[[#This Row],[Date]])&gt;=shift_late_income_starting_date), DATE(YEAR(Tracking[[#This Row],[Date]]),MONTH(Tracking[[#This Row],[Date]])+1,1),Tracking[[#This Row],[Date]])</f>
        <v>45899</v>
      </c>
      <c r="J117" s="11">
        <f>MONTH(Tracking[[#This Row],[Date]])</f>
        <v>8</v>
      </c>
      <c r="K117" s="64">
        <f>YEAR(Tracking[[#This Row],[Date]])</f>
        <v>2025</v>
      </c>
    </row>
    <row r="118" spans="3:11" x14ac:dyDescent="0.2">
      <c r="C118" s="34">
        <f>SOURCE!A108</f>
        <v>45899</v>
      </c>
      <c r="D118" s="11" t="str">
        <f>SOURCE!B108</f>
        <v>Expenses</v>
      </c>
      <c r="E118" s="11" t="str">
        <f>SOURCE!C108</f>
        <v>Train</v>
      </c>
      <c r="F118" s="35">
        <f>SOURCE!E108</f>
        <v>3.2</v>
      </c>
      <c r="G118" s="36"/>
      <c r="H118" s="38" cm="1">
        <f t="array" ref="H118">SUMPRODUCT(Tracking[Amount],--(Tracking[Date]&lt;=Tracking[[#This Row],[Date]]),(Tracking[Type]&lt;&gt;"Income")*(-1)+(Tracking[Type]="Income"))</f>
        <v>3097.0900000000029</v>
      </c>
      <c r="I118" s="42">
        <f>IF(AND(Tracking[[#This Row],[Type]]="Income", shift_late_income_status="Active", DAY(Tracking[[#This Row],[Date]])&gt;=shift_late_income_starting_date), DATE(YEAR(Tracking[[#This Row],[Date]]),MONTH(Tracking[[#This Row],[Date]])+1,1),Tracking[[#This Row],[Date]])</f>
        <v>45899</v>
      </c>
      <c r="J118" s="11">
        <f>MONTH(Tracking[[#This Row],[Date]])</f>
        <v>8</v>
      </c>
      <c r="K118" s="64">
        <f>YEAR(Tracking[[#This Row],[Date]])</f>
        <v>2025</v>
      </c>
    </row>
    <row r="119" spans="3:11" x14ac:dyDescent="0.2">
      <c r="C119" s="34">
        <f>SOURCE!A109</f>
        <v>45899</v>
      </c>
      <c r="D119" s="11" t="str">
        <f>SOURCE!B109</f>
        <v>Expenses</v>
      </c>
      <c r="E119" s="11" t="str">
        <f>SOURCE!C109</f>
        <v>Restaurants</v>
      </c>
      <c r="F119" s="35">
        <f>SOURCE!E109</f>
        <v>10</v>
      </c>
      <c r="G119" s="36"/>
      <c r="H119" s="38" cm="1">
        <f t="array" ref="H119">SUMPRODUCT(Tracking[Amount],--(Tracking[Date]&lt;=Tracking[[#This Row],[Date]]),(Tracking[Type]&lt;&gt;"Income")*(-1)+(Tracking[Type]="Income"))</f>
        <v>3097.0900000000029</v>
      </c>
      <c r="I119" s="42">
        <f>IF(AND(Tracking[[#This Row],[Type]]="Income", shift_late_income_status="Active", DAY(Tracking[[#This Row],[Date]])&gt;=shift_late_income_starting_date), DATE(YEAR(Tracking[[#This Row],[Date]]),MONTH(Tracking[[#This Row],[Date]])+1,1),Tracking[[#This Row],[Date]])</f>
        <v>45899</v>
      </c>
      <c r="J119" s="11">
        <f>MONTH(Tracking[[#This Row],[Date]])</f>
        <v>8</v>
      </c>
      <c r="K119" s="64">
        <f>YEAR(Tracking[[#This Row],[Date]])</f>
        <v>2025</v>
      </c>
    </row>
    <row r="120" spans="3:11" x14ac:dyDescent="0.2">
      <c r="C120" s="34">
        <f>SOURCE!A110</f>
        <v>45899</v>
      </c>
      <c r="D120" s="11" t="str">
        <f>SOURCE!B110</f>
        <v>Expenses</v>
      </c>
      <c r="E120" s="11" t="str">
        <f>SOURCE!C110</f>
        <v>Debt</v>
      </c>
      <c r="F120" s="35">
        <f>SOURCE!E110</f>
        <v>250</v>
      </c>
      <c r="G120" s="36"/>
      <c r="H120" s="38" cm="1">
        <f t="array" ref="H120">SUMPRODUCT(Tracking[Amount],--(Tracking[Date]&lt;=Tracking[[#This Row],[Date]]),(Tracking[Type]&lt;&gt;"Income")*(-1)+(Tracking[Type]="Income"))</f>
        <v>3097.0900000000029</v>
      </c>
      <c r="I120" s="42">
        <f>IF(AND(Tracking[[#This Row],[Type]]="Income", shift_late_income_status="Active", DAY(Tracking[[#This Row],[Date]])&gt;=shift_late_income_starting_date), DATE(YEAR(Tracking[[#This Row],[Date]]),MONTH(Tracking[[#This Row],[Date]])+1,1),Tracking[[#This Row],[Date]])</f>
        <v>45899</v>
      </c>
      <c r="J120" s="11">
        <f>MONTH(Tracking[[#This Row],[Date]])</f>
        <v>8</v>
      </c>
      <c r="K120" s="64">
        <f>YEAR(Tracking[[#This Row],[Date]])</f>
        <v>2025</v>
      </c>
    </row>
    <row r="121" spans="3:11" x14ac:dyDescent="0.2">
      <c r="C121" s="34">
        <f>SOURCE!A111</f>
        <v>45900</v>
      </c>
      <c r="D121" s="11" t="str">
        <f>SOURCE!B111</f>
        <v>Expenses</v>
      </c>
      <c r="E121" s="11" t="str">
        <f>SOURCE!C111</f>
        <v>Restaurants</v>
      </c>
      <c r="F121" s="35">
        <f>SOURCE!E111</f>
        <v>40</v>
      </c>
      <c r="G121" s="36"/>
      <c r="H121" s="38" cm="1">
        <f t="array" ref="H121">SUMPRODUCT(Tracking[Amount],--(Tracking[Date]&lt;=Tracking[[#This Row],[Date]]),(Tracking[Type]&lt;&gt;"Income")*(-1)+(Tracking[Type]="Income"))</f>
        <v>3057.0900000000029</v>
      </c>
      <c r="I121" s="42">
        <f>IF(AND(Tracking[[#This Row],[Type]]="Income", shift_late_income_status="Active", DAY(Tracking[[#This Row],[Date]])&gt;=shift_late_income_starting_date), DATE(YEAR(Tracking[[#This Row],[Date]]),MONTH(Tracking[[#This Row],[Date]])+1,1),Tracking[[#This Row],[Date]])</f>
        <v>45900</v>
      </c>
      <c r="J121" s="11">
        <f>MONTH(Tracking[[#This Row],[Date]])</f>
        <v>8</v>
      </c>
      <c r="K121" s="64">
        <f>YEAR(Tracking[[#This Row],[Date]])</f>
        <v>2025</v>
      </c>
    </row>
    <row r="122" spans="3:11" x14ac:dyDescent="0.2">
      <c r="C122" s="34">
        <f>SOURCE!A112</f>
        <v>45901</v>
      </c>
      <c r="D122" s="11" t="str">
        <f>SOURCE!B112</f>
        <v>Expenses</v>
      </c>
      <c r="E122" s="11" t="str">
        <f>SOURCE!C112</f>
        <v>Groceries</v>
      </c>
      <c r="F122" s="35">
        <f>SOURCE!E112</f>
        <v>1.65</v>
      </c>
      <c r="G122" s="36"/>
      <c r="H122" s="38" cm="1">
        <f t="array" ref="H122">SUMPRODUCT(Tracking[Amount],--(Tracking[Date]&lt;=Tracking[[#This Row],[Date]]),(Tracking[Type]&lt;&gt;"Income")*(-1)+(Tracking[Type]="Income"))</f>
        <v>2293.5300000000025</v>
      </c>
      <c r="I122" s="42">
        <f>IF(AND(Tracking[[#This Row],[Type]]="Income", shift_late_income_status="Active", DAY(Tracking[[#This Row],[Date]])&gt;=shift_late_income_starting_date), DATE(YEAR(Tracking[[#This Row],[Date]]),MONTH(Tracking[[#This Row],[Date]])+1,1),Tracking[[#This Row],[Date]])</f>
        <v>45901</v>
      </c>
      <c r="J122" s="11">
        <f>MONTH(Tracking[[#This Row],[Date]])</f>
        <v>9</v>
      </c>
      <c r="K122" s="64">
        <f>YEAR(Tracking[[#This Row],[Date]])</f>
        <v>2025</v>
      </c>
    </row>
    <row r="123" spans="3:11" x14ac:dyDescent="0.2">
      <c r="C123" s="34">
        <f>SOURCE!A113</f>
        <v>45901</v>
      </c>
      <c r="D123" s="11" t="str">
        <f>SOURCE!B113</f>
        <v>Expenses</v>
      </c>
      <c r="E123" s="11" t="str">
        <f>SOURCE!C113</f>
        <v>Train</v>
      </c>
      <c r="F123" s="35">
        <f>SOURCE!E113</f>
        <v>4.7</v>
      </c>
      <c r="G123" s="36"/>
      <c r="H123" s="38" cm="1">
        <f t="array" ref="H123">SUMPRODUCT(Tracking[Amount],--(Tracking[Date]&lt;=Tracking[[#This Row],[Date]]),(Tracking[Type]&lt;&gt;"Income")*(-1)+(Tracking[Type]="Income"))</f>
        <v>2293.5300000000025</v>
      </c>
      <c r="I123" s="42">
        <f>IF(AND(Tracking[[#This Row],[Type]]="Income", shift_late_income_status="Active", DAY(Tracking[[#This Row],[Date]])&gt;=shift_late_income_starting_date), DATE(YEAR(Tracking[[#This Row],[Date]]),MONTH(Tracking[[#This Row],[Date]])+1,1),Tracking[[#This Row],[Date]])</f>
        <v>45901</v>
      </c>
      <c r="J123" s="11">
        <f>MONTH(Tracking[[#This Row],[Date]])</f>
        <v>9</v>
      </c>
      <c r="K123" s="64">
        <f>YEAR(Tracking[[#This Row],[Date]])</f>
        <v>2025</v>
      </c>
    </row>
    <row r="124" spans="3:11" x14ac:dyDescent="0.2">
      <c r="C124" s="34">
        <f>SOURCE!A114</f>
        <v>45901</v>
      </c>
      <c r="D124" s="11" t="str">
        <f>SOURCE!B114</f>
        <v>Expenses</v>
      </c>
      <c r="E124" s="11" t="str">
        <f>SOURCE!C114</f>
        <v>Train</v>
      </c>
      <c r="F124" s="35">
        <f>SOURCE!E114</f>
        <v>4.7</v>
      </c>
      <c r="G124" s="36"/>
      <c r="H124" s="38" cm="1">
        <f t="array" ref="H124">SUMPRODUCT(Tracking[Amount],--(Tracking[Date]&lt;=Tracking[[#This Row],[Date]]),(Tracking[Type]&lt;&gt;"Income")*(-1)+(Tracking[Type]="Income"))</f>
        <v>2293.5300000000025</v>
      </c>
      <c r="I124" s="42">
        <f>IF(AND(Tracking[[#This Row],[Type]]="Income", shift_late_income_status="Active", DAY(Tracking[[#This Row],[Date]])&gt;=shift_late_income_starting_date), DATE(YEAR(Tracking[[#This Row],[Date]]),MONTH(Tracking[[#This Row],[Date]])+1,1),Tracking[[#This Row],[Date]])</f>
        <v>45901</v>
      </c>
      <c r="J124" s="11">
        <f>MONTH(Tracking[[#This Row],[Date]])</f>
        <v>9</v>
      </c>
      <c r="K124" s="64">
        <f>YEAR(Tracking[[#This Row],[Date]])</f>
        <v>2025</v>
      </c>
    </row>
    <row r="125" spans="3:11" x14ac:dyDescent="0.2">
      <c r="C125" s="34">
        <f>SOURCE!A115</f>
        <v>45901</v>
      </c>
      <c r="D125" s="11" t="str">
        <f>SOURCE!B115</f>
        <v>CC_Refund</v>
      </c>
      <c r="E125" s="11" t="str">
        <f>SOURCE!C115</f>
        <v>Card Refund Luca</v>
      </c>
      <c r="F125" s="35">
        <f>SOURCE!E115</f>
        <v>726.2</v>
      </c>
      <c r="G125" s="36"/>
      <c r="H125" s="38" cm="1">
        <f t="array" ref="H125">SUMPRODUCT(Tracking[Amount],--(Tracking[Date]&lt;=Tracking[[#This Row],[Date]]),(Tracking[Type]&lt;&gt;"Income")*(-1)+(Tracking[Type]="Income"))</f>
        <v>2293.5300000000025</v>
      </c>
      <c r="I125" s="42">
        <f>IF(AND(Tracking[[#This Row],[Type]]="Income", shift_late_income_status="Active", DAY(Tracking[[#This Row],[Date]])&gt;=shift_late_income_starting_date), DATE(YEAR(Tracking[[#This Row],[Date]]),MONTH(Tracking[[#This Row],[Date]])+1,1),Tracking[[#This Row],[Date]])</f>
        <v>45901</v>
      </c>
      <c r="J125" s="11">
        <f>MONTH(Tracking[[#This Row],[Date]])</f>
        <v>9</v>
      </c>
      <c r="K125" s="64">
        <f>YEAR(Tracking[[#This Row],[Date]])</f>
        <v>2025</v>
      </c>
    </row>
    <row r="126" spans="3:11" x14ac:dyDescent="0.2">
      <c r="C126" s="34">
        <f>SOURCE!A116</f>
        <v>45901</v>
      </c>
      <c r="D126" s="11" t="str">
        <f>SOURCE!B116</f>
        <v>Expenses</v>
      </c>
      <c r="E126" s="11" t="str">
        <f>SOURCE!C116</f>
        <v>Train</v>
      </c>
      <c r="F126" s="35">
        <f>SOURCE!E116</f>
        <v>3.6</v>
      </c>
      <c r="G126" s="36"/>
      <c r="H126" s="38" cm="1">
        <f t="array" ref="H126">SUMPRODUCT(Tracking[Amount],--(Tracking[Date]&lt;=Tracking[[#This Row],[Date]]),(Tracking[Type]&lt;&gt;"Income")*(-1)+(Tracking[Type]="Income"))</f>
        <v>2293.5300000000025</v>
      </c>
      <c r="I126" s="42">
        <f>IF(AND(Tracking[[#This Row],[Type]]="Income", shift_late_income_status="Active", DAY(Tracking[[#This Row],[Date]])&gt;=shift_late_income_starting_date), DATE(YEAR(Tracking[[#This Row],[Date]]),MONTH(Tracking[[#This Row],[Date]])+1,1),Tracking[[#This Row],[Date]])</f>
        <v>45901</v>
      </c>
      <c r="J126" s="11">
        <f>MONTH(Tracking[[#This Row],[Date]])</f>
        <v>9</v>
      </c>
      <c r="K126" s="64">
        <f>YEAR(Tracking[[#This Row],[Date]])</f>
        <v>2025</v>
      </c>
    </row>
    <row r="127" spans="3:11" x14ac:dyDescent="0.2">
      <c r="C127" s="34">
        <f>SOURCE!A117</f>
        <v>45901</v>
      </c>
      <c r="D127" s="11" t="str">
        <f>SOURCE!B117</f>
        <v>Expenses</v>
      </c>
      <c r="E127" s="11" t="str">
        <f>SOURCE!C117</f>
        <v>Digital Goods</v>
      </c>
      <c r="F127" s="35">
        <f>SOURCE!E117</f>
        <v>0.01</v>
      </c>
      <c r="G127" s="36"/>
      <c r="H127" s="38" cm="1">
        <f t="array" ref="H127">SUMPRODUCT(Tracking[Amount],--(Tracking[Date]&lt;=Tracking[[#This Row],[Date]]),(Tracking[Type]&lt;&gt;"Income")*(-1)+(Tracking[Type]="Income"))</f>
        <v>2293.5300000000025</v>
      </c>
      <c r="I127" s="42">
        <f>IF(AND(Tracking[[#This Row],[Type]]="Income", shift_late_income_status="Active", DAY(Tracking[[#This Row],[Date]])&gt;=shift_late_income_starting_date), DATE(YEAR(Tracking[[#This Row],[Date]]),MONTH(Tracking[[#This Row],[Date]])+1,1),Tracking[[#This Row],[Date]])</f>
        <v>45901</v>
      </c>
      <c r="J127" s="11">
        <f>MONTH(Tracking[[#This Row],[Date]])</f>
        <v>9</v>
      </c>
      <c r="K127" s="64">
        <f>YEAR(Tracking[[#This Row],[Date]])</f>
        <v>2025</v>
      </c>
    </row>
    <row r="128" spans="3:11" x14ac:dyDescent="0.2">
      <c r="C128" s="34">
        <f>SOURCE!A118</f>
        <v>45901</v>
      </c>
      <c r="D128" s="11" t="str">
        <f>SOURCE!B118</f>
        <v>Expenses</v>
      </c>
      <c r="E128" s="11" t="str">
        <f>SOURCE!C118</f>
        <v>Restaurants</v>
      </c>
      <c r="F128" s="35">
        <f>SOURCE!E118</f>
        <v>18.899999999999999</v>
      </c>
      <c r="G128" s="36"/>
      <c r="H128" s="38" cm="1">
        <f t="array" ref="H128">SUMPRODUCT(Tracking[Amount],--(Tracking[Date]&lt;=Tracking[[#This Row],[Date]]),(Tracking[Type]&lt;&gt;"Income")*(-1)+(Tracking[Type]="Income"))</f>
        <v>2293.5300000000025</v>
      </c>
      <c r="I128" s="42">
        <f>IF(AND(Tracking[[#This Row],[Type]]="Income", shift_late_income_status="Active", DAY(Tracking[[#This Row],[Date]])&gt;=shift_late_income_starting_date), DATE(YEAR(Tracking[[#This Row],[Date]]),MONTH(Tracking[[#This Row],[Date]])+1,1),Tracking[[#This Row],[Date]])</f>
        <v>45901</v>
      </c>
      <c r="J128" s="11">
        <f>MONTH(Tracking[[#This Row],[Date]])</f>
        <v>9</v>
      </c>
      <c r="K128" s="64">
        <f>YEAR(Tracking[[#This Row],[Date]])</f>
        <v>2025</v>
      </c>
    </row>
    <row r="129" spans="3:11" x14ac:dyDescent="0.2">
      <c r="C129" s="34">
        <f>SOURCE!A119</f>
        <v>45901</v>
      </c>
      <c r="D129" s="11" t="str">
        <f>SOURCE!B119</f>
        <v>Expenses</v>
      </c>
      <c r="E129" s="11" t="str">
        <f>SOURCE!C119</f>
        <v>Groceries</v>
      </c>
      <c r="F129" s="35">
        <f>SOURCE!E119</f>
        <v>3.8</v>
      </c>
      <c r="G129" s="36"/>
      <c r="H129" s="38" cm="1">
        <f t="array" ref="H129">SUMPRODUCT(Tracking[Amount],--(Tracking[Date]&lt;=Tracking[[#This Row],[Date]]),(Tracking[Type]&lt;&gt;"Income")*(-1)+(Tracking[Type]="Income"))</f>
        <v>2293.5300000000025</v>
      </c>
      <c r="I129" s="42">
        <f>IF(AND(Tracking[[#This Row],[Type]]="Income", shift_late_income_status="Active", DAY(Tracking[[#This Row],[Date]])&gt;=shift_late_income_starting_date), DATE(YEAR(Tracking[[#This Row],[Date]]),MONTH(Tracking[[#This Row],[Date]])+1,1),Tracking[[#This Row],[Date]])</f>
        <v>45901</v>
      </c>
      <c r="J129" s="11">
        <f>MONTH(Tracking[[#This Row],[Date]])</f>
        <v>9</v>
      </c>
      <c r="K129" s="64">
        <f>YEAR(Tracking[[#This Row],[Date]])</f>
        <v>2025</v>
      </c>
    </row>
    <row r="130" spans="3:11" x14ac:dyDescent="0.2">
      <c r="C130" s="34">
        <f>SOURCE!A120</f>
        <v>45902</v>
      </c>
      <c r="D130" s="11" t="str">
        <f>SOURCE!B120</f>
        <v>Expenses</v>
      </c>
      <c r="E130" s="11" t="str">
        <f>SOURCE!C120</f>
        <v>Train</v>
      </c>
      <c r="F130" s="35">
        <f>SOURCE!E120</f>
        <v>4.7</v>
      </c>
      <c r="G130" s="36"/>
      <c r="H130" s="38" cm="1">
        <f t="array" ref="H130">SUMPRODUCT(Tracking[Amount],--(Tracking[Date]&lt;=Tracking[[#This Row],[Date]]),(Tracking[Type]&lt;&gt;"Income")*(-1)+(Tracking[Type]="Income"))</f>
        <v>1787.4800000000027</v>
      </c>
      <c r="I130" s="42">
        <f>IF(AND(Tracking[[#This Row],[Type]]="Income", shift_late_income_status="Active", DAY(Tracking[[#This Row],[Date]])&gt;=shift_late_income_starting_date), DATE(YEAR(Tracking[[#This Row],[Date]]),MONTH(Tracking[[#This Row],[Date]])+1,1),Tracking[[#This Row],[Date]])</f>
        <v>45902</v>
      </c>
      <c r="J130" s="11">
        <f>MONTH(Tracking[[#This Row],[Date]])</f>
        <v>9</v>
      </c>
      <c r="K130" s="64">
        <f>YEAR(Tracking[[#This Row],[Date]])</f>
        <v>2025</v>
      </c>
    </row>
    <row r="131" spans="3:11" x14ac:dyDescent="0.2">
      <c r="C131" s="34">
        <f>SOURCE!A121</f>
        <v>45902</v>
      </c>
      <c r="D131" s="11" t="str">
        <f>SOURCE!B121</f>
        <v>Expenses</v>
      </c>
      <c r="E131" s="11" t="str">
        <f>SOURCE!C121</f>
        <v>Health Insurance</v>
      </c>
      <c r="F131" s="35">
        <f>SOURCE!E121</f>
        <v>501.35</v>
      </c>
      <c r="G131" s="36"/>
      <c r="H131" s="38" cm="1">
        <f t="array" ref="H131">SUMPRODUCT(Tracking[Amount],--(Tracking[Date]&lt;=Tracking[[#This Row],[Date]]),(Tracking[Type]&lt;&gt;"Income")*(-1)+(Tracking[Type]="Income"))</f>
        <v>1787.4800000000027</v>
      </c>
      <c r="I131" s="42">
        <f>IF(AND(Tracking[[#This Row],[Type]]="Income", shift_late_income_status="Active", DAY(Tracking[[#This Row],[Date]])&gt;=shift_late_income_starting_date), DATE(YEAR(Tracking[[#This Row],[Date]]),MONTH(Tracking[[#This Row],[Date]])+1,1),Tracking[[#This Row],[Date]])</f>
        <v>45902</v>
      </c>
      <c r="J131" s="11">
        <f>MONTH(Tracking[[#This Row],[Date]])</f>
        <v>9</v>
      </c>
      <c r="K131" s="64">
        <f>YEAR(Tracking[[#This Row],[Date]])</f>
        <v>2025</v>
      </c>
    </row>
    <row r="132" spans="3:11" x14ac:dyDescent="0.2">
      <c r="C132" s="34">
        <f>SOURCE!A122</f>
        <v>45903</v>
      </c>
      <c r="D132" s="11" t="str">
        <f>SOURCE!B122</f>
        <v>Expenses</v>
      </c>
      <c r="E132" s="11" t="str">
        <f>SOURCE!C122</f>
        <v>Restaurants</v>
      </c>
      <c r="F132" s="35">
        <f>SOURCE!E122</f>
        <v>18</v>
      </c>
      <c r="G132" s="36"/>
      <c r="H132" s="38" cm="1">
        <f t="array" ref="H132">SUMPRODUCT(Tracking[Amount],--(Tracking[Date]&lt;=Tracking[[#This Row],[Date]]),(Tracking[Type]&lt;&gt;"Income")*(-1)+(Tracking[Type]="Income"))</f>
        <v>1769.4800000000027</v>
      </c>
      <c r="I132" s="42">
        <f>IF(AND(Tracking[[#This Row],[Type]]="Income", shift_late_income_status="Active", DAY(Tracking[[#This Row],[Date]])&gt;=shift_late_income_starting_date), DATE(YEAR(Tracking[[#This Row],[Date]]),MONTH(Tracking[[#This Row],[Date]])+1,1),Tracking[[#This Row],[Date]])</f>
        <v>45903</v>
      </c>
      <c r="J132" s="11">
        <f>MONTH(Tracking[[#This Row],[Date]])</f>
        <v>9</v>
      </c>
      <c r="K132" s="64">
        <f>YEAR(Tracking[[#This Row],[Date]])</f>
        <v>2025</v>
      </c>
    </row>
    <row r="133" spans="3:11" x14ac:dyDescent="0.2">
      <c r="C133" s="34">
        <f>SOURCE!A123</f>
        <v>45904</v>
      </c>
      <c r="D133" s="11" t="str">
        <f>SOURCE!B123</f>
        <v>Expenses</v>
      </c>
      <c r="E133" s="11" t="str">
        <f>SOURCE!C123</f>
        <v>Train</v>
      </c>
      <c r="F133" s="35">
        <f>SOURCE!E123</f>
        <v>4.7</v>
      </c>
      <c r="G133" s="36"/>
      <c r="H133" s="38" cm="1">
        <f t="array" ref="H133">SUMPRODUCT(Tracking[Amount],--(Tracking[Date]&lt;=Tracking[[#This Row],[Date]]),(Tracking[Type]&lt;&gt;"Income")*(-1)+(Tracking[Type]="Income"))</f>
        <v>1602.4800000000027</v>
      </c>
      <c r="I133" s="42">
        <f>IF(AND(Tracking[[#This Row],[Type]]="Income", shift_late_income_status="Active", DAY(Tracking[[#This Row],[Date]])&gt;=shift_late_income_starting_date), DATE(YEAR(Tracking[[#This Row],[Date]]),MONTH(Tracking[[#This Row],[Date]])+1,1),Tracking[[#This Row],[Date]])</f>
        <v>45904</v>
      </c>
      <c r="J133" s="11">
        <f>MONTH(Tracking[[#This Row],[Date]])</f>
        <v>9</v>
      </c>
      <c r="K133" s="64">
        <f>YEAR(Tracking[[#This Row],[Date]])</f>
        <v>2025</v>
      </c>
    </row>
    <row r="134" spans="3:11" x14ac:dyDescent="0.2">
      <c r="C134" s="34">
        <f>SOURCE!A124</f>
        <v>45904</v>
      </c>
      <c r="D134" s="11" t="str">
        <f>SOURCE!B124</f>
        <v>Expenses</v>
      </c>
      <c r="E134" s="11" t="str">
        <f>SOURCE!C124</f>
        <v>Health Other</v>
      </c>
      <c r="F134" s="35">
        <f>SOURCE!E124</f>
        <v>9.1999999999999993</v>
      </c>
      <c r="G134" s="36"/>
      <c r="H134" s="38" cm="1">
        <f t="array" ref="H134">SUMPRODUCT(Tracking[Amount],--(Tracking[Date]&lt;=Tracking[[#This Row],[Date]]),(Tracking[Type]&lt;&gt;"Income")*(-1)+(Tracking[Type]="Income"))</f>
        <v>1602.4800000000027</v>
      </c>
      <c r="I134" s="42">
        <f>IF(AND(Tracking[[#This Row],[Type]]="Income", shift_late_income_status="Active", DAY(Tracking[[#This Row],[Date]])&gt;=shift_late_income_starting_date), DATE(YEAR(Tracking[[#This Row],[Date]]),MONTH(Tracking[[#This Row],[Date]])+1,1),Tracking[[#This Row],[Date]])</f>
        <v>45904</v>
      </c>
      <c r="J134" s="11">
        <f>MONTH(Tracking[[#This Row],[Date]])</f>
        <v>9</v>
      </c>
      <c r="K134" s="64">
        <f>YEAR(Tracking[[#This Row],[Date]])</f>
        <v>2025</v>
      </c>
    </row>
    <row r="135" spans="3:11" x14ac:dyDescent="0.2">
      <c r="C135" s="34">
        <f>SOURCE!A125</f>
        <v>45904</v>
      </c>
      <c r="D135" s="11" t="str">
        <f>SOURCE!B125</f>
        <v>Expenses</v>
      </c>
      <c r="E135" s="11" t="str">
        <f>SOURCE!C125</f>
        <v>Groceries</v>
      </c>
      <c r="F135" s="35">
        <f>SOURCE!E125</f>
        <v>3.1</v>
      </c>
      <c r="G135" s="36"/>
      <c r="H135" s="38" cm="1">
        <f t="array" ref="H135">SUMPRODUCT(Tracking[Amount],--(Tracking[Date]&lt;=Tracking[[#This Row],[Date]]),(Tracking[Type]&lt;&gt;"Income")*(-1)+(Tracking[Type]="Income"))</f>
        <v>1602.4800000000027</v>
      </c>
      <c r="I135" s="42">
        <f>IF(AND(Tracking[[#This Row],[Type]]="Income", shift_late_income_status="Active", DAY(Tracking[[#This Row],[Date]])&gt;=shift_late_income_starting_date), DATE(YEAR(Tracking[[#This Row],[Date]]),MONTH(Tracking[[#This Row],[Date]])+1,1),Tracking[[#This Row],[Date]])</f>
        <v>45904</v>
      </c>
      <c r="J135" s="11">
        <f>MONTH(Tracking[[#This Row],[Date]])</f>
        <v>9</v>
      </c>
      <c r="K135" s="64">
        <f>YEAR(Tracking[[#This Row],[Date]])</f>
        <v>2025</v>
      </c>
    </row>
    <row r="136" spans="3:11" x14ac:dyDescent="0.2">
      <c r="C136" s="34">
        <f>SOURCE!A126</f>
        <v>45904</v>
      </c>
      <c r="D136" s="11" t="str">
        <f>SOURCE!B126</f>
        <v>Expenses</v>
      </c>
      <c r="E136" s="11" t="str">
        <f>SOURCE!C126</f>
        <v>Travel</v>
      </c>
      <c r="F136" s="35">
        <f>SOURCE!E126</f>
        <v>150</v>
      </c>
      <c r="G136" s="36"/>
      <c r="H136" s="38" cm="1">
        <f t="array" ref="H136">SUMPRODUCT(Tracking[Amount],--(Tracking[Date]&lt;=Tracking[[#This Row],[Date]]),(Tracking[Type]&lt;&gt;"Income")*(-1)+(Tracking[Type]="Income"))</f>
        <v>1602.4800000000027</v>
      </c>
      <c r="I136" s="42">
        <f>IF(AND(Tracking[[#This Row],[Type]]="Income", shift_late_income_status="Active", DAY(Tracking[[#This Row],[Date]])&gt;=shift_late_income_starting_date), DATE(YEAR(Tracking[[#This Row],[Date]]),MONTH(Tracking[[#This Row],[Date]])+1,1),Tracking[[#This Row],[Date]])</f>
        <v>45904</v>
      </c>
      <c r="J136" s="11">
        <f>MONTH(Tracking[[#This Row],[Date]])</f>
        <v>9</v>
      </c>
      <c r="K136" s="64">
        <f>YEAR(Tracking[[#This Row],[Date]])</f>
        <v>2025</v>
      </c>
    </row>
    <row r="137" spans="3:11" x14ac:dyDescent="0.2">
      <c r="C137" s="34">
        <f>SOURCE!A127</f>
        <v>45905</v>
      </c>
      <c r="D137" s="11" t="str">
        <f>SOURCE!B127</f>
        <v>Expenses</v>
      </c>
      <c r="E137" s="11" t="str">
        <f>SOURCE!C127</f>
        <v>Restaurants</v>
      </c>
      <c r="F137" s="35">
        <f>SOURCE!E127</f>
        <v>11.6</v>
      </c>
      <c r="G137" s="36"/>
      <c r="H137" s="38" cm="1">
        <f t="array" ref="H137">SUMPRODUCT(Tracking[Amount],--(Tracking[Date]&lt;=Tracking[[#This Row],[Date]]),(Tracking[Type]&lt;&gt;"Income")*(-1)+(Tracking[Type]="Income"))</f>
        <v>1550.8800000000028</v>
      </c>
      <c r="I137" s="42">
        <f>IF(AND(Tracking[[#This Row],[Type]]="Income", shift_late_income_status="Active", DAY(Tracking[[#This Row],[Date]])&gt;=shift_late_income_starting_date), DATE(YEAR(Tracking[[#This Row],[Date]]),MONTH(Tracking[[#This Row],[Date]])+1,1),Tracking[[#This Row],[Date]])</f>
        <v>45905</v>
      </c>
      <c r="J137" s="11">
        <f>MONTH(Tracking[[#This Row],[Date]])</f>
        <v>9</v>
      </c>
      <c r="K137" s="64">
        <f>YEAR(Tracking[[#This Row],[Date]])</f>
        <v>2025</v>
      </c>
    </row>
    <row r="138" spans="3:11" x14ac:dyDescent="0.2">
      <c r="C138" s="34">
        <f>SOURCE!A128</f>
        <v>45905</v>
      </c>
      <c r="D138" s="11" t="str">
        <f>SOURCE!B128</f>
        <v>Expenses</v>
      </c>
      <c r="E138" s="11" t="str">
        <f>SOURCE!C128</f>
        <v>Restaurants</v>
      </c>
      <c r="F138" s="35">
        <f>SOURCE!E128</f>
        <v>40</v>
      </c>
      <c r="G138" s="36"/>
      <c r="H138" s="38" cm="1">
        <f t="array" ref="H138">SUMPRODUCT(Tracking[Amount],--(Tracking[Date]&lt;=Tracking[[#This Row],[Date]]),(Tracking[Type]&lt;&gt;"Income")*(-1)+(Tracking[Type]="Income"))</f>
        <v>1550.8800000000028</v>
      </c>
      <c r="I138" s="42">
        <f>IF(AND(Tracking[[#This Row],[Type]]="Income", shift_late_income_status="Active", DAY(Tracking[[#This Row],[Date]])&gt;=shift_late_income_starting_date), DATE(YEAR(Tracking[[#This Row],[Date]]),MONTH(Tracking[[#This Row],[Date]])+1,1),Tracking[[#This Row],[Date]])</f>
        <v>45905</v>
      </c>
      <c r="J138" s="11">
        <f>MONTH(Tracking[[#This Row],[Date]])</f>
        <v>9</v>
      </c>
      <c r="K138" s="64">
        <f>YEAR(Tracking[[#This Row],[Date]])</f>
        <v>2025</v>
      </c>
    </row>
    <row r="139" spans="3:11" x14ac:dyDescent="0.2">
      <c r="C139" s="34">
        <f>SOURCE!A129</f>
        <v>45906</v>
      </c>
      <c r="D139" s="11" t="str">
        <f>SOURCE!B129</f>
        <v>Expenses</v>
      </c>
      <c r="E139" s="11" t="str">
        <f>SOURCE!C129</f>
        <v>Train</v>
      </c>
      <c r="F139" s="35">
        <f>SOURCE!E129</f>
        <v>2</v>
      </c>
      <c r="G139" s="36"/>
      <c r="H139" s="38" cm="1">
        <f t="array" ref="H139">SUMPRODUCT(Tracking[Amount],--(Tracking[Date]&lt;=Tracking[[#This Row],[Date]]),(Tracking[Type]&lt;&gt;"Income")*(-1)+(Tracking[Type]="Income"))</f>
        <v>1512.1200000000028</v>
      </c>
      <c r="I139" s="42">
        <f>IF(AND(Tracking[[#This Row],[Type]]="Income", shift_late_income_status="Active", DAY(Tracking[[#This Row],[Date]])&gt;=shift_late_income_starting_date), DATE(YEAR(Tracking[[#This Row],[Date]]),MONTH(Tracking[[#This Row],[Date]])+1,1),Tracking[[#This Row],[Date]])</f>
        <v>45906</v>
      </c>
      <c r="J139" s="11">
        <f>MONTH(Tracking[[#This Row],[Date]])</f>
        <v>9</v>
      </c>
      <c r="K139" s="64">
        <f>YEAR(Tracking[[#This Row],[Date]])</f>
        <v>2025</v>
      </c>
    </row>
    <row r="140" spans="3:11" x14ac:dyDescent="0.2">
      <c r="C140" s="34">
        <f>SOURCE!A130</f>
        <v>45906</v>
      </c>
      <c r="D140" s="11" t="str">
        <f>SOURCE!B130</f>
        <v>Expenses</v>
      </c>
      <c r="E140" s="11" t="str">
        <f>SOURCE!C130</f>
        <v>Groceries</v>
      </c>
      <c r="F140" s="35">
        <f>SOURCE!E130</f>
        <v>34.76</v>
      </c>
      <c r="G140" s="36"/>
      <c r="H140" s="38" cm="1">
        <f t="array" ref="H140">SUMPRODUCT(Tracking[Amount],--(Tracking[Date]&lt;=Tracking[[#This Row],[Date]]),(Tracking[Type]&lt;&gt;"Income")*(-1)+(Tracking[Type]="Income"))</f>
        <v>1512.1200000000028</v>
      </c>
      <c r="I140" s="42">
        <f>IF(AND(Tracking[[#This Row],[Type]]="Income", shift_late_income_status="Active", DAY(Tracking[[#This Row],[Date]])&gt;=shift_late_income_starting_date), DATE(YEAR(Tracking[[#This Row],[Date]]),MONTH(Tracking[[#This Row],[Date]])+1,1),Tracking[[#This Row],[Date]])</f>
        <v>45906</v>
      </c>
      <c r="J140" s="11">
        <f>MONTH(Tracking[[#This Row],[Date]])</f>
        <v>9</v>
      </c>
      <c r="K140" s="64">
        <f>YEAR(Tracking[[#This Row],[Date]])</f>
        <v>2025</v>
      </c>
    </row>
    <row r="141" spans="3:11" x14ac:dyDescent="0.2">
      <c r="C141" s="34">
        <f>SOURCE!A131</f>
        <v>45906</v>
      </c>
      <c r="D141" s="11" t="str">
        <f>SOURCE!B131</f>
        <v>Expenses</v>
      </c>
      <c r="E141" s="11" t="str">
        <f>SOURCE!C131</f>
        <v>Train</v>
      </c>
      <c r="F141" s="35">
        <f>SOURCE!E131</f>
        <v>2</v>
      </c>
      <c r="G141" s="36"/>
      <c r="H141" s="38" cm="1">
        <f t="array" ref="H141">SUMPRODUCT(Tracking[Amount],--(Tracking[Date]&lt;=Tracking[[#This Row],[Date]]),(Tracking[Type]&lt;&gt;"Income")*(-1)+(Tracking[Type]="Income"))</f>
        <v>1512.1200000000028</v>
      </c>
      <c r="I141" s="42">
        <f>IF(AND(Tracking[[#This Row],[Type]]="Income", shift_late_income_status="Active", DAY(Tracking[[#This Row],[Date]])&gt;=shift_late_income_starting_date), DATE(YEAR(Tracking[[#This Row],[Date]]),MONTH(Tracking[[#This Row],[Date]])+1,1),Tracking[[#This Row],[Date]])</f>
        <v>45906</v>
      </c>
      <c r="J141" s="11">
        <f>MONTH(Tracking[[#This Row],[Date]])</f>
        <v>9</v>
      </c>
      <c r="K141" s="64">
        <f>YEAR(Tracking[[#This Row],[Date]])</f>
        <v>2025</v>
      </c>
    </row>
    <row r="142" spans="3:11" x14ac:dyDescent="0.2">
      <c r="C142" s="34">
        <f>SOURCE!A132</f>
        <v>45907</v>
      </c>
      <c r="D142" s="11" t="str">
        <f>SOURCE!B132</f>
        <v>Expenses</v>
      </c>
      <c r="E142" s="11" t="str">
        <f>SOURCE!C132</f>
        <v>Train</v>
      </c>
      <c r="F142" s="35">
        <f>SOURCE!E132</f>
        <v>4.7</v>
      </c>
      <c r="G142" s="36"/>
      <c r="H142" s="38" cm="1">
        <f t="array" ref="H142">SUMPRODUCT(Tracking[Amount],--(Tracking[Date]&lt;=Tracking[[#This Row],[Date]]),(Tracking[Type]&lt;&gt;"Income")*(-1)+(Tracking[Type]="Income"))</f>
        <v>1445.7700000000027</v>
      </c>
      <c r="I142" s="42">
        <f>IF(AND(Tracking[[#This Row],[Type]]="Income", shift_late_income_status="Active", DAY(Tracking[[#This Row],[Date]])&gt;=shift_late_income_starting_date), DATE(YEAR(Tracking[[#This Row],[Date]]),MONTH(Tracking[[#This Row],[Date]])+1,1),Tracking[[#This Row],[Date]])</f>
        <v>45907</v>
      </c>
      <c r="J142" s="11">
        <f>MONTH(Tracking[[#This Row],[Date]])</f>
        <v>9</v>
      </c>
      <c r="K142" s="64">
        <f>YEAR(Tracking[[#This Row],[Date]])</f>
        <v>2025</v>
      </c>
    </row>
    <row r="143" spans="3:11" x14ac:dyDescent="0.2">
      <c r="C143" s="34">
        <f>SOURCE!A133</f>
        <v>45907</v>
      </c>
      <c r="D143" s="11" t="str">
        <f>SOURCE!B133</f>
        <v>Expenses</v>
      </c>
      <c r="E143" s="11" t="str">
        <f>SOURCE!C133</f>
        <v>Home Utils</v>
      </c>
      <c r="F143" s="35">
        <f>SOURCE!E133</f>
        <v>55</v>
      </c>
      <c r="G143" s="36"/>
      <c r="H143" s="38" cm="1">
        <f t="array" ref="H143">SUMPRODUCT(Tracking[Amount],--(Tracking[Date]&lt;=Tracking[[#This Row],[Date]]),(Tracking[Type]&lt;&gt;"Income")*(-1)+(Tracking[Type]="Income"))</f>
        <v>1445.7700000000027</v>
      </c>
      <c r="I143" s="42">
        <f>IF(AND(Tracking[[#This Row],[Type]]="Income", shift_late_income_status="Active", DAY(Tracking[[#This Row],[Date]])&gt;=shift_late_income_starting_date), DATE(YEAR(Tracking[[#This Row],[Date]]),MONTH(Tracking[[#This Row],[Date]])+1,1),Tracking[[#This Row],[Date]])</f>
        <v>45907</v>
      </c>
      <c r="J143" s="11">
        <f>MONTH(Tracking[[#This Row],[Date]])</f>
        <v>9</v>
      </c>
      <c r="K143" s="64">
        <f>YEAR(Tracking[[#This Row],[Date]])</f>
        <v>2025</v>
      </c>
    </row>
    <row r="144" spans="3:11" x14ac:dyDescent="0.2">
      <c r="C144" s="34">
        <f>SOURCE!A134</f>
        <v>45907</v>
      </c>
      <c r="D144" s="11" t="str">
        <f>SOURCE!B134</f>
        <v>Expenses</v>
      </c>
      <c r="E144" s="11" t="str">
        <f>SOURCE!C134</f>
        <v>Groceries</v>
      </c>
      <c r="F144" s="35">
        <f>SOURCE!E134</f>
        <v>1.95</v>
      </c>
      <c r="G144" s="36"/>
      <c r="H144" s="38" cm="1">
        <f t="array" ref="H144">SUMPRODUCT(Tracking[Amount],--(Tracking[Date]&lt;=Tracking[[#This Row],[Date]]),(Tracking[Type]&lt;&gt;"Income")*(-1)+(Tracking[Type]="Income"))</f>
        <v>1445.7700000000027</v>
      </c>
      <c r="I144" s="42">
        <f>IF(AND(Tracking[[#This Row],[Type]]="Income", shift_late_income_status="Active", DAY(Tracking[[#This Row],[Date]])&gt;=shift_late_income_starting_date), DATE(YEAR(Tracking[[#This Row],[Date]]),MONTH(Tracking[[#This Row],[Date]])+1,1),Tracking[[#This Row],[Date]])</f>
        <v>45907</v>
      </c>
      <c r="J144" s="11">
        <f>MONTH(Tracking[[#This Row],[Date]])</f>
        <v>9</v>
      </c>
      <c r="K144" s="64">
        <f>YEAR(Tracking[[#This Row],[Date]])</f>
        <v>2025</v>
      </c>
    </row>
    <row r="145" spans="3:11" x14ac:dyDescent="0.2">
      <c r="C145" s="34">
        <f>SOURCE!A135</f>
        <v>45907</v>
      </c>
      <c r="D145" s="11" t="str">
        <f>SOURCE!B135</f>
        <v>Expenses</v>
      </c>
      <c r="E145" s="11" t="str">
        <f>SOURCE!C135</f>
        <v>Train</v>
      </c>
      <c r="F145" s="35">
        <f>SOURCE!E135</f>
        <v>4.7</v>
      </c>
      <c r="G145" s="36"/>
      <c r="H145" s="38" cm="1">
        <f t="array" ref="H145">SUMPRODUCT(Tracking[Amount],--(Tracking[Date]&lt;=Tracking[[#This Row],[Date]]),(Tracking[Type]&lt;&gt;"Income")*(-1)+(Tracking[Type]="Income"))</f>
        <v>1445.7700000000027</v>
      </c>
      <c r="I145" s="42">
        <f>IF(AND(Tracking[[#This Row],[Type]]="Income", shift_late_income_status="Active", DAY(Tracking[[#This Row],[Date]])&gt;=shift_late_income_starting_date), DATE(YEAR(Tracking[[#This Row],[Date]]),MONTH(Tracking[[#This Row],[Date]])+1,1),Tracking[[#This Row],[Date]])</f>
        <v>45907</v>
      </c>
      <c r="J145" s="11">
        <f>MONTH(Tracking[[#This Row],[Date]])</f>
        <v>9</v>
      </c>
      <c r="K145" s="64">
        <f>YEAR(Tracking[[#This Row],[Date]])</f>
        <v>2025</v>
      </c>
    </row>
    <row r="146" spans="3:11" x14ac:dyDescent="0.2">
      <c r="C146" s="34">
        <f>SOURCE!A136</f>
        <v>45908</v>
      </c>
      <c r="D146" s="11" t="str">
        <f>SOURCE!B136</f>
        <v>Expenses</v>
      </c>
      <c r="E146" s="11" t="str">
        <f>SOURCE!C136</f>
        <v>Groceries</v>
      </c>
      <c r="F146" s="35">
        <f>SOURCE!E136</f>
        <v>16.5</v>
      </c>
      <c r="G146" s="36"/>
      <c r="H146" s="38" cm="1">
        <f t="array" ref="H146">SUMPRODUCT(Tracking[Amount],--(Tracking[Date]&lt;=Tracking[[#This Row],[Date]]),(Tracking[Type]&lt;&gt;"Income")*(-1)+(Tracking[Type]="Income"))</f>
        <v>1422.2700000000027</v>
      </c>
      <c r="I146" s="42">
        <f>IF(AND(Tracking[[#This Row],[Type]]="Income", shift_late_income_status="Active", DAY(Tracking[[#This Row],[Date]])&gt;=shift_late_income_starting_date), DATE(YEAR(Tracking[[#This Row],[Date]]),MONTH(Tracking[[#This Row],[Date]])+1,1),Tracking[[#This Row],[Date]])</f>
        <v>45908</v>
      </c>
      <c r="J146" s="11">
        <f>MONTH(Tracking[[#This Row],[Date]])</f>
        <v>9</v>
      </c>
      <c r="K146" s="64">
        <f>YEAR(Tracking[[#This Row],[Date]])</f>
        <v>2025</v>
      </c>
    </row>
    <row r="147" spans="3:11" x14ac:dyDescent="0.2">
      <c r="C147" s="34">
        <f>SOURCE!A137</f>
        <v>45908</v>
      </c>
      <c r="D147" s="11" t="str">
        <f>SOURCE!B137</f>
        <v>Expenses</v>
      </c>
      <c r="E147" s="11" t="str">
        <f>SOURCE!C137</f>
        <v>Digital Goods</v>
      </c>
      <c r="F147" s="35">
        <f>SOURCE!E137</f>
        <v>7</v>
      </c>
      <c r="G147" s="36"/>
      <c r="H147" s="38" cm="1">
        <f t="array" ref="H147">SUMPRODUCT(Tracking[Amount],--(Tracking[Date]&lt;=Tracking[[#This Row],[Date]]),(Tracking[Type]&lt;&gt;"Income")*(-1)+(Tracking[Type]="Income"))</f>
        <v>1422.2700000000027</v>
      </c>
      <c r="I147" s="42">
        <f>IF(AND(Tracking[[#This Row],[Type]]="Income", shift_late_income_status="Active", DAY(Tracking[[#This Row],[Date]])&gt;=shift_late_income_starting_date), DATE(YEAR(Tracking[[#This Row],[Date]]),MONTH(Tracking[[#This Row],[Date]])+1,1),Tracking[[#This Row],[Date]])</f>
        <v>45908</v>
      </c>
      <c r="J147" s="11">
        <f>MONTH(Tracking[[#This Row],[Date]])</f>
        <v>9</v>
      </c>
      <c r="K147" s="64">
        <f>YEAR(Tracking[[#This Row],[Date]])</f>
        <v>2025</v>
      </c>
    </row>
    <row r="148" spans="3:11" x14ac:dyDescent="0.2">
      <c r="C148" s="34">
        <f>SOURCE!A138</f>
        <v>45909</v>
      </c>
      <c r="D148" s="11" t="str">
        <f>SOURCE!B138</f>
        <v>Expenses</v>
      </c>
      <c r="E148" s="11" t="str">
        <f>SOURCE!C138</f>
        <v>Train</v>
      </c>
      <c r="F148" s="35">
        <f>SOURCE!E138</f>
        <v>4.7</v>
      </c>
      <c r="G148" s="36"/>
      <c r="H148" s="38" cm="1">
        <f t="array" ref="H148">SUMPRODUCT(Tracking[Amount],--(Tracking[Date]&lt;=Tracking[[#This Row],[Date]]),(Tracking[Type]&lt;&gt;"Income")*(-1)+(Tracking[Type]="Income"))</f>
        <v>1412.8700000000026</v>
      </c>
      <c r="I148" s="42">
        <f>IF(AND(Tracking[[#This Row],[Type]]="Income", shift_late_income_status="Active", DAY(Tracking[[#This Row],[Date]])&gt;=shift_late_income_starting_date), DATE(YEAR(Tracking[[#This Row],[Date]]),MONTH(Tracking[[#This Row],[Date]])+1,1),Tracking[[#This Row],[Date]])</f>
        <v>45909</v>
      </c>
      <c r="J148" s="11">
        <f>MONTH(Tracking[[#This Row],[Date]])</f>
        <v>9</v>
      </c>
      <c r="K148" s="64">
        <f>YEAR(Tracking[[#This Row],[Date]])</f>
        <v>2025</v>
      </c>
    </row>
    <row r="149" spans="3:11" x14ac:dyDescent="0.2">
      <c r="C149" s="34">
        <f>SOURCE!A139</f>
        <v>45909</v>
      </c>
      <c r="D149" s="11" t="str">
        <f>SOURCE!B139</f>
        <v>Expenses</v>
      </c>
      <c r="E149" s="11" t="str">
        <f>SOURCE!C139</f>
        <v>Train</v>
      </c>
      <c r="F149" s="35">
        <f>SOURCE!E139</f>
        <v>4.7</v>
      </c>
      <c r="G149" s="36"/>
      <c r="H149" s="38" cm="1">
        <f t="array" ref="H149">SUMPRODUCT(Tracking[Amount],--(Tracking[Date]&lt;=Tracking[[#This Row],[Date]]),(Tracking[Type]&lt;&gt;"Income")*(-1)+(Tracking[Type]="Income"))</f>
        <v>1412.8700000000026</v>
      </c>
      <c r="I149" s="42">
        <f>IF(AND(Tracking[[#This Row],[Type]]="Income", shift_late_income_status="Active", DAY(Tracking[[#This Row],[Date]])&gt;=shift_late_income_starting_date), DATE(YEAR(Tracking[[#This Row],[Date]]),MONTH(Tracking[[#This Row],[Date]])+1,1),Tracking[[#This Row],[Date]])</f>
        <v>45909</v>
      </c>
      <c r="J149" s="11">
        <f>MONTH(Tracking[[#This Row],[Date]])</f>
        <v>9</v>
      </c>
      <c r="K149" s="64">
        <f>YEAR(Tracking[[#This Row],[Date]])</f>
        <v>2025</v>
      </c>
    </row>
    <row r="150" spans="3:11" x14ac:dyDescent="0.2">
      <c r="C150" s="34">
        <f>SOURCE!A140</f>
        <v>45910</v>
      </c>
      <c r="D150" s="11" t="str">
        <f>SOURCE!B140</f>
        <v>Expenses</v>
      </c>
      <c r="E150" s="11" t="str">
        <f>SOURCE!C140</f>
        <v>Restaurants</v>
      </c>
      <c r="F150" s="35">
        <f>SOURCE!E140</f>
        <v>13.7</v>
      </c>
      <c r="G150" s="36"/>
      <c r="H150" s="38" cm="1">
        <f t="array" ref="H150">SUMPRODUCT(Tracking[Amount],--(Tracking[Date]&lt;=Tracking[[#This Row],[Date]]),(Tracking[Type]&lt;&gt;"Income")*(-1)+(Tracking[Type]="Income"))</f>
        <v>1329.1200000000026</v>
      </c>
      <c r="I150" s="42">
        <f>IF(AND(Tracking[[#This Row],[Type]]="Income", shift_late_income_status="Active", DAY(Tracking[[#This Row],[Date]])&gt;=shift_late_income_starting_date), DATE(YEAR(Tracking[[#This Row],[Date]]),MONTH(Tracking[[#This Row],[Date]])+1,1),Tracking[[#This Row],[Date]])</f>
        <v>45910</v>
      </c>
      <c r="J150" s="11">
        <f>MONTH(Tracking[[#This Row],[Date]])</f>
        <v>9</v>
      </c>
      <c r="K150" s="64">
        <f>YEAR(Tracking[[#This Row],[Date]])</f>
        <v>2025</v>
      </c>
    </row>
    <row r="151" spans="3:11" x14ac:dyDescent="0.2">
      <c r="C151" s="34">
        <f>SOURCE!A141</f>
        <v>45910</v>
      </c>
      <c r="D151" s="11" t="str">
        <f>SOURCE!B141</f>
        <v>Expenses</v>
      </c>
      <c r="E151" s="11" t="str">
        <f>SOURCE!C141</f>
        <v>Health Other</v>
      </c>
      <c r="F151" s="35">
        <f>SOURCE!E141</f>
        <v>11.95</v>
      </c>
      <c r="G151" s="36"/>
      <c r="H151" s="38" cm="1">
        <f t="array" ref="H151">SUMPRODUCT(Tracking[Amount],--(Tracking[Date]&lt;=Tracking[[#This Row],[Date]]),(Tracking[Type]&lt;&gt;"Income")*(-1)+(Tracking[Type]="Income"))</f>
        <v>1329.1200000000026</v>
      </c>
      <c r="I151" s="42">
        <f>IF(AND(Tracking[[#This Row],[Type]]="Income", shift_late_income_status="Active", DAY(Tracking[[#This Row],[Date]])&gt;=shift_late_income_starting_date), DATE(YEAR(Tracking[[#This Row],[Date]]),MONTH(Tracking[[#This Row],[Date]])+1,1),Tracking[[#This Row],[Date]])</f>
        <v>45910</v>
      </c>
      <c r="J151" s="11">
        <f>MONTH(Tracking[[#This Row],[Date]])</f>
        <v>9</v>
      </c>
      <c r="K151" s="64">
        <f>YEAR(Tracking[[#This Row],[Date]])</f>
        <v>2025</v>
      </c>
    </row>
    <row r="152" spans="3:11" x14ac:dyDescent="0.2">
      <c r="C152" s="34">
        <f>SOURCE!A142</f>
        <v>45910</v>
      </c>
      <c r="D152" s="11" t="str">
        <f>SOURCE!B142</f>
        <v>Expenses</v>
      </c>
      <c r="E152" s="11" t="str">
        <f>SOURCE!C142</f>
        <v>Restaurants</v>
      </c>
      <c r="F152" s="35">
        <f>SOURCE!E142</f>
        <v>18.100000000000001</v>
      </c>
      <c r="G152" s="36"/>
      <c r="H152" s="38" cm="1">
        <f t="array" ref="H152">SUMPRODUCT(Tracking[Amount],--(Tracking[Date]&lt;=Tracking[[#This Row],[Date]]),(Tracking[Type]&lt;&gt;"Income")*(-1)+(Tracking[Type]="Income"))</f>
        <v>1329.1200000000026</v>
      </c>
      <c r="I152" s="42">
        <f>IF(AND(Tracking[[#This Row],[Type]]="Income", shift_late_income_status="Active", DAY(Tracking[[#This Row],[Date]])&gt;=shift_late_income_starting_date), DATE(YEAR(Tracking[[#This Row],[Date]]),MONTH(Tracking[[#This Row],[Date]])+1,1),Tracking[[#This Row],[Date]])</f>
        <v>45910</v>
      </c>
      <c r="J152" s="11">
        <f>MONTH(Tracking[[#This Row],[Date]])</f>
        <v>9</v>
      </c>
      <c r="K152" s="64">
        <f>YEAR(Tracking[[#This Row],[Date]])</f>
        <v>2025</v>
      </c>
    </row>
    <row r="153" spans="3:11" x14ac:dyDescent="0.2">
      <c r="C153" s="34">
        <f>SOURCE!A143</f>
        <v>45910</v>
      </c>
      <c r="D153" s="11" t="str">
        <f>SOURCE!B143</f>
        <v>Expenses</v>
      </c>
      <c r="E153" s="11" t="str">
        <f>SOURCE!C143</f>
        <v>Extras</v>
      </c>
      <c r="F153" s="35">
        <f>SOURCE!E143</f>
        <v>40</v>
      </c>
      <c r="G153" s="36"/>
      <c r="H153" s="38" cm="1">
        <f t="array" ref="H153">SUMPRODUCT(Tracking[Amount],--(Tracking[Date]&lt;=Tracking[[#This Row],[Date]]),(Tracking[Type]&lt;&gt;"Income")*(-1)+(Tracking[Type]="Income"))</f>
        <v>1329.1200000000026</v>
      </c>
      <c r="I153" s="42">
        <f>IF(AND(Tracking[[#This Row],[Type]]="Income", shift_late_income_status="Active", DAY(Tracking[[#This Row],[Date]])&gt;=shift_late_income_starting_date), DATE(YEAR(Tracking[[#This Row],[Date]]),MONTH(Tracking[[#This Row],[Date]])+1,1),Tracking[[#This Row],[Date]])</f>
        <v>45910</v>
      </c>
      <c r="J153" s="11">
        <f>MONTH(Tracking[[#This Row],[Date]])</f>
        <v>9</v>
      </c>
      <c r="K153" s="64">
        <f>YEAR(Tracking[[#This Row],[Date]])</f>
        <v>2025</v>
      </c>
    </row>
    <row r="154" spans="3:11" x14ac:dyDescent="0.2">
      <c r="C154" s="34">
        <f>SOURCE!A144</f>
        <v>45911</v>
      </c>
      <c r="D154" s="11" t="str">
        <f>SOURCE!B144</f>
        <v>Expenses</v>
      </c>
      <c r="E154" s="11" t="str">
        <f>SOURCE!C144</f>
        <v>Train</v>
      </c>
      <c r="F154" s="35">
        <f>SOURCE!E144</f>
        <v>4.7</v>
      </c>
      <c r="G154" s="36"/>
      <c r="H154" s="38" cm="1">
        <f t="array" ref="H154">SUMPRODUCT(Tracking[Amount],--(Tracking[Date]&lt;=Tracking[[#This Row],[Date]]),(Tracking[Type]&lt;&gt;"Income")*(-1)+(Tracking[Type]="Income"))</f>
        <v>1166.5700000000024</v>
      </c>
      <c r="I154" s="42">
        <f>IF(AND(Tracking[[#This Row],[Type]]="Income", shift_late_income_status="Active", DAY(Tracking[[#This Row],[Date]])&gt;=shift_late_income_starting_date), DATE(YEAR(Tracking[[#This Row],[Date]]),MONTH(Tracking[[#This Row],[Date]])+1,1),Tracking[[#This Row],[Date]])</f>
        <v>45911</v>
      </c>
      <c r="J154" s="11">
        <f>MONTH(Tracking[[#This Row],[Date]])</f>
        <v>9</v>
      </c>
      <c r="K154" s="64">
        <f>YEAR(Tracking[[#This Row],[Date]])</f>
        <v>2025</v>
      </c>
    </row>
    <row r="155" spans="3:11" x14ac:dyDescent="0.2">
      <c r="C155" s="34">
        <f>SOURCE!A145</f>
        <v>45911</v>
      </c>
      <c r="D155" s="11" t="str">
        <f>SOURCE!B145</f>
        <v>Expenses</v>
      </c>
      <c r="E155" s="11" t="str">
        <f>SOURCE!C145</f>
        <v>Train</v>
      </c>
      <c r="F155" s="35">
        <f>SOURCE!E145</f>
        <v>4.7</v>
      </c>
      <c r="G155" s="36"/>
      <c r="H155" s="38" cm="1">
        <f t="array" ref="H155">SUMPRODUCT(Tracking[Amount],--(Tracking[Date]&lt;=Tracking[[#This Row],[Date]]),(Tracking[Type]&lt;&gt;"Income")*(-1)+(Tracking[Type]="Income"))</f>
        <v>1166.5700000000024</v>
      </c>
      <c r="I155" s="42">
        <f>IF(AND(Tracking[[#This Row],[Type]]="Income", shift_late_income_status="Active", DAY(Tracking[[#This Row],[Date]])&gt;=shift_late_income_starting_date), DATE(YEAR(Tracking[[#This Row],[Date]]),MONTH(Tracking[[#This Row],[Date]])+1,1),Tracking[[#This Row],[Date]])</f>
        <v>45911</v>
      </c>
      <c r="J155" s="11">
        <f>MONTH(Tracking[[#This Row],[Date]])</f>
        <v>9</v>
      </c>
      <c r="K155" s="64">
        <f>YEAR(Tracking[[#This Row],[Date]])</f>
        <v>2025</v>
      </c>
    </row>
    <row r="156" spans="3:11" x14ac:dyDescent="0.2">
      <c r="C156" s="34">
        <f>SOURCE!A146</f>
        <v>45911</v>
      </c>
      <c r="D156" s="11" t="str">
        <f>SOURCE!B146</f>
        <v>Expenses</v>
      </c>
      <c r="E156" s="11" t="str">
        <f>SOURCE!C146</f>
        <v>Groceries</v>
      </c>
      <c r="F156" s="35">
        <f>SOURCE!E146</f>
        <v>3.15</v>
      </c>
      <c r="G156" s="36"/>
      <c r="H156" s="38" cm="1">
        <f t="array" ref="H156">SUMPRODUCT(Tracking[Amount],--(Tracking[Date]&lt;=Tracking[[#This Row],[Date]]),(Tracking[Type]&lt;&gt;"Income")*(-1)+(Tracking[Type]="Income"))</f>
        <v>1166.5700000000024</v>
      </c>
      <c r="I156" s="42">
        <f>IF(AND(Tracking[[#This Row],[Type]]="Income", shift_late_income_status="Active", DAY(Tracking[[#This Row],[Date]])&gt;=shift_late_income_starting_date), DATE(YEAR(Tracking[[#This Row],[Date]]),MONTH(Tracking[[#This Row],[Date]])+1,1),Tracking[[#This Row],[Date]])</f>
        <v>45911</v>
      </c>
      <c r="J156" s="11">
        <f>MONTH(Tracking[[#This Row],[Date]])</f>
        <v>9</v>
      </c>
      <c r="K156" s="64">
        <f>YEAR(Tracking[[#This Row],[Date]])</f>
        <v>2025</v>
      </c>
    </row>
    <row r="157" spans="3:11" x14ac:dyDescent="0.2">
      <c r="C157" s="34">
        <f>SOURCE!A147</f>
        <v>45911</v>
      </c>
      <c r="D157" s="11" t="str">
        <f>SOURCE!B147</f>
        <v>Expenses</v>
      </c>
      <c r="E157" s="11" t="str">
        <f>SOURCE!C147</f>
        <v>Withdraw</v>
      </c>
      <c r="F157" s="35">
        <f>SOURCE!E147</f>
        <v>150</v>
      </c>
      <c r="G157" s="36"/>
      <c r="H157" s="38" cm="1">
        <f t="array" ref="H157">SUMPRODUCT(Tracking[Amount],--(Tracking[Date]&lt;=Tracking[[#This Row],[Date]]),(Tracking[Type]&lt;&gt;"Income")*(-1)+(Tracking[Type]="Income"))</f>
        <v>1166.5700000000024</v>
      </c>
      <c r="I157" s="42">
        <f>IF(AND(Tracking[[#This Row],[Type]]="Income", shift_late_income_status="Active", DAY(Tracking[[#This Row],[Date]])&gt;=shift_late_income_starting_date), DATE(YEAR(Tracking[[#This Row],[Date]]),MONTH(Tracking[[#This Row],[Date]])+1,1),Tracking[[#This Row],[Date]])</f>
        <v>45911</v>
      </c>
      <c r="J157" s="11">
        <f>MONTH(Tracking[[#This Row],[Date]])</f>
        <v>9</v>
      </c>
      <c r="K157" s="64">
        <f>YEAR(Tracking[[#This Row],[Date]])</f>
        <v>2025</v>
      </c>
    </row>
    <row r="158" spans="3:11" x14ac:dyDescent="0.2">
      <c r="C158" s="34">
        <f>SOURCE!A148</f>
        <v>45912</v>
      </c>
      <c r="D158" s="11" t="str">
        <f>SOURCE!B148</f>
        <v>Expenses</v>
      </c>
      <c r="E158" s="11" t="str">
        <f>SOURCE!C148</f>
        <v>Groceries</v>
      </c>
      <c r="F158" s="35">
        <f>SOURCE!E148</f>
        <v>17.05</v>
      </c>
      <c r="G158" s="36"/>
      <c r="H158" s="38" cm="1">
        <f t="array" ref="H158">SUMPRODUCT(Tracking[Amount],--(Tracking[Date]&lt;=Tracking[[#This Row],[Date]]),(Tracking[Type]&lt;&gt;"Income")*(-1)+(Tracking[Type]="Income"))</f>
        <v>1140.0200000000025</v>
      </c>
      <c r="I158" s="42">
        <f>IF(AND(Tracking[[#This Row],[Type]]="Income", shift_late_income_status="Active", DAY(Tracking[[#This Row],[Date]])&gt;=shift_late_income_starting_date), DATE(YEAR(Tracking[[#This Row],[Date]]),MONTH(Tracking[[#This Row],[Date]])+1,1),Tracking[[#This Row],[Date]])</f>
        <v>45912</v>
      </c>
      <c r="J158" s="11">
        <f>MONTH(Tracking[[#This Row],[Date]])</f>
        <v>9</v>
      </c>
      <c r="K158" s="64">
        <f>YEAR(Tracking[[#This Row],[Date]])</f>
        <v>2025</v>
      </c>
    </row>
    <row r="159" spans="3:11" x14ac:dyDescent="0.2">
      <c r="C159" s="34">
        <f>SOURCE!A149</f>
        <v>45912</v>
      </c>
      <c r="D159" s="11" t="str">
        <f>SOURCE!B149</f>
        <v>Expenses</v>
      </c>
      <c r="E159" s="11" t="str">
        <f>SOURCE!C149</f>
        <v>Groceries</v>
      </c>
      <c r="F159" s="35">
        <f>SOURCE!E149</f>
        <v>9.5</v>
      </c>
      <c r="G159" s="36"/>
      <c r="H159" s="38" cm="1">
        <f t="array" ref="H159">SUMPRODUCT(Tracking[Amount],--(Tracking[Date]&lt;=Tracking[[#This Row],[Date]]),(Tracking[Type]&lt;&gt;"Income")*(-1)+(Tracking[Type]="Income"))</f>
        <v>1140.0200000000025</v>
      </c>
      <c r="I159" s="42">
        <f>IF(AND(Tracking[[#This Row],[Type]]="Income", shift_late_income_status="Active", DAY(Tracking[[#This Row],[Date]])&gt;=shift_late_income_starting_date), DATE(YEAR(Tracking[[#This Row],[Date]]),MONTH(Tracking[[#This Row],[Date]])+1,1),Tracking[[#This Row],[Date]])</f>
        <v>45912</v>
      </c>
      <c r="J159" s="11">
        <f>MONTH(Tracking[[#This Row],[Date]])</f>
        <v>9</v>
      </c>
      <c r="K159" s="64">
        <f>YEAR(Tracking[[#This Row],[Date]])</f>
        <v>2025</v>
      </c>
    </row>
    <row r="160" spans="3:11" x14ac:dyDescent="0.2">
      <c r="C160" s="34">
        <f>SOURCE!A150</f>
        <v>45913</v>
      </c>
      <c r="D160" s="11" t="str">
        <f>SOURCE!B150</f>
        <v>Expenses</v>
      </c>
      <c r="E160" s="11" t="str">
        <f>SOURCE!C150</f>
        <v>Groceries</v>
      </c>
      <c r="F160" s="35">
        <f>SOURCE!E150</f>
        <v>8.9499999999999993</v>
      </c>
      <c r="G160" s="36"/>
      <c r="H160" s="38" cm="1">
        <f t="array" ref="H160">SUMPRODUCT(Tracking[Amount],--(Tracking[Date]&lt;=Tracking[[#This Row],[Date]]),(Tracking[Type]&lt;&gt;"Income")*(-1)+(Tracking[Type]="Income"))</f>
        <v>1086.3900000000024</v>
      </c>
      <c r="I160" s="42">
        <f>IF(AND(Tracking[[#This Row],[Type]]="Income", shift_late_income_status="Active", DAY(Tracking[[#This Row],[Date]])&gt;=shift_late_income_starting_date), DATE(YEAR(Tracking[[#This Row],[Date]]),MONTH(Tracking[[#This Row],[Date]])+1,1),Tracking[[#This Row],[Date]])</f>
        <v>45913</v>
      </c>
      <c r="J160" s="11">
        <f>MONTH(Tracking[[#This Row],[Date]])</f>
        <v>9</v>
      </c>
      <c r="K160" s="64">
        <f>YEAR(Tracking[[#This Row],[Date]])</f>
        <v>2025</v>
      </c>
    </row>
    <row r="161" spans="3:14" x14ac:dyDescent="0.2">
      <c r="C161" s="34">
        <f>SOURCE!A151</f>
        <v>45913</v>
      </c>
      <c r="D161" s="11" t="str">
        <f>SOURCE!B151</f>
        <v>Expenses</v>
      </c>
      <c r="E161" s="11" t="str">
        <f>SOURCE!C151</f>
        <v>Restaurants</v>
      </c>
      <c r="F161" s="35">
        <f>SOURCE!E151</f>
        <v>5.2</v>
      </c>
      <c r="G161" s="36"/>
      <c r="H161" s="38" cm="1">
        <f t="array" ref="H161">SUMPRODUCT(Tracking[Amount],--(Tracking[Date]&lt;=Tracking[[#This Row],[Date]]),(Tracking[Type]&lt;&gt;"Income")*(-1)+(Tracking[Type]="Income"))</f>
        <v>1086.3900000000024</v>
      </c>
      <c r="I161" s="42">
        <f>IF(AND(Tracking[[#This Row],[Type]]="Income", shift_late_income_status="Active", DAY(Tracking[[#This Row],[Date]])&gt;=shift_late_income_starting_date), DATE(YEAR(Tracking[[#This Row],[Date]]),MONTH(Tracking[[#This Row],[Date]])+1,1),Tracking[[#This Row],[Date]])</f>
        <v>45913</v>
      </c>
      <c r="J161" s="11">
        <f>MONTH(Tracking[[#This Row],[Date]])</f>
        <v>9</v>
      </c>
      <c r="K161" s="64">
        <f>YEAR(Tracking[[#This Row],[Date]])</f>
        <v>2025</v>
      </c>
    </row>
    <row r="162" spans="3:14" x14ac:dyDescent="0.2">
      <c r="C162" s="34">
        <f>SOURCE!A152</f>
        <v>45913</v>
      </c>
      <c r="D162" s="11" t="str">
        <f>SOURCE!B152</f>
        <v>Expenses</v>
      </c>
      <c r="E162" s="11" t="str">
        <f>SOURCE!C152</f>
        <v>Restaurants</v>
      </c>
      <c r="F162" s="35">
        <f>SOURCE!E152</f>
        <v>8.9</v>
      </c>
      <c r="G162" s="36"/>
      <c r="H162" s="38" cm="1">
        <f t="array" ref="H162">SUMPRODUCT(Tracking[Amount],--(Tracking[Date]&lt;=Tracking[[#This Row],[Date]]),(Tracking[Type]&lt;&gt;"Income")*(-1)+(Tracking[Type]="Income"))</f>
        <v>1086.3900000000024</v>
      </c>
      <c r="I162" s="42">
        <f>IF(AND(Tracking[[#This Row],[Type]]="Income", shift_late_income_status="Active", DAY(Tracking[[#This Row],[Date]])&gt;=shift_late_income_starting_date), DATE(YEAR(Tracking[[#This Row],[Date]]),MONTH(Tracking[[#This Row],[Date]])+1,1),Tracking[[#This Row],[Date]])</f>
        <v>45913</v>
      </c>
      <c r="J162" s="11">
        <f>MONTH(Tracking[[#This Row],[Date]])</f>
        <v>9</v>
      </c>
      <c r="K162" s="64">
        <f>YEAR(Tracking[[#This Row],[Date]])</f>
        <v>2025</v>
      </c>
    </row>
    <row r="163" spans="3:14" x14ac:dyDescent="0.2">
      <c r="C163" s="34">
        <f>SOURCE!A153</f>
        <v>45913</v>
      </c>
      <c r="D163" s="11" t="str">
        <f>SOURCE!B153</f>
        <v>Expenses</v>
      </c>
      <c r="E163" s="11" t="str">
        <f>SOURCE!C153</f>
        <v>Restaurants</v>
      </c>
      <c r="F163" s="35">
        <f>SOURCE!E153</f>
        <v>30.58</v>
      </c>
      <c r="G163" s="36"/>
      <c r="H163" s="38" cm="1">
        <f t="array" ref="H163">SUMPRODUCT(Tracking[Amount],--(Tracking[Date]&lt;=Tracking[[#This Row],[Date]]),(Tracking[Type]&lt;&gt;"Income")*(-1)+(Tracking[Type]="Income"))</f>
        <v>1086.3900000000024</v>
      </c>
      <c r="I163" s="42">
        <f>IF(AND(Tracking[[#This Row],[Type]]="Income", shift_late_income_status="Active", DAY(Tracking[[#This Row],[Date]])&gt;=shift_late_income_starting_date), DATE(YEAR(Tracking[[#This Row],[Date]]),MONTH(Tracking[[#This Row],[Date]])+1,1),Tracking[[#This Row],[Date]])</f>
        <v>45913</v>
      </c>
      <c r="J163" s="11">
        <f>MONTH(Tracking[[#This Row],[Date]])</f>
        <v>9</v>
      </c>
      <c r="K163" s="64">
        <f>YEAR(Tracking[[#This Row],[Date]])</f>
        <v>2025</v>
      </c>
    </row>
    <row r="164" spans="3:14" x14ac:dyDescent="0.2">
      <c r="C164" s="34">
        <f>SOURCE!A154</f>
        <v>45915</v>
      </c>
      <c r="D164" s="11" t="str">
        <f>SOURCE!B154</f>
        <v>Expenses</v>
      </c>
      <c r="E164" s="11" t="str">
        <f>SOURCE!C154</f>
        <v>Train</v>
      </c>
      <c r="F164" s="35">
        <f>SOURCE!E154</f>
        <v>4.7</v>
      </c>
      <c r="G164" s="36"/>
      <c r="H164" s="38" cm="1">
        <f t="array" ref="H164">SUMPRODUCT(Tracking[Amount],--(Tracking[Date]&lt;=Tracking[[#This Row],[Date]]),(Tracking[Type]&lt;&gt;"Income")*(-1)+(Tracking[Type]="Income"))</f>
        <v>1005.3400000000024</v>
      </c>
      <c r="I164" s="42">
        <f>IF(AND(Tracking[[#This Row],[Type]]="Income", shift_late_income_status="Active", DAY(Tracking[[#This Row],[Date]])&gt;=shift_late_income_starting_date), DATE(YEAR(Tracking[[#This Row],[Date]]),MONTH(Tracking[[#This Row],[Date]])+1,1),Tracking[[#This Row],[Date]])</f>
        <v>45915</v>
      </c>
      <c r="J164" s="11">
        <f>MONTH(Tracking[[#This Row],[Date]])</f>
        <v>9</v>
      </c>
      <c r="K164" s="64">
        <f>YEAR(Tracking[[#This Row],[Date]])</f>
        <v>2025</v>
      </c>
    </row>
    <row r="165" spans="3:14" x14ac:dyDescent="0.2">
      <c r="C165" s="34">
        <f>SOURCE!A155</f>
        <v>45915</v>
      </c>
      <c r="D165" s="11" t="str">
        <f>SOURCE!B155</f>
        <v>Expenses</v>
      </c>
      <c r="E165" s="11" t="str">
        <f>SOURCE!C155</f>
        <v>Restaurants</v>
      </c>
      <c r="F165" s="35">
        <f>SOURCE!E155</f>
        <v>36.85</v>
      </c>
      <c r="G165" s="36"/>
      <c r="H165" s="38" cm="1">
        <f t="array" ref="H165">SUMPRODUCT(Tracking[Amount],--(Tracking[Date]&lt;=Tracking[[#This Row],[Date]]),(Tracking[Type]&lt;&gt;"Income")*(-1)+(Tracking[Type]="Income"))</f>
        <v>1005.3400000000024</v>
      </c>
      <c r="I165" s="42">
        <f>IF(AND(Tracking[[#This Row],[Type]]="Income", shift_late_income_status="Active", DAY(Tracking[[#This Row],[Date]])&gt;=shift_late_income_starting_date), DATE(YEAR(Tracking[[#This Row],[Date]]),MONTH(Tracking[[#This Row],[Date]])+1,1),Tracking[[#This Row],[Date]])</f>
        <v>45915</v>
      </c>
      <c r="J165" s="11">
        <f>MONTH(Tracking[[#This Row],[Date]])</f>
        <v>9</v>
      </c>
      <c r="K165" s="64">
        <f>YEAR(Tracking[[#This Row],[Date]])</f>
        <v>2025</v>
      </c>
    </row>
    <row r="166" spans="3:14" x14ac:dyDescent="0.2">
      <c r="C166" s="34">
        <f>SOURCE!A156</f>
        <v>45915</v>
      </c>
      <c r="D166" s="11" t="str">
        <f>SOURCE!B156</f>
        <v>Expenses</v>
      </c>
      <c r="E166" s="11" t="str">
        <f>SOURCE!C156</f>
        <v>Sport</v>
      </c>
      <c r="F166" s="35">
        <f>SOURCE!E156</f>
        <v>18</v>
      </c>
      <c r="G166" s="36"/>
      <c r="H166" s="38" cm="1">
        <f t="array" ref="H166">SUMPRODUCT(Tracking[Amount],--(Tracking[Date]&lt;=Tracking[[#This Row],[Date]]),(Tracking[Type]&lt;&gt;"Income")*(-1)+(Tracking[Type]="Income"))</f>
        <v>1005.3400000000024</v>
      </c>
      <c r="I166" s="42">
        <f>IF(AND(Tracking[[#This Row],[Type]]="Income", shift_late_income_status="Active", DAY(Tracking[[#This Row],[Date]])&gt;=shift_late_income_starting_date), DATE(YEAR(Tracking[[#This Row],[Date]]),MONTH(Tracking[[#This Row],[Date]])+1,1),Tracking[[#This Row],[Date]])</f>
        <v>45915</v>
      </c>
      <c r="J166" s="11">
        <f>MONTH(Tracking[[#This Row],[Date]])</f>
        <v>9</v>
      </c>
      <c r="K166" s="64">
        <f>YEAR(Tracking[[#This Row],[Date]])</f>
        <v>2025</v>
      </c>
    </row>
    <row r="167" spans="3:14" x14ac:dyDescent="0.2">
      <c r="C167" s="34">
        <f>SOURCE!A157</f>
        <v>45915</v>
      </c>
      <c r="D167" s="11" t="str">
        <f>SOURCE!B157</f>
        <v>Expenses</v>
      </c>
      <c r="E167" s="11" t="str">
        <f>SOURCE!C157</f>
        <v>Train</v>
      </c>
      <c r="F167" s="35">
        <f>SOURCE!E157</f>
        <v>9.6</v>
      </c>
      <c r="G167" s="36"/>
      <c r="H167" s="38" cm="1">
        <f t="array" ref="H167">SUMPRODUCT(Tracking[Amount],--(Tracking[Date]&lt;=Tracking[[#This Row],[Date]]),(Tracking[Type]&lt;&gt;"Income")*(-1)+(Tracking[Type]="Income"))</f>
        <v>1005.3400000000024</v>
      </c>
      <c r="I167" s="42">
        <f>IF(AND(Tracking[[#This Row],[Type]]="Income", shift_late_income_status="Active", DAY(Tracking[[#This Row],[Date]])&gt;=shift_late_income_starting_date), DATE(YEAR(Tracking[[#This Row],[Date]]),MONTH(Tracking[[#This Row],[Date]])+1,1),Tracking[[#This Row],[Date]])</f>
        <v>45915</v>
      </c>
      <c r="J167" s="11">
        <f>MONTH(Tracking[[#This Row],[Date]])</f>
        <v>9</v>
      </c>
      <c r="K167" s="64">
        <f>YEAR(Tracking[[#This Row],[Date]])</f>
        <v>2025</v>
      </c>
    </row>
    <row r="168" spans="3:14" x14ac:dyDescent="0.2">
      <c r="C168" s="34">
        <f>SOURCE!A158</f>
        <v>45915</v>
      </c>
      <c r="D168" s="11" t="str">
        <f>SOURCE!B158</f>
        <v>Expenses</v>
      </c>
      <c r="E168" s="11" t="str">
        <f>SOURCE!C158</f>
        <v>Train</v>
      </c>
      <c r="F168" s="35">
        <f>SOURCE!E158</f>
        <v>11.9</v>
      </c>
      <c r="G168" s="36"/>
      <c r="H168" s="38" cm="1">
        <f t="array" ref="H168">SUMPRODUCT(Tracking[Amount],--(Tracking[Date]&lt;=Tracking[[#This Row],[Date]]),(Tracking[Type]&lt;&gt;"Income")*(-1)+(Tracking[Type]="Income"))</f>
        <v>1005.3400000000024</v>
      </c>
      <c r="I168" s="42">
        <f>IF(AND(Tracking[[#This Row],[Type]]="Income", shift_late_income_status="Active", DAY(Tracking[[#This Row],[Date]])&gt;=shift_late_income_starting_date), DATE(YEAR(Tracking[[#This Row],[Date]]),MONTH(Tracking[[#This Row],[Date]])+1,1),Tracking[[#This Row],[Date]])</f>
        <v>45915</v>
      </c>
      <c r="J168" s="11">
        <f>MONTH(Tracking[[#This Row],[Date]])</f>
        <v>9</v>
      </c>
      <c r="K168" s="64">
        <f>YEAR(Tracking[[#This Row],[Date]])</f>
        <v>2025</v>
      </c>
    </row>
    <row r="169" spans="3:14" x14ac:dyDescent="0.2">
      <c r="C169" s="34">
        <f>SOURCE!A159</f>
        <v>45916</v>
      </c>
      <c r="D169" s="11" t="str">
        <f>SOURCE!B159</f>
        <v>Expenses</v>
      </c>
      <c r="E169" s="11" t="str">
        <f>SOURCE!C159</f>
        <v>Restaurants</v>
      </c>
      <c r="F169" s="35">
        <f>SOURCE!E159</f>
        <v>17.5</v>
      </c>
      <c r="G169" s="36"/>
      <c r="H169" s="38" cm="1">
        <f t="array" ref="H169">SUMPRODUCT(Tracking[Amount],--(Tracking[Date]&lt;=Tracking[[#This Row],[Date]]),(Tracking[Type]&lt;&gt;"Income")*(-1)+(Tracking[Type]="Income"))</f>
        <v>962.2400000000024</v>
      </c>
      <c r="I169" s="42">
        <f>IF(AND(Tracking[[#This Row],[Type]]="Income", shift_late_income_status="Active", DAY(Tracking[[#This Row],[Date]])&gt;=shift_late_income_starting_date), DATE(YEAR(Tracking[[#This Row],[Date]]),MONTH(Tracking[[#This Row],[Date]])+1,1),Tracking[[#This Row],[Date]])</f>
        <v>45916</v>
      </c>
      <c r="J169" s="11">
        <f>MONTH(Tracking[[#This Row],[Date]])</f>
        <v>9</v>
      </c>
      <c r="K169" s="64">
        <f>YEAR(Tracking[[#This Row],[Date]])</f>
        <v>2025</v>
      </c>
    </row>
    <row r="170" spans="3:14" x14ac:dyDescent="0.2">
      <c r="C170" s="34">
        <f>SOURCE!A160</f>
        <v>45916</v>
      </c>
      <c r="D170" s="11" t="str">
        <f>SOURCE!B160</f>
        <v>Expenses</v>
      </c>
      <c r="E170" s="11" t="str">
        <f>SOURCE!C160</f>
        <v>Train</v>
      </c>
      <c r="F170" s="35">
        <f>SOURCE!E160</f>
        <v>4.7</v>
      </c>
      <c r="G170" s="36"/>
      <c r="H170" s="38" cm="1">
        <f t="array" ref="H170">SUMPRODUCT(Tracking[Amount],--(Tracking[Date]&lt;=Tracking[[#This Row],[Date]]),(Tracking[Type]&lt;&gt;"Income")*(-1)+(Tracking[Type]="Income"))</f>
        <v>962.2400000000024</v>
      </c>
      <c r="I170" s="42">
        <f>IF(AND(Tracking[[#This Row],[Type]]="Income", shift_late_income_status="Active", DAY(Tracking[[#This Row],[Date]])&gt;=shift_late_income_starting_date), DATE(YEAR(Tracking[[#This Row],[Date]]),MONTH(Tracking[[#This Row],[Date]])+1,1),Tracking[[#This Row],[Date]])</f>
        <v>45916</v>
      </c>
      <c r="J170" s="11">
        <f>MONTH(Tracking[[#This Row],[Date]])</f>
        <v>9</v>
      </c>
      <c r="K170" s="64">
        <f>YEAR(Tracking[[#This Row],[Date]])</f>
        <v>2025</v>
      </c>
    </row>
    <row r="171" spans="3:14" x14ac:dyDescent="0.2">
      <c r="C171" s="34">
        <f>SOURCE!A161</f>
        <v>45916</v>
      </c>
      <c r="D171" s="11" t="str">
        <f>SOURCE!B161</f>
        <v>Expenses</v>
      </c>
      <c r="E171" s="11" t="str">
        <f>SOURCE!C161</f>
        <v>Train</v>
      </c>
      <c r="F171" s="35">
        <f>SOURCE!E161</f>
        <v>4.7</v>
      </c>
      <c r="G171" s="36"/>
      <c r="H171" s="38" cm="1">
        <f t="array" ref="H171">SUMPRODUCT(Tracking[Amount],--(Tracking[Date]&lt;=Tracking[[#This Row],[Date]]),(Tracking[Type]&lt;&gt;"Income")*(-1)+(Tracking[Type]="Income"))</f>
        <v>962.2400000000024</v>
      </c>
      <c r="I171" s="42">
        <f>IF(AND(Tracking[[#This Row],[Type]]="Income", shift_late_income_status="Active", DAY(Tracking[[#This Row],[Date]])&gt;=shift_late_income_starting_date), DATE(YEAR(Tracking[[#This Row],[Date]]),MONTH(Tracking[[#This Row],[Date]])+1,1),Tracking[[#This Row],[Date]])</f>
        <v>45916</v>
      </c>
      <c r="J171" s="11">
        <f>MONTH(Tracking[[#This Row],[Date]])</f>
        <v>9</v>
      </c>
      <c r="K171" s="64">
        <f>YEAR(Tracking[[#This Row],[Date]])</f>
        <v>2025</v>
      </c>
    </row>
    <row r="172" spans="3:14" x14ac:dyDescent="0.2">
      <c r="C172" s="34">
        <f>SOURCE!A162</f>
        <v>45916</v>
      </c>
      <c r="D172" s="11" t="str">
        <f>SOURCE!B162</f>
        <v>Expenses</v>
      </c>
      <c r="E172" s="11" t="str">
        <f>SOURCE!C162</f>
        <v>Groceries</v>
      </c>
      <c r="F172" s="35">
        <f>SOURCE!E162</f>
        <v>2.9</v>
      </c>
      <c r="G172" s="36"/>
      <c r="H172" s="38" cm="1">
        <f t="array" ref="H172">SUMPRODUCT(Tracking[Amount],--(Tracking[Date]&lt;=Tracking[[#This Row],[Date]]),(Tracking[Type]&lt;&gt;"Income")*(-1)+(Tracking[Type]="Income"))</f>
        <v>962.2400000000024</v>
      </c>
      <c r="I172" s="42">
        <f>IF(AND(Tracking[[#This Row],[Type]]="Income", shift_late_income_status="Active", DAY(Tracking[[#This Row],[Date]])&gt;=shift_late_income_starting_date), DATE(YEAR(Tracking[[#This Row],[Date]]),MONTH(Tracking[[#This Row],[Date]])+1,1),Tracking[[#This Row],[Date]])</f>
        <v>45916</v>
      </c>
      <c r="J172" s="11">
        <f>MONTH(Tracking[[#This Row],[Date]])</f>
        <v>9</v>
      </c>
      <c r="K172" s="64">
        <f>YEAR(Tracking[[#This Row],[Date]])</f>
        <v>2025</v>
      </c>
      <c r="N172">
        <f>YEAR(C170)</f>
        <v>2025</v>
      </c>
    </row>
    <row r="173" spans="3:14" x14ac:dyDescent="0.2">
      <c r="C173" s="34">
        <f>SOURCE!A163</f>
        <v>45916</v>
      </c>
      <c r="D173" s="11" t="str">
        <f>SOURCE!B163</f>
        <v>Expenses</v>
      </c>
      <c r="E173" s="11" t="str">
        <f>SOURCE!C163</f>
        <v>Restaurants</v>
      </c>
      <c r="F173" s="35">
        <f>SOURCE!E163</f>
        <v>13.3</v>
      </c>
      <c r="G173" s="36"/>
      <c r="H173" s="38" cm="1">
        <f t="array" ref="H173">SUMPRODUCT(Tracking[Amount],--(Tracking[Date]&lt;=Tracking[[#This Row],[Date]]),(Tracking[Type]&lt;&gt;"Income")*(-1)+(Tracking[Type]="Income"))</f>
        <v>962.2400000000024</v>
      </c>
      <c r="I173" s="42">
        <f>IF(AND(Tracking[[#This Row],[Type]]="Income", shift_late_income_status="Active", DAY(Tracking[[#This Row],[Date]])&gt;=shift_late_income_starting_date), DATE(YEAR(Tracking[[#This Row],[Date]]),MONTH(Tracking[[#This Row],[Date]])+1,1),Tracking[[#This Row],[Date]])</f>
        <v>45916</v>
      </c>
      <c r="J173" s="11">
        <f>MONTH(Tracking[[#This Row],[Date]])</f>
        <v>9</v>
      </c>
      <c r="K173" s="64">
        <f>YEAR(Tracking[[#This Row],[Date]])</f>
        <v>2025</v>
      </c>
    </row>
    <row r="174" spans="3:14" x14ac:dyDescent="0.2">
      <c r="C174" s="34">
        <f>SOURCE!A164</f>
        <v>45917</v>
      </c>
      <c r="D174" s="11" t="str">
        <f>SOURCE!B164</f>
        <v>Expenses</v>
      </c>
      <c r="E174" s="11" t="str">
        <f>SOURCE!C164</f>
        <v>Restaurants</v>
      </c>
      <c r="F174" s="35">
        <f>SOURCE!E164</f>
        <v>15.5</v>
      </c>
      <c r="G174" s="36"/>
      <c r="H174" s="38" cm="1">
        <f t="array" ref="H174">SUMPRODUCT(Tracking[Amount],--(Tracking[Date]&lt;=Tracking[[#This Row],[Date]]),(Tracking[Type]&lt;&gt;"Income")*(-1)+(Tracking[Type]="Income"))</f>
        <v>946.7400000000024</v>
      </c>
      <c r="I174" s="42">
        <f>IF(AND(Tracking[[#This Row],[Type]]="Income", shift_late_income_status="Active", DAY(Tracking[[#This Row],[Date]])&gt;=shift_late_income_starting_date), DATE(YEAR(Tracking[[#This Row],[Date]]),MONTH(Tracking[[#This Row],[Date]])+1,1),Tracking[[#This Row],[Date]])</f>
        <v>45917</v>
      </c>
      <c r="J174" s="11">
        <f>MONTH(Tracking[[#This Row],[Date]])</f>
        <v>9</v>
      </c>
      <c r="K174" s="64">
        <f>YEAR(Tracking[[#This Row],[Date]])</f>
        <v>2025</v>
      </c>
    </row>
    <row r="175" spans="3:14" x14ac:dyDescent="0.2">
      <c r="C175" s="34">
        <f>SOURCE!A165</f>
        <v>45918</v>
      </c>
      <c r="D175" s="11" t="str">
        <f>SOURCE!B165</f>
        <v>Expenses</v>
      </c>
      <c r="E175" s="11" t="str">
        <f>SOURCE!C165</f>
        <v>Train</v>
      </c>
      <c r="F175" s="35">
        <f>SOURCE!E165</f>
        <v>4.7</v>
      </c>
      <c r="G175" s="36"/>
      <c r="H175" s="38" cm="1">
        <f t="array" ref="H175">SUMPRODUCT(Tracking[Amount],--(Tracking[Date]&lt;=Tracking[[#This Row],[Date]]),(Tracking[Type]&lt;&gt;"Income")*(-1)+(Tracking[Type]="Income"))</f>
        <v>924.99000000000228</v>
      </c>
      <c r="I175" s="42">
        <f>IF(AND(Tracking[[#This Row],[Type]]="Income", shift_late_income_status="Active", DAY(Tracking[[#This Row],[Date]])&gt;=shift_late_income_starting_date), DATE(YEAR(Tracking[[#This Row],[Date]]),MONTH(Tracking[[#This Row],[Date]])+1,1),Tracking[[#This Row],[Date]])</f>
        <v>45918</v>
      </c>
      <c r="J175" s="11">
        <f>MONTH(Tracking[[#This Row],[Date]])</f>
        <v>9</v>
      </c>
      <c r="K175" s="64">
        <f>YEAR(Tracking[[#This Row],[Date]])</f>
        <v>2025</v>
      </c>
      <c r="N175" cm="1">
        <f t="array" ref="N175">SUMPRODUCT((YEAR(Tracking[Date]=E5))*(Tracking[Month]=8)*(Tracking[Type]="Income")*(Tracking[Amount]))</f>
        <v>15382305</v>
      </c>
    </row>
    <row r="176" spans="3:14" x14ac:dyDescent="0.2">
      <c r="C176" s="34">
        <f>SOURCE!A166</f>
        <v>45918</v>
      </c>
      <c r="D176" s="11" t="str">
        <f>SOURCE!B166</f>
        <v>Expenses</v>
      </c>
      <c r="E176" s="11" t="str">
        <f>SOURCE!C166</f>
        <v>Train</v>
      </c>
      <c r="F176" s="35">
        <f>SOURCE!E166</f>
        <v>4.7</v>
      </c>
      <c r="G176" s="36"/>
      <c r="H176" s="38" cm="1">
        <f t="array" ref="H176">SUMPRODUCT(Tracking[Amount],--(Tracking[Date]&lt;=Tracking[[#This Row],[Date]]),(Tracking[Type]&lt;&gt;"Income")*(-1)+(Tracking[Type]="Income"))</f>
        <v>924.99000000000228</v>
      </c>
      <c r="I176" s="42">
        <f>IF(AND(Tracking[[#This Row],[Type]]="Income", shift_late_income_status="Active", DAY(Tracking[[#This Row],[Date]])&gt;=shift_late_income_starting_date), DATE(YEAR(Tracking[[#This Row],[Date]]),MONTH(Tracking[[#This Row],[Date]])+1,1),Tracking[[#This Row],[Date]])</f>
        <v>45918</v>
      </c>
      <c r="J176" s="11">
        <f>MONTH(Tracking[[#This Row],[Date]])</f>
        <v>9</v>
      </c>
      <c r="K176" s="64">
        <f>YEAR(Tracking[[#This Row],[Date]])</f>
        <v>2025</v>
      </c>
    </row>
    <row r="177" spans="3:11" x14ac:dyDescent="0.2">
      <c r="C177" s="34">
        <f>SOURCE!A167</f>
        <v>45918</v>
      </c>
      <c r="D177" s="11" t="str">
        <f>SOURCE!B167</f>
        <v>Expenses</v>
      </c>
      <c r="E177" s="11" t="str">
        <f>SOURCE!C167</f>
        <v>Train</v>
      </c>
      <c r="F177" s="35">
        <f>SOURCE!E167</f>
        <v>4.7</v>
      </c>
      <c r="G177" s="36"/>
      <c r="H177" s="38" cm="1">
        <f t="array" ref="H177">SUMPRODUCT(Tracking[Amount],--(Tracking[Date]&lt;=Tracking[[#This Row],[Date]]),(Tracking[Type]&lt;&gt;"Income")*(-1)+(Tracking[Type]="Income"))</f>
        <v>924.99000000000228</v>
      </c>
      <c r="I177" s="42">
        <f>IF(AND(Tracking[[#This Row],[Type]]="Income", shift_late_income_status="Active", DAY(Tracking[[#This Row],[Date]])&gt;=shift_late_income_starting_date), DATE(YEAR(Tracking[[#This Row],[Date]]),MONTH(Tracking[[#This Row],[Date]])+1,1),Tracking[[#This Row],[Date]])</f>
        <v>45918</v>
      </c>
      <c r="J177" s="11">
        <f>MONTH(Tracking[[#This Row],[Date]])</f>
        <v>9</v>
      </c>
      <c r="K177" s="64">
        <f>YEAR(Tracking[[#This Row],[Date]])</f>
        <v>2025</v>
      </c>
    </row>
    <row r="178" spans="3:11" x14ac:dyDescent="0.2">
      <c r="C178" s="34">
        <f>SOURCE!A168</f>
        <v>45918</v>
      </c>
      <c r="D178" s="11" t="str">
        <f>SOURCE!B168</f>
        <v>Expenses</v>
      </c>
      <c r="E178" s="11" t="str">
        <f>SOURCE!C168</f>
        <v>Car</v>
      </c>
      <c r="F178" s="35">
        <f>SOURCE!E168</f>
        <v>2.85</v>
      </c>
      <c r="G178" s="36"/>
      <c r="H178" s="38" cm="1">
        <f t="array" ref="H178">SUMPRODUCT(Tracking[Amount],--(Tracking[Date]&lt;=Tracking[[#This Row],[Date]]),(Tracking[Type]&lt;&gt;"Income")*(-1)+(Tracking[Type]="Income"))</f>
        <v>924.99000000000228</v>
      </c>
      <c r="I178" s="42">
        <f>IF(AND(Tracking[[#This Row],[Type]]="Income", shift_late_income_status="Active", DAY(Tracking[[#This Row],[Date]])&gt;=shift_late_income_starting_date), DATE(YEAR(Tracking[[#This Row],[Date]]),MONTH(Tracking[[#This Row],[Date]])+1,1),Tracking[[#This Row],[Date]])</f>
        <v>45918</v>
      </c>
      <c r="J178" s="11">
        <f>MONTH(Tracking[[#This Row],[Date]])</f>
        <v>9</v>
      </c>
      <c r="K178" s="64">
        <f>YEAR(Tracking[[#This Row],[Date]])</f>
        <v>2025</v>
      </c>
    </row>
    <row r="179" spans="3:11" x14ac:dyDescent="0.2">
      <c r="C179" s="34">
        <f>SOURCE!A169</f>
        <v>45918</v>
      </c>
      <c r="D179" s="11" t="str">
        <f>SOURCE!B169</f>
        <v>Expenses</v>
      </c>
      <c r="E179" s="11" t="str">
        <f>SOURCE!C169</f>
        <v>Groceries</v>
      </c>
      <c r="F179" s="35">
        <f>SOURCE!E169</f>
        <v>4.8</v>
      </c>
      <c r="G179" s="36"/>
      <c r="H179" s="38" cm="1">
        <f t="array" ref="H179">SUMPRODUCT(Tracking[Amount],--(Tracking[Date]&lt;=Tracking[[#This Row],[Date]]),(Tracking[Type]&lt;&gt;"Income")*(-1)+(Tracking[Type]="Income"))</f>
        <v>924.99000000000228</v>
      </c>
      <c r="I179" s="42">
        <f>IF(AND(Tracking[[#This Row],[Type]]="Income", shift_late_income_status="Active", DAY(Tracking[[#This Row],[Date]])&gt;=shift_late_income_starting_date), DATE(YEAR(Tracking[[#This Row],[Date]]),MONTH(Tracking[[#This Row],[Date]])+1,1),Tracking[[#This Row],[Date]])</f>
        <v>45918</v>
      </c>
      <c r="J179" s="11">
        <f>MONTH(Tracking[[#This Row],[Date]])</f>
        <v>9</v>
      </c>
      <c r="K179" s="64">
        <f>YEAR(Tracking[[#This Row],[Date]])</f>
        <v>2025</v>
      </c>
    </row>
    <row r="180" spans="3:11" x14ac:dyDescent="0.2">
      <c r="C180" s="34">
        <f>SOURCE!A170</f>
        <v>45919</v>
      </c>
      <c r="D180" s="11" t="str">
        <f>SOURCE!B170</f>
        <v>Expenses</v>
      </c>
      <c r="E180" s="11" t="str">
        <f>SOURCE!C170</f>
        <v>Restaurants</v>
      </c>
      <c r="F180" s="35">
        <f>SOURCE!E170</f>
        <v>15.8</v>
      </c>
      <c r="G180" s="36"/>
      <c r="H180" s="38" cm="1">
        <f t="array" ref="H180">SUMPRODUCT(Tracking[Amount],--(Tracking[Date]&lt;=Tracking[[#This Row],[Date]]),(Tracking[Type]&lt;&gt;"Income")*(-1)+(Tracking[Type]="Income"))</f>
        <v>789.49000000000228</v>
      </c>
      <c r="I180" s="42">
        <f>IF(AND(Tracking[[#This Row],[Type]]="Income", shift_late_income_status="Active", DAY(Tracking[[#This Row],[Date]])&gt;=shift_late_income_starting_date), DATE(YEAR(Tracking[[#This Row],[Date]]),MONTH(Tracking[[#This Row],[Date]])+1,1),Tracking[[#This Row],[Date]])</f>
        <v>45919</v>
      </c>
      <c r="J180" s="11">
        <f>MONTH(Tracking[[#This Row],[Date]])</f>
        <v>9</v>
      </c>
      <c r="K180" s="64">
        <f>YEAR(Tracking[[#This Row],[Date]])</f>
        <v>2025</v>
      </c>
    </row>
    <row r="181" spans="3:11" x14ac:dyDescent="0.2">
      <c r="C181" s="34">
        <f>SOURCE!A171</f>
        <v>45919</v>
      </c>
      <c r="D181" s="11" t="str">
        <f>SOURCE!B171</f>
        <v>Expenses</v>
      </c>
      <c r="E181" s="11" t="str">
        <f>SOURCE!C171</f>
        <v>Restaurants</v>
      </c>
      <c r="F181" s="35">
        <f>SOURCE!E171</f>
        <v>40</v>
      </c>
      <c r="G181" s="36"/>
      <c r="H181" s="38" cm="1">
        <f t="array" ref="H181">SUMPRODUCT(Tracking[Amount],--(Tracking[Date]&lt;=Tracking[[#This Row],[Date]]),(Tracking[Type]&lt;&gt;"Income")*(-1)+(Tracking[Type]="Income"))</f>
        <v>789.49000000000228</v>
      </c>
      <c r="I181" s="42">
        <f>IF(AND(Tracking[[#This Row],[Type]]="Income", shift_late_income_status="Active", DAY(Tracking[[#This Row],[Date]])&gt;=shift_late_income_starting_date), DATE(YEAR(Tracking[[#This Row],[Date]]),MONTH(Tracking[[#This Row],[Date]])+1,1),Tracking[[#This Row],[Date]])</f>
        <v>45919</v>
      </c>
      <c r="J181" s="11">
        <f>MONTH(Tracking[[#This Row],[Date]])</f>
        <v>9</v>
      </c>
      <c r="K181" s="64">
        <f>YEAR(Tracking[[#This Row],[Date]])</f>
        <v>2025</v>
      </c>
    </row>
    <row r="182" spans="3:11" x14ac:dyDescent="0.2">
      <c r="C182" s="34">
        <f>SOURCE!A172</f>
        <v>45919</v>
      </c>
      <c r="D182" s="11" t="str">
        <f>SOURCE!B172</f>
        <v>Expenses</v>
      </c>
      <c r="E182" s="11" t="str">
        <f>SOURCE!C172</f>
        <v>Wellbeing</v>
      </c>
      <c r="F182" s="35">
        <f>SOURCE!E172</f>
        <v>40</v>
      </c>
      <c r="G182" s="36"/>
      <c r="H182" s="38" cm="1">
        <f t="array" ref="H182">SUMPRODUCT(Tracking[Amount],--(Tracking[Date]&lt;=Tracking[[#This Row],[Date]]),(Tracking[Type]&lt;&gt;"Income")*(-1)+(Tracking[Type]="Income"))</f>
        <v>789.49000000000228</v>
      </c>
      <c r="I182" s="42">
        <f>IF(AND(Tracking[[#This Row],[Type]]="Income", shift_late_income_status="Active", DAY(Tracking[[#This Row],[Date]])&gt;=shift_late_income_starting_date), DATE(YEAR(Tracking[[#This Row],[Date]]),MONTH(Tracking[[#This Row],[Date]])+1,1),Tracking[[#This Row],[Date]])</f>
        <v>45919</v>
      </c>
      <c r="J182" s="11">
        <f>MONTH(Tracking[[#This Row],[Date]])</f>
        <v>9</v>
      </c>
      <c r="K182" s="64">
        <f>YEAR(Tracking[[#This Row],[Date]])</f>
        <v>2025</v>
      </c>
    </row>
    <row r="183" spans="3:11" x14ac:dyDescent="0.2">
      <c r="C183" s="34">
        <f>SOURCE!A173</f>
        <v>45919</v>
      </c>
      <c r="D183" s="11" t="str">
        <f>SOURCE!B173</f>
        <v>Expenses</v>
      </c>
      <c r="E183" s="11" t="str">
        <f>SOURCE!C173</f>
        <v>Restaurants</v>
      </c>
      <c r="F183" s="35">
        <f>SOURCE!E173</f>
        <v>35</v>
      </c>
      <c r="G183" s="36"/>
      <c r="H183" s="38" cm="1">
        <f t="array" ref="H183">SUMPRODUCT(Tracking[Amount],--(Tracking[Date]&lt;=Tracking[[#This Row],[Date]]),(Tracking[Type]&lt;&gt;"Income")*(-1)+(Tracking[Type]="Income"))</f>
        <v>789.49000000000228</v>
      </c>
      <c r="I183" s="42">
        <f>IF(AND(Tracking[[#This Row],[Type]]="Income", shift_late_income_status="Active", DAY(Tracking[[#This Row],[Date]])&gt;=shift_late_income_starting_date), DATE(YEAR(Tracking[[#This Row],[Date]]),MONTH(Tracking[[#This Row],[Date]])+1,1),Tracking[[#This Row],[Date]])</f>
        <v>45919</v>
      </c>
      <c r="J183" s="11">
        <f>MONTH(Tracking[[#This Row],[Date]])</f>
        <v>9</v>
      </c>
      <c r="K183" s="64">
        <f>YEAR(Tracking[[#This Row],[Date]])</f>
        <v>2025</v>
      </c>
    </row>
    <row r="184" spans="3:11" x14ac:dyDescent="0.2">
      <c r="C184" s="34">
        <f>SOURCE!A174</f>
        <v>45919</v>
      </c>
      <c r="D184" s="11" t="str">
        <f>SOURCE!B174</f>
        <v>Expenses</v>
      </c>
      <c r="E184" s="11" t="str">
        <f>SOURCE!C174</f>
        <v>Train</v>
      </c>
      <c r="F184" s="35">
        <f>SOURCE!E174</f>
        <v>4.7</v>
      </c>
      <c r="G184" s="36"/>
      <c r="H184" s="38" cm="1">
        <f t="array" ref="H184">SUMPRODUCT(Tracking[Amount],--(Tracking[Date]&lt;=Tracking[[#This Row],[Date]]),(Tracking[Type]&lt;&gt;"Income")*(-1)+(Tracking[Type]="Income"))</f>
        <v>789.49000000000228</v>
      </c>
      <c r="I184" s="42">
        <f>IF(AND(Tracking[[#This Row],[Type]]="Income", shift_late_income_status="Active", DAY(Tracking[[#This Row],[Date]])&gt;=shift_late_income_starting_date), DATE(YEAR(Tracking[[#This Row],[Date]]),MONTH(Tracking[[#This Row],[Date]])+1,1),Tracking[[#This Row],[Date]])</f>
        <v>45919</v>
      </c>
      <c r="J184" s="11">
        <f>MONTH(Tracking[[#This Row],[Date]])</f>
        <v>9</v>
      </c>
      <c r="K184" s="64">
        <f>YEAR(Tracking[[#This Row],[Date]])</f>
        <v>2025</v>
      </c>
    </row>
    <row r="185" spans="3:11" x14ac:dyDescent="0.2">
      <c r="C185" s="34">
        <f>SOURCE!A175</f>
        <v>45920</v>
      </c>
      <c r="D185" s="11" t="str">
        <f>SOURCE!B175</f>
        <v>Expenses</v>
      </c>
      <c r="E185" s="11" t="str">
        <f>SOURCE!C175</f>
        <v>Restaurants</v>
      </c>
      <c r="F185" s="35">
        <f>SOURCE!E175</f>
        <v>26</v>
      </c>
      <c r="G185" s="36"/>
      <c r="H185" s="38" cm="1">
        <f t="array" ref="H185">SUMPRODUCT(Tracking[Amount],--(Tracking[Date]&lt;=Tracking[[#This Row],[Date]]),(Tracking[Type]&lt;&gt;"Income")*(-1)+(Tracking[Type]="Income"))</f>
        <v>711.14000000000226</v>
      </c>
      <c r="I185" s="42">
        <f>IF(AND(Tracking[[#This Row],[Type]]="Income", shift_late_income_status="Active", DAY(Tracking[[#This Row],[Date]])&gt;=shift_late_income_starting_date), DATE(YEAR(Tracking[[#This Row],[Date]]),MONTH(Tracking[[#This Row],[Date]])+1,1),Tracking[[#This Row],[Date]])</f>
        <v>45920</v>
      </c>
      <c r="J185" s="11">
        <f>MONTH(Tracking[[#This Row],[Date]])</f>
        <v>9</v>
      </c>
      <c r="K185" s="64">
        <f>YEAR(Tracking[[#This Row],[Date]])</f>
        <v>2025</v>
      </c>
    </row>
    <row r="186" spans="3:11" x14ac:dyDescent="0.2">
      <c r="C186" s="34">
        <f>SOURCE!A176</f>
        <v>45920</v>
      </c>
      <c r="D186" s="11" t="str">
        <f>SOURCE!B176</f>
        <v>Income</v>
      </c>
      <c r="E186" s="11" t="str">
        <f>SOURCE!C176</f>
        <v>Extras / Twint Chargeback</v>
      </c>
      <c r="F186" s="35">
        <f>SOURCE!E176</f>
        <v>38</v>
      </c>
      <c r="G186" s="36"/>
      <c r="H186" s="38" cm="1">
        <f t="array" ref="H186">SUMPRODUCT(Tracking[Amount],--(Tracking[Date]&lt;=Tracking[[#This Row],[Date]]),(Tracking[Type]&lt;&gt;"Income")*(-1)+(Tracking[Type]="Income"))</f>
        <v>711.14000000000226</v>
      </c>
      <c r="I186" s="42">
        <f>IF(AND(Tracking[[#This Row],[Type]]="Income", shift_late_income_status="Active", DAY(Tracking[[#This Row],[Date]])&gt;=shift_late_income_starting_date), DATE(YEAR(Tracking[[#This Row],[Date]]),MONTH(Tracking[[#This Row],[Date]])+1,1),Tracking[[#This Row],[Date]])</f>
        <v>45920</v>
      </c>
      <c r="J186" s="11">
        <f>MONTH(Tracking[[#This Row],[Date]])</f>
        <v>9</v>
      </c>
      <c r="K186" s="64">
        <f>YEAR(Tracking[[#This Row],[Date]])</f>
        <v>2025</v>
      </c>
    </row>
    <row r="187" spans="3:11" x14ac:dyDescent="0.2">
      <c r="C187" s="34">
        <f>SOURCE!A177</f>
        <v>45920</v>
      </c>
      <c r="D187" s="11" t="str">
        <f>SOURCE!B177</f>
        <v>Expenses</v>
      </c>
      <c r="E187" s="11" t="str">
        <f>SOURCE!C177</f>
        <v>Restaurants</v>
      </c>
      <c r="F187" s="35">
        <f>SOURCE!E177</f>
        <v>13.5</v>
      </c>
      <c r="G187" s="36"/>
      <c r="H187" s="38" cm="1">
        <f t="array" ref="H187">SUMPRODUCT(Tracking[Amount],--(Tracking[Date]&lt;=Tracking[[#This Row],[Date]]),(Tracking[Type]&lt;&gt;"Income")*(-1)+(Tracking[Type]="Income"))</f>
        <v>711.14000000000226</v>
      </c>
      <c r="I187" s="42">
        <f>IF(AND(Tracking[[#This Row],[Type]]="Income", shift_late_income_status="Active", DAY(Tracking[[#This Row],[Date]])&gt;=shift_late_income_starting_date), DATE(YEAR(Tracking[[#This Row],[Date]]),MONTH(Tracking[[#This Row],[Date]])+1,1),Tracking[[#This Row],[Date]])</f>
        <v>45920</v>
      </c>
      <c r="J187" s="11">
        <f>MONTH(Tracking[[#This Row],[Date]])</f>
        <v>9</v>
      </c>
      <c r="K187" s="64">
        <f>YEAR(Tracking[[#This Row],[Date]])</f>
        <v>2025</v>
      </c>
    </row>
    <row r="188" spans="3:11" x14ac:dyDescent="0.2">
      <c r="C188" s="34">
        <f>SOURCE!A178</f>
        <v>45920</v>
      </c>
      <c r="D188" s="11" t="str">
        <f>SOURCE!B178</f>
        <v>Expenses</v>
      </c>
      <c r="E188" s="11" t="str">
        <f>SOURCE!C178</f>
        <v>Groceries</v>
      </c>
      <c r="F188" s="35">
        <f>SOURCE!E178</f>
        <v>76.849999999999994</v>
      </c>
      <c r="G188" s="36"/>
      <c r="H188" s="38" cm="1">
        <f t="array" ref="H188">SUMPRODUCT(Tracking[Amount],--(Tracking[Date]&lt;=Tracking[[#This Row],[Date]]),(Tracking[Type]&lt;&gt;"Income")*(-1)+(Tracking[Type]="Income"))</f>
        <v>711.14000000000226</v>
      </c>
      <c r="I188" s="42">
        <f>IF(AND(Tracking[[#This Row],[Type]]="Income", shift_late_income_status="Active", DAY(Tracking[[#This Row],[Date]])&gt;=shift_late_income_starting_date), DATE(YEAR(Tracking[[#This Row],[Date]]),MONTH(Tracking[[#This Row],[Date]])+1,1),Tracking[[#This Row],[Date]])</f>
        <v>45920</v>
      </c>
      <c r="J188" s="11">
        <f>MONTH(Tracking[[#This Row],[Date]])</f>
        <v>9</v>
      </c>
      <c r="K188" s="64">
        <f>YEAR(Tracking[[#This Row],[Date]])</f>
        <v>2025</v>
      </c>
    </row>
    <row r="189" spans="3:11" x14ac:dyDescent="0.2">
      <c r="C189" s="34">
        <f>SOURCE!A179</f>
        <v>45921</v>
      </c>
      <c r="D189" s="11" t="str">
        <f>SOURCE!B179</f>
        <v>Expenses</v>
      </c>
      <c r="E189" s="11" t="str">
        <f>SOURCE!C179</f>
        <v>Digital Goods</v>
      </c>
      <c r="F189" s="35">
        <f>SOURCE!E179</f>
        <v>12.41</v>
      </c>
      <c r="G189" s="36"/>
      <c r="H189" s="38" cm="1">
        <f t="array" ref="H189">SUMPRODUCT(Tracking[Amount],--(Tracking[Date]&lt;=Tracking[[#This Row],[Date]]),(Tracking[Type]&lt;&gt;"Income")*(-1)+(Tracking[Type]="Income"))</f>
        <v>672.23000000000229</v>
      </c>
      <c r="I189" s="42">
        <f>IF(AND(Tracking[[#This Row],[Type]]="Income", shift_late_income_status="Active", DAY(Tracking[[#This Row],[Date]])&gt;=shift_late_income_starting_date), DATE(YEAR(Tracking[[#This Row],[Date]]),MONTH(Tracking[[#This Row],[Date]])+1,1),Tracking[[#This Row],[Date]])</f>
        <v>45921</v>
      </c>
      <c r="J189" s="11">
        <f>MONTH(Tracking[[#This Row],[Date]])</f>
        <v>9</v>
      </c>
      <c r="K189" s="64">
        <f>YEAR(Tracking[[#This Row],[Date]])</f>
        <v>2025</v>
      </c>
    </row>
    <row r="190" spans="3:11" x14ac:dyDescent="0.2">
      <c r="C190" s="34">
        <f>SOURCE!A180</f>
        <v>45921</v>
      </c>
      <c r="D190" s="11" t="str">
        <f>SOURCE!B180</f>
        <v>Expenses</v>
      </c>
      <c r="E190" s="11" t="str">
        <f>SOURCE!C180</f>
        <v>Restaurants</v>
      </c>
      <c r="F190" s="35">
        <f>SOURCE!E180</f>
        <v>26.5</v>
      </c>
      <c r="G190" s="36"/>
      <c r="H190" s="38" cm="1">
        <f t="array" ref="H190">SUMPRODUCT(Tracking[Amount],--(Tracking[Date]&lt;=Tracking[[#This Row],[Date]]),(Tracking[Type]&lt;&gt;"Income")*(-1)+(Tracking[Type]="Income"))</f>
        <v>672.23000000000229</v>
      </c>
      <c r="I190" s="42">
        <f>IF(AND(Tracking[[#This Row],[Type]]="Income", shift_late_income_status="Active", DAY(Tracking[[#This Row],[Date]])&gt;=shift_late_income_starting_date), DATE(YEAR(Tracking[[#This Row],[Date]]),MONTH(Tracking[[#This Row],[Date]])+1,1),Tracking[[#This Row],[Date]])</f>
        <v>45921</v>
      </c>
      <c r="J190" s="11">
        <f>MONTH(Tracking[[#This Row],[Date]])</f>
        <v>9</v>
      </c>
      <c r="K190" s="64">
        <f>YEAR(Tracking[[#This Row],[Date]])</f>
        <v>2025</v>
      </c>
    </row>
    <row r="191" spans="3:11" x14ac:dyDescent="0.2">
      <c r="C191" s="34">
        <f>SOURCE!A181</f>
        <v>45922</v>
      </c>
      <c r="D191" s="11" t="str">
        <f>SOURCE!B181</f>
        <v>Expenses</v>
      </c>
      <c r="E191" s="11" t="str">
        <f>SOURCE!C181</f>
        <v>Wellbeing</v>
      </c>
      <c r="F191" s="35">
        <f>SOURCE!E181</f>
        <v>79.7</v>
      </c>
      <c r="G191" s="36"/>
      <c r="H191" s="38" cm="1">
        <f t="array" ref="H191">SUMPRODUCT(Tracking[Amount],--(Tracking[Date]&lt;=Tracking[[#This Row],[Date]]),(Tracking[Type]&lt;&gt;"Income")*(-1)+(Tracking[Type]="Income"))</f>
        <v>1470.9300000000021</v>
      </c>
      <c r="I191" s="42">
        <f>IF(AND(Tracking[[#This Row],[Type]]="Income", shift_late_income_status="Active", DAY(Tracking[[#This Row],[Date]])&gt;=shift_late_income_starting_date), DATE(YEAR(Tracking[[#This Row],[Date]]),MONTH(Tracking[[#This Row],[Date]])+1,1),Tracking[[#This Row],[Date]])</f>
        <v>45922</v>
      </c>
      <c r="J191" s="11">
        <f>MONTH(Tracking[[#This Row],[Date]])</f>
        <v>9</v>
      </c>
      <c r="K191" s="64">
        <f>YEAR(Tracking[[#This Row],[Date]])</f>
        <v>2025</v>
      </c>
    </row>
    <row r="192" spans="3:11" x14ac:dyDescent="0.2">
      <c r="C192" s="34">
        <f>SOURCE!A182</f>
        <v>45922</v>
      </c>
      <c r="D192" s="11" t="str">
        <f>SOURCE!B182</f>
        <v>Expenses</v>
      </c>
      <c r="E192" s="11" t="str">
        <f>SOURCE!C182</f>
        <v>Groceries</v>
      </c>
      <c r="F192" s="35">
        <f>SOURCE!E182</f>
        <v>5.6</v>
      </c>
      <c r="G192" s="36"/>
      <c r="H192" s="38" cm="1">
        <f t="array" ref="H192">SUMPRODUCT(Tracking[Amount],--(Tracking[Date]&lt;=Tracking[[#This Row],[Date]]),(Tracking[Type]&lt;&gt;"Income")*(-1)+(Tracking[Type]="Income"))</f>
        <v>1470.9300000000021</v>
      </c>
      <c r="I192" s="42">
        <f>IF(AND(Tracking[[#This Row],[Type]]="Income", shift_late_income_status="Active", DAY(Tracking[[#This Row],[Date]])&gt;=shift_late_income_starting_date), DATE(YEAR(Tracking[[#This Row],[Date]]),MONTH(Tracking[[#This Row],[Date]])+1,1),Tracking[[#This Row],[Date]])</f>
        <v>45922</v>
      </c>
      <c r="J192" s="11">
        <f>MONTH(Tracking[[#This Row],[Date]])</f>
        <v>9</v>
      </c>
      <c r="K192" s="64">
        <f>YEAR(Tracking[[#This Row],[Date]])</f>
        <v>2025</v>
      </c>
    </row>
    <row r="193" spans="3:11" x14ac:dyDescent="0.2">
      <c r="C193" s="34">
        <f>SOURCE!A183</f>
        <v>45922</v>
      </c>
      <c r="D193" s="11" t="str">
        <f>SOURCE!B183</f>
        <v>Expenses</v>
      </c>
      <c r="E193" s="11" t="str">
        <f>SOURCE!C183</f>
        <v>Home Utils</v>
      </c>
      <c r="F193" s="35">
        <f>SOURCE!E183</f>
        <v>61.1</v>
      </c>
      <c r="G193" s="36"/>
      <c r="H193" s="38" cm="1">
        <f t="array" ref="H193">SUMPRODUCT(Tracking[Amount],--(Tracking[Date]&lt;=Tracking[[#This Row],[Date]]),(Tracking[Type]&lt;&gt;"Income")*(-1)+(Tracking[Type]="Income"))</f>
        <v>1470.9300000000021</v>
      </c>
      <c r="I193" s="42">
        <f>IF(AND(Tracking[[#This Row],[Type]]="Income", shift_late_income_status="Active", DAY(Tracking[[#This Row],[Date]])&gt;=shift_late_income_starting_date), DATE(YEAR(Tracking[[#This Row],[Date]]),MONTH(Tracking[[#This Row],[Date]])+1,1),Tracking[[#This Row],[Date]])</f>
        <v>45922</v>
      </c>
      <c r="J193" s="11">
        <f>MONTH(Tracking[[#This Row],[Date]])</f>
        <v>9</v>
      </c>
      <c r="K193" s="64">
        <f>YEAR(Tracking[[#This Row],[Date]])</f>
        <v>2025</v>
      </c>
    </row>
    <row r="194" spans="3:11" x14ac:dyDescent="0.2">
      <c r="C194" s="34">
        <f>SOURCE!A184</f>
        <v>45922</v>
      </c>
      <c r="D194" s="11" t="str">
        <f>SOURCE!B184</f>
        <v>Income</v>
      </c>
      <c r="E194" s="11" t="str">
        <f>SOURCE!C184</f>
        <v>Side Hustle</v>
      </c>
      <c r="F194" s="35">
        <f>SOURCE!E184</f>
        <v>956</v>
      </c>
      <c r="G194" s="36"/>
      <c r="H194" s="38" cm="1">
        <f t="array" ref="H194">SUMPRODUCT(Tracking[Amount],--(Tracking[Date]&lt;=Tracking[[#This Row],[Date]]),(Tracking[Type]&lt;&gt;"Income")*(-1)+(Tracking[Type]="Income"))</f>
        <v>1470.9300000000021</v>
      </c>
      <c r="I194" s="42">
        <f>IF(AND(Tracking[[#This Row],[Type]]="Income", shift_late_income_status="Active", DAY(Tracking[[#This Row],[Date]])&gt;=shift_late_income_starting_date), DATE(YEAR(Tracking[[#This Row],[Date]]),MONTH(Tracking[[#This Row],[Date]])+1,1),Tracking[[#This Row],[Date]])</f>
        <v>45922</v>
      </c>
      <c r="J194" s="11">
        <f>MONTH(Tracking[[#This Row],[Date]])</f>
        <v>9</v>
      </c>
      <c r="K194" s="64">
        <f>YEAR(Tracking[[#This Row],[Date]])</f>
        <v>2025</v>
      </c>
    </row>
    <row r="195" spans="3:11" x14ac:dyDescent="0.2">
      <c r="C195" s="34">
        <f>SOURCE!A185</f>
        <v>45922</v>
      </c>
      <c r="D195" s="11" t="str">
        <f>SOURCE!B185</f>
        <v>Expenses</v>
      </c>
      <c r="E195" s="11" t="str">
        <f>SOURCE!C185</f>
        <v>Sport</v>
      </c>
      <c r="F195" s="35">
        <f>SOURCE!E185</f>
        <v>10.9</v>
      </c>
      <c r="G195" s="36"/>
      <c r="H195" s="38" cm="1">
        <f t="array" ref="H195">SUMPRODUCT(Tracking[Amount],--(Tracking[Date]&lt;=Tracking[[#This Row],[Date]]),(Tracking[Type]&lt;&gt;"Income")*(-1)+(Tracking[Type]="Income"))</f>
        <v>1470.9300000000021</v>
      </c>
      <c r="I195" s="42">
        <f>IF(AND(Tracking[[#This Row],[Type]]="Income", shift_late_income_status="Active", DAY(Tracking[[#This Row],[Date]])&gt;=shift_late_income_starting_date), DATE(YEAR(Tracking[[#This Row],[Date]]),MONTH(Tracking[[#This Row],[Date]])+1,1),Tracking[[#This Row],[Date]])</f>
        <v>45922</v>
      </c>
      <c r="J195" s="11">
        <f>MONTH(Tracking[[#This Row],[Date]])</f>
        <v>9</v>
      </c>
      <c r="K195" s="64">
        <f>YEAR(Tracking[[#This Row],[Date]])</f>
        <v>2025</v>
      </c>
    </row>
    <row r="196" spans="3:11" x14ac:dyDescent="0.2">
      <c r="C196" s="34">
        <f>SOURCE!A186</f>
        <v>45923</v>
      </c>
      <c r="D196" s="11" t="str">
        <f>SOURCE!B186</f>
        <v>Expenses</v>
      </c>
      <c r="E196" s="11" t="str">
        <f>SOURCE!C186</f>
        <v>Train</v>
      </c>
      <c r="F196" s="35">
        <f>SOURCE!E186</f>
        <v>4.7</v>
      </c>
      <c r="G196" s="36"/>
      <c r="H196" s="38" cm="1">
        <f t="array" ref="H196">SUMPRODUCT(Tracking[Amount],--(Tracking[Date]&lt;=Tracking[[#This Row],[Date]]),(Tracking[Type]&lt;&gt;"Income")*(-1)+(Tracking[Type]="Income"))</f>
        <v>1461.530000000002</v>
      </c>
      <c r="I196" s="42">
        <f>IF(AND(Tracking[[#This Row],[Type]]="Income", shift_late_income_status="Active", DAY(Tracking[[#This Row],[Date]])&gt;=shift_late_income_starting_date), DATE(YEAR(Tracking[[#This Row],[Date]]),MONTH(Tracking[[#This Row],[Date]])+1,1),Tracking[[#This Row],[Date]])</f>
        <v>45923</v>
      </c>
      <c r="J196" s="11">
        <f>MONTH(Tracking[[#This Row],[Date]])</f>
        <v>9</v>
      </c>
      <c r="K196" s="64">
        <f>YEAR(Tracking[[#This Row],[Date]])</f>
        <v>2025</v>
      </c>
    </row>
    <row r="197" spans="3:11" x14ac:dyDescent="0.2">
      <c r="C197" s="34">
        <f>SOURCE!A187</f>
        <v>45923</v>
      </c>
      <c r="D197" s="11" t="str">
        <f>SOURCE!B187</f>
        <v>Expenses</v>
      </c>
      <c r="E197" s="11" t="str">
        <f>SOURCE!C187</f>
        <v>Train</v>
      </c>
      <c r="F197" s="35">
        <f>SOURCE!E187</f>
        <v>4.7</v>
      </c>
      <c r="G197" s="36"/>
      <c r="H197" s="38" cm="1">
        <f t="array" ref="H197">SUMPRODUCT(Tracking[Amount],--(Tracking[Date]&lt;=Tracking[[#This Row],[Date]]),(Tracking[Type]&lt;&gt;"Income")*(-1)+(Tracking[Type]="Income"))</f>
        <v>1461.530000000002</v>
      </c>
      <c r="I197" s="42">
        <f>IF(AND(Tracking[[#This Row],[Type]]="Income", shift_late_income_status="Active", DAY(Tracking[[#This Row],[Date]])&gt;=shift_late_income_starting_date), DATE(YEAR(Tracking[[#This Row],[Date]]),MONTH(Tracking[[#This Row],[Date]])+1,1),Tracking[[#This Row],[Date]])</f>
        <v>45923</v>
      </c>
      <c r="J197" s="11">
        <f>MONTH(Tracking[[#This Row],[Date]])</f>
        <v>9</v>
      </c>
      <c r="K197" s="64">
        <f>YEAR(Tracking[[#This Row],[Date]])</f>
        <v>2025</v>
      </c>
    </row>
    <row r="198" spans="3:11" x14ac:dyDescent="0.2">
      <c r="C198" s="34">
        <f>SOURCE!A188</f>
        <v>45924</v>
      </c>
      <c r="D198" s="11" t="str">
        <f>SOURCE!B188</f>
        <v>Expenses</v>
      </c>
      <c r="E198" s="11" t="str">
        <f>SOURCE!C188</f>
        <v>Groceries</v>
      </c>
      <c r="F198" s="35">
        <f>SOURCE!E188</f>
        <v>2.7</v>
      </c>
      <c r="G198" s="36"/>
      <c r="H198" s="38" cm="1">
        <f t="array" ref="H198">SUMPRODUCT(Tracking[Amount],--(Tracking[Date]&lt;=Tracking[[#This Row],[Date]]),(Tracking[Type]&lt;&gt;"Income")*(-1)+(Tracking[Type]="Income"))</f>
        <v>1458.830000000002</v>
      </c>
      <c r="I198" s="42">
        <f>IF(AND(Tracking[[#This Row],[Type]]="Income", shift_late_income_status="Active", DAY(Tracking[[#This Row],[Date]])&gt;=shift_late_income_starting_date), DATE(YEAR(Tracking[[#This Row],[Date]]),MONTH(Tracking[[#This Row],[Date]])+1,1),Tracking[[#This Row],[Date]])</f>
        <v>45924</v>
      </c>
      <c r="J198" s="11">
        <f>MONTH(Tracking[[#This Row],[Date]])</f>
        <v>9</v>
      </c>
      <c r="K198" s="64">
        <f>YEAR(Tracking[[#This Row],[Date]])</f>
        <v>2025</v>
      </c>
    </row>
    <row r="199" spans="3:11" x14ac:dyDescent="0.2">
      <c r="C199" s="34">
        <f>SOURCE!A189</f>
        <v>45925</v>
      </c>
      <c r="D199" s="11" t="str">
        <f>SOURCE!B189</f>
        <v>Expenses</v>
      </c>
      <c r="E199" s="11" t="str">
        <f>SOURCE!C189</f>
        <v>Housing</v>
      </c>
      <c r="F199" s="35">
        <f>SOURCE!E189</f>
        <v>1912</v>
      </c>
      <c r="G199" s="36"/>
      <c r="H199" s="38" cm="1">
        <f t="array" ref="H199">SUMPRODUCT(Tracking[Amount],--(Tracking[Date]&lt;=Tracking[[#This Row],[Date]]),(Tracking[Type]&lt;&gt;"Income")*(-1)+(Tracking[Type]="Income"))</f>
        <v>7679.5300000000025</v>
      </c>
      <c r="I199" s="42">
        <f>IF(AND(Tracking[[#This Row],[Type]]="Income", shift_late_income_status="Active", DAY(Tracking[[#This Row],[Date]])&gt;=shift_late_income_starting_date), DATE(YEAR(Tracking[[#This Row],[Date]]),MONTH(Tracking[[#This Row],[Date]])+1,1),Tracking[[#This Row],[Date]])</f>
        <v>45925</v>
      </c>
      <c r="J199" s="11">
        <f>MONTH(Tracking[[#This Row],[Date]])</f>
        <v>9</v>
      </c>
      <c r="K199" s="64">
        <f>YEAR(Tracking[[#This Row],[Date]])</f>
        <v>2025</v>
      </c>
    </row>
    <row r="200" spans="3:11" x14ac:dyDescent="0.2">
      <c r="C200" s="34">
        <f>SOURCE!A190</f>
        <v>45925</v>
      </c>
      <c r="D200" s="11" t="str">
        <f>SOURCE!B190</f>
        <v>Income</v>
      </c>
      <c r="E200" s="11" t="str">
        <f>SOURCE!C190</f>
        <v>Employment</v>
      </c>
      <c r="F200" s="35">
        <f>SOURCE!E190</f>
        <v>8204.85</v>
      </c>
      <c r="G200" s="36"/>
      <c r="H200" s="38" cm="1">
        <f t="array" ref="H200">SUMPRODUCT(Tracking[Amount],--(Tracking[Date]&lt;=Tracking[[#This Row],[Date]]),(Tracking[Type]&lt;&gt;"Income")*(-1)+(Tracking[Type]="Income"))</f>
        <v>7679.5300000000025</v>
      </c>
      <c r="I200" s="42">
        <f>IF(AND(Tracking[[#This Row],[Type]]="Income", shift_late_income_status="Active", DAY(Tracking[[#This Row],[Date]])&gt;=shift_late_income_starting_date), DATE(YEAR(Tracking[[#This Row],[Date]]),MONTH(Tracking[[#This Row],[Date]])+1,1),Tracking[[#This Row],[Date]])</f>
        <v>45925</v>
      </c>
      <c r="J200" s="11">
        <f>MONTH(Tracking[[#This Row],[Date]])</f>
        <v>9</v>
      </c>
      <c r="K200" s="64">
        <f>YEAR(Tracking[[#This Row],[Date]])</f>
        <v>2025</v>
      </c>
    </row>
    <row r="201" spans="3:11" x14ac:dyDescent="0.2">
      <c r="C201" s="34">
        <f>SOURCE!A191</f>
        <v>45925</v>
      </c>
      <c r="D201" s="11" t="str">
        <f>SOURCE!B191</f>
        <v>Expenses</v>
      </c>
      <c r="E201" s="11" t="str">
        <f>SOURCE!C191</f>
        <v>Restaurants</v>
      </c>
      <c r="F201" s="35">
        <f>SOURCE!E191</f>
        <v>44.5</v>
      </c>
      <c r="G201" s="36"/>
      <c r="H201" s="38" cm="1">
        <f t="array" ref="H201">SUMPRODUCT(Tracking[Amount],--(Tracking[Date]&lt;=Tracking[[#This Row],[Date]]),(Tracking[Type]&lt;&gt;"Income")*(-1)+(Tracking[Type]="Income"))</f>
        <v>7679.5300000000025</v>
      </c>
      <c r="I201" s="42">
        <f>IF(AND(Tracking[[#This Row],[Type]]="Income", shift_late_income_status="Active", DAY(Tracking[[#This Row],[Date]])&gt;=shift_late_income_starting_date), DATE(YEAR(Tracking[[#This Row],[Date]]),MONTH(Tracking[[#This Row],[Date]])+1,1),Tracking[[#This Row],[Date]])</f>
        <v>45925</v>
      </c>
      <c r="J201" s="11">
        <f>MONTH(Tracking[[#This Row],[Date]])</f>
        <v>9</v>
      </c>
      <c r="K201" s="64">
        <f>YEAR(Tracking[[#This Row],[Date]])</f>
        <v>2025</v>
      </c>
    </row>
    <row r="202" spans="3:11" x14ac:dyDescent="0.2">
      <c r="C202" s="34">
        <f>SOURCE!A192</f>
        <v>45925</v>
      </c>
      <c r="D202" s="11" t="str">
        <f>SOURCE!B192</f>
        <v>Expenses</v>
      </c>
      <c r="E202" s="11" t="str">
        <f>SOURCE!C192</f>
        <v>Restaurants</v>
      </c>
      <c r="F202" s="35">
        <f>SOURCE!E192</f>
        <v>14</v>
      </c>
      <c r="G202" s="36"/>
      <c r="H202" s="38" cm="1">
        <f t="array" ref="H202">SUMPRODUCT(Tracking[Amount],--(Tracking[Date]&lt;=Tracking[[#This Row],[Date]]),(Tracking[Type]&lt;&gt;"Income")*(-1)+(Tracking[Type]="Income"))</f>
        <v>7679.5300000000025</v>
      </c>
      <c r="I202" s="42">
        <f>IF(AND(Tracking[[#This Row],[Type]]="Income", shift_late_income_status="Active", DAY(Tracking[[#This Row],[Date]])&gt;=shift_late_income_starting_date), DATE(YEAR(Tracking[[#This Row],[Date]]),MONTH(Tracking[[#This Row],[Date]])+1,1),Tracking[[#This Row],[Date]])</f>
        <v>45925</v>
      </c>
      <c r="J202" s="11">
        <f>MONTH(Tracking[[#This Row],[Date]])</f>
        <v>9</v>
      </c>
      <c r="K202" s="64">
        <f>YEAR(Tracking[[#This Row],[Date]])</f>
        <v>2025</v>
      </c>
    </row>
    <row r="203" spans="3:11" x14ac:dyDescent="0.2">
      <c r="C203" s="34">
        <f>SOURCE!A193</f>
        <v>45925</v>
      </c>
      <c r="D203" s="11" t="str">
        <f>SOURCE!B193</f>
        <v>Expenses</v>
      </c>
      <c r="E203" s="11" t="str">
        <f>SOURCE!C193</f>
        <v>Groceries</v>
      </c>
      <c r="F203" s="35">
        <f>SOURCE!E193</f>
        <v>11.45</v>
      </c>
      <c r="G203" s="36"/>
      <c r="H203" s="38" cm="1">
        <f t="array" ref="H203">SUMPRODUCT(Tracking[Amount],--(Tracking[Date]&lt;=Tracking[[#This Row],[Date]]),(Tracking[Type]&lt;&gt;"Income")*(-1)+(Tracking[Type]="Income"))</f>
        <v>7679.5300000000025</v>
      </c>
      <c r="I203" s="42">
        <f>IF(AND(Tracking[[#This Row],[Type]]="Income", shift_late_income_status="Active", DAY(Tracking[[#This Row],[Date]])&gt;=shift_late_income_starting_date), DATE(YEAR(Tracking[[#This Row],[Date]]),MONTH(Tracking[[#This Row],[Date]])+1,1),Tracking[[#This Row],[Date]])</f>
        <v>45925</v>
      </c>
      <c r="J203" s="11">
        <f>MONTH(Tracking[[#This Row],[Date]])</f>
        <v>9</v>
      </c>
      <c r="K203" s="64">
        <f>YEAR(Tracking[[#This Row],[Date]])</f>
        <v>2025</v>
      </c>
    </row>
    <row r="204" spans="3:11" x14ac:dyDescent="0.2">
      <c r="C204" s="34">
        <f>SOURCE!A194</f>
        <v>45925</v>
      </c>
      <c r="D204" s="11" t="str">
        <f>SOURCE!B194</f>
        <v>Expenses</v>
      </c>
      <c r="E204" s="11" t="str">
        <f>SOURCE!C194</f>
        <v>Groceries</v>
      </c>
      <c r="F204" s="35">
        <f>SOURCE!E194</f>
        <v>2.2000000000000002</v>
      </c>
      <c r="G204" s="36"/>
      <c r="H204" s="38" cm="1">
        <f t="array" ref="H204">SUMPRODUCT(Tracking[Amount],--(Tracking[Date]&lt;=Tracking[[#This Row],[Date]]),(Tracking[Type]&lt;&gt;"Income")*(-1)+(Tracking[Type]="Income"))</f>
        <v>7679.5300000000025</v>
      </c>
      <c r="I204" s="42">
        <f>IF(AND(Tracking[[#This Row],[Type]]="Income", shift_late_income_status="Active", DAY(Tracking[[#This Row],[Date]])&gt;=shift_late_income_starting_date), DATE(YEAR(Tracking[[#This Row],[Date]]),MONTH(Tracking[[#This Row],[Date]])+1,1),Tracking[[#This Row],[Date]])</f>
        <v>45925</v>
      </c>
      <c r="J204" s="11">
        <f>MONTH(Tracking[[#This Row],[Date]])</f>
        <v>9</v>
      </c>
      <c r="K204" s="64">
        <f>YEAR(Tracking[[#This Row],[Date]])</f>
        <v>2025</v>
      </c>
    </row>
    <row r="205" spans="3:11" x14ac:dyDescent="0.2">
      <c r="C205" s="34">
        <f>SOURCE!A195</f>
        <v>45926</v>
      </c>
      <c r="D205" s="11" t="str">
        <f>SOURCE!B195</f>
        <v>Expenses</v>
      </c>
      <c r="E205" s="11" t="str">
        <f>SOURCE!C195</f>
        <v>Debt</v>
      </c>
      <c r="F205" s="35">
        <f>SOURCE!E195</f>
        <v>371.95</v>
      </c>
      <c r="G205" s="36"/>
      <c r="H205" s="38" cm="1">
        <f t="array" ref="H205">SUMPRODUCT(Tracking[Amount],--(Tracking[Date]&lt;=Tracking[[#This Row],[Date]]),(Tracking[Type]&lt;&gt;"Income")*(-1)+(Tracking[Type]="Income"))</f>
        <v>7997.2800000000025</v>
      </c>
      <c r="I205" s="42">
        <f>IF(AND(Tracking[[#This Row],[Type]]="Income", shift_late_income_status="Active", DAY(Tracking[[#This Row],[Date]])&gt;=shift_late_income_starting_date), DATE(YEAR(Tracking[[#This Row],[Date]]),MONTH(Tracking[[#This Row],[Date]])+1,1),Tracking[[#This Row],[Date]])</f>
        <v>45926</v>
      </c>
      <c r="J205" s="11">
        <f>MONTH(Tracking[[#This Row],[Date]])</f>
        <v>9</v>
      </c>
      <c r="K205" s="64">
        <f>YEAR(Tracking[[#This Row],[Date]])</f>
        <v>2025</v>
      </c>
    </row>
    <row r="206" spans="3:11" x14ac:dyDescent="0.2">
      <c r="C206" s="34">
        <f>SOURCE!A196</f>
        <v>45926</v>
      </c>
      <c r="D206" s="11" t="str">
        <f>SOURCE!B196</f>
        <v>Expenses</v>
      </c>
      <c r="E206" s="11" t="str">
        <f>SOURCE!C196</f>
        <v>Groceries</v>
      </c>
      <c r="F206" s="35">
        <f>SOURCE!E196</f>
        <v>9.5</v>
      </c>
      <c r="G206" s="36"/>
      <c r="H206" s="38" cm="1">
        <f t="array" ref="H206">SUMPRODUCT(Tracking[Amount],--(Tracking[Date]&lt;=Tracking[[#This Row],[Date]]),(Tracking[Type]&lt;&gt;"Income")*(-1)+(Tracking[Type]="Income"))</f>
        <v>7997.2800000000025</v>
      </c>
      <c r="I206" s="42">
        <f>IF(AND(Tracking[[#This Row],[Type]]="Income", shift_late_income_status="Active", DAY(Tracking[[#This Row],[Date]])&gt;=shift_late_income_starting_date), DATE(YEAR(Tracking[[#This Row],[Date]]),MONTH(Tracking[[#This Row],[Date]])+1,1),Tracking[[#This Row],[Date]])</f>
        <v>45926</v>
      </c>
      <c r="J206" s="11">
        <f>MONTH(Tracking[[#This Row],[Date]])</f>
        <v>9</v>
      </c>
      <c r="K206" s="64">
        <f>YEAR(Tracking[[#This Row],[Date]])</f>
        <v>2025</v>
      </c>
    </row>
    <row r="207" spans="3:11" x14ac:dyDescent="0.2">
      <c r="C207" s="34">
        <f>SOURCE!A197</f>
        <v>45926</v>
      </c>
      <c r="D207" s="11" t="str">
        <f>SOURCE!B197</f>
        <v>Income</v>
      </c>
      <c r="E207" s="11" t="str">
        <f>SOURCE!C197</f>
        <v>Side Hustle</v>
      </c>
      <c r="F207" s="35">
        <f>SOURCE!E197</f>
        <v>743.9</v>
      </c>
      <c r="G207" s="36"/>
      <c r="H207" s="38" cm="1">
        <f t="array" ref="H207">SUMPRODUCT(Tracking[Amount],--(Tracking[Date]&lt;=Tracking[[#This Row],[Date]]),(Tracking[Type]&lt;&gt;"Income")*(-1)+(Tracking[Type]="Income"))</f>
        <v>7997.2800000000025</v>
      </c>
      <c r="I207" s="42">
        <f>IF(AND(Tracking[[#This Row],[Type]]="Income", shift_late_income_status="Active", DAY(Tracking[[#This Row],[Date]])&gt;=shift_late_income_starting_date), DATE(YEAR(Tracking[[#This Row],[Date]]),MONTH(Tracking[[#This Row],[Date]])+1,1),Tracking[[#This Row],[Date]])</f>
        <v>45926</v>
      </c>
      <c r="J207" s="11">
        <f>MONTH(Tracking[[#This Row],[Date]])</f>
        <v>9</v>
      </c>
      <c r="K207" s="64">
        <f>YEAR(Tracking[[#This Row],[Date]])</f>
        <v>2025</v>
      </c>
    </row>
    <row r="208" spans="3:11" x14ac:dyDescent="0.2">
      <c r="C208" s="34">
        <f>SOURCE!A198</f>
        <v>45926</v>
      </c>
      <c r="D208" s="11" t="str">
        <f>SOURCE!B198</f>
        <v>Expenses</v>
      </c>
      <c r="E208" s="11" t="str">
        <f>SOURCE!C198</f>
        <v>Restaurants</v>
      </c>
      <c r="F208" s="35">
        <f>SOURCE!E198</f>
        <v>40</v>
      </c>
      <c r="G208" s="36"/>
      <c r="H208" s="38" cm="1">
        <f t="array" ref="H208">SUMPRODUCT(Tracking[Amount],--(Tracking[Date]&lt;=Tracking[[#This Row],[Date]]),(Tracking[Type]&lt;&gt;"Income")*(-1)+(Tracking[Type]="Income"))</f>
        <v>7997.2800000000025</v>
      </c>
      <c r="I208" s="42">
        <f>IF(AND(Tracking[[#This Row],[Type]]="Income", shift_late_income_status="Active", DAY(Tracking[[#This Row],[Date]])&gt;=shift_late_income_starting_date), DATE(YEAR(Tracking[[#This Row],[Date]]),MONTH(Tracking[[#This Row],[Date]])+1,1),Tracking[[#This Row],[Date]])</f>
        <v>45926</v>
      </c>
      <c r="J208" s="11">
        <f>MONTH(Tracking[[#This Row],[Date]])</f>
        <v>9</v>
      </c>
      <c r="K208" s="64">
        <f>YEAR(Tracking[[#This Row],[Date]])</f>
        <v>2025</v>
      </c>
    </row>
    <row r="209" spans="3:11" x14ac:dyDescent="0.2">
      <c r="C209" s="34">
        <f>SOURCE!A199</f>
        <v>45926</v>
      </c>
      <c r="D209" s="11" t="str">
        <f>SOURCE!B199</f>
        <v>Expenses</v>
      </c>
      <c r="E209" s="11" t="str">
        <f>SOURCE!C199</f>
        <v>Train</v>
      </c>
      <c r="F209" s="35">
        <f>SOURCE!E199</f>
        <v>4.7</v>
      </c>
      <c r="G209" s="36"/>
      <c r="H209" s="38" cm="1">
        <f t="array" ref="H209">SUMPRODUCT(Tracking[Amount],--(Tracking[Date]&lt;=Tracking[[#This Row],[Date]]),(Tracking[Type]&lt;&gt;"Income")*(-1)+(Tracking[Type]="Income"))</f>
        <v>7997.2800000000025</v>
      </c>
      <c r="I209" s="42">
        <f>IF(AND(Tracking[[#This Row],[Type]]="Income", shift_late_income_status="Active", DAY(Tracking[[#This Row],[Date]])&gt;=shift_late_income_starting_date), DATE(YEAR(Tracking[[#This Row],[Date]]),MONTH(Tracking[[#This Row],[Date]])+1,1),Tracking[[#This Row],[Date]])</f>
        <v>45926</v>
      </c>
      <c r="J209" s="11">
        <f>MONTH(Tracking[[#This Row],[Date]])</f>
        <v>9</v>
      </c>
      <c r="K209" s="64">
        <f>YEAR(Tracking[[#This Row],[Date]])</f>
        <v>2025</v>
      </c>
    </row>
    <row r="210" spans="3:11" x14ac:dyDescent="0.2">
      <c r="C210" s="34">
        <f>SOURCE!A200</f>
        <v>45927</v>
      </c>
      <c r="D210" s="11" t="str">
        <f>SOURCE!B200</f>
        <v>Expenses</v>
      </c>
      <c r="E210" s="11" t="str">
        <f>SOURCE!C200</f>
        <v>Wellbeing</v>
      </c>
      <c r="F210" s="35">
        <f>SOURCE!E200</f>
        <v>29</v>
      </c>
      <c r="G210" s="36"/>
      <c r="H210" s="38" cm="1">
        <f t="array" ref="H210">SUMPRODUCT(Tracking[Amount],--(Tracking[Date]&lt;=Tracking[[#This Row],[Date]]),(Tracking[Type]&lt;&gt;"Income")*(-1)+(Tracking[Type]="Income"))</f>
        <v>7864.4800000000023</v>
      </c>
      <c r="I210" s="42">
        <f>IF(AND(Tracking[[#This Row],[Type]]="Income", shift_late_income_status="Active", DAY(Tracking[[#This Row],[Date]])&gt;=shift_late_income_starting_date), DATE(YEAR(Tracking[[#This Row],[Date]]),MONTH(Tracking[[#This Row],[Date]])+1,1),Tracking[[#This Row],[Date]])</f>
        <v>45927</v>
      </c>
      <c r="J210" s="11">
        <f>MONTH(Tracking[[#This Row],[Date]])</f>
        <v>9</v>
      </c>
      <c r="K210" s="64">
        <f>YEAR(Tracking[[#This Row],[Date]])</f>
        <v>2025</v>
      </c>
    </row>
    <row r="211" spans="3:11" x14ac:dyDescent="0.2">
      <c r="C211" s="34">
        <f>SOURCE!A201</f>
        <v>45927</v>
      </c>
      <c r="D211" s="11" t="str">
        <f>SOURCE!B201</f>
        <v>Expenses</v>
      </c>
      <c r="E211" s="11" t="str">
        <f>SOURCE!C201</f>
        <v>Wellbeing</v>
      </c>
      <c r="F211" s="35">
        <f>SOURCE!E201</f>
        <v>41</v>
      </c>
      <c r="G211" s="36"/>
      <c r="H211" s="38" cm="1">
        <f t="array" ref="H211">SUMPRODUCT(Tracking[Amount],--(Tracking[Date]&lt;=Tracking[[#This Row],[Date]]),(Tracking[Type]&lt;&gt;"Income")*(-1)+(Tracking[Type]="Income"))</f>
        <v>7864.4800000000023</v>
      </c>
      <c r="I211" s="42">
        <f>IF(AND(Tracking[[#This Row],[Type]]="Income", shift_late_income_status="Active", DAY(Tracking[[#This Row],[Date]])&gt;=shift_late_income_starting_date), DATE(YEAR(Tracking[[#This Row],[Date]]),MONTH(Tracking[[#This Row],[Date]])+1,1),Tracking[[#This Row],[Date]])</f>
        <v>45927</v>
      </c>
      <c r="J211" s="11">
        <f>MONTH(Tracking[[#This Row],[Date]])</f>
        <v>9</v>
      </c>
      <c r="K211" s="64">
        <f>YEAR(Tracking[[#This Row],[Date]])</f>
        <v>2025</v>
      </c>
    </row>
    <row r="212" spans="3:11" x14ac:dyDescent="0.2">
      <c r="C212" s="34">
        <f>SOURCE!A202</f>
        <v>45927</v>
      </c>
      <c r="D212" s="11" t="str">
        <f>SOURCE!B202</f>
        <v>Expenses</v>
      </c>
      <c r="E212" s="11" t="str">
        <f>SOURCE!C202</f>
        <v>Restaurants</v>
      </c>
      <c r="F212" s="35">
        <f>SOURCE!E202</f>
        <v>41.7</v>
      </c>
      <c r="G212" s="36"/>
      <c r="H212" s="38" cm="1">
        <f t="array" ref="H212">SUMPRODUCT(Tracking[Amount],--(Tracking[Date]&lt;=Tracking[[#This Row],[Date]]),(Tracking[Type]&lt;&gt;"Income")*(-1)+(Tracking[Type]="Income"))</f>
        <v>7864.4800000000023</v>
      </c>
      <c r="I212" s="42">
        <f>IF(AND(Tracking[[#This Row],[Type]]="Income", shift_late_income_status="Active", DAY(Tracking[[#This Row],[Date]])&gt;=shift_late_income_starting_date), DATE(YEAR(Tracking[[#This Row],[Date]]),MONTH(Tracking[[#This Row],[Date]])+1,1),Tracking[[#This Row],[Date]])</f>
        <v>45927</v>
      </c>
      <c r="J212" s="11">
        <f>MONTH(Tracking[[#This Row],[Date]])</f>
        <v>9</v>
      </c>
      <c r="K212" s="64">
        <f>YEAR(Tracking[[#This Row],[Date]])</f>
        <v>2025</v>
      </c>
    </row>
    <row r="213" spans="3:11" x14ac:dyDescent="0.2">
      <c r="C213" s="34">
        <f>SOURCE!A203</f>
        <v>45927</v>
      </c>
      <c r="D213" s="11" t="str">
        <f>SOURCE!B203</f>
        <v>Expenses</v>
      </c>
      <c r="E213" s="11" t="str">
        <f>SOURCE!C203</f>
        <v>Restaurants</v>
      </c>
      <c r="F213" s="35">
        <f>SOURCE!E203</f>
        <v>13.5</v>
      </c>
      <c r="G213" s="36"/>
      <c r="H213" s="38" cm="1">
        <f t="array" ref="H213">SUMPRODUCT(Tracking[Amount],--(Tracking[Date]&lt;=Tracking[[#This Row],[Date]]),(Tracking[Type]&lt;&gt;"Income")*(-1)+(Tracking[Type]="Income"))</f>
        <v>7864.4800000000023</v>
      </c>
      <c r="I213" s="42">
        <f>IF(AND(Tracking[[#This Row],[Type]]="Income", shift_late_income_status="Active", DAY(Tracking[[#This Row],[Date]])&gt;=shift_late_income_starting_date), DATE(YEAR(Tracking[[#This Row],[Date]]),MONTH(Tracking[[#This Row],[Date]])+1,1),Tracking[[#This Row],[Date]])</f>
        <v>45927</v>
      </c>
      <c r="J213" s="11">
        <f>MONTH(Tracking[[#This Row],[Date]])</f>
        <v>9</v>
      </c>
      <c r="K213" s="64">
        <f>YEAR(Tracking[[#This Row],[Date]])</f>
        <v>2025</v>
      </c>
    </row>
    <row r="214" spans="3:11" x14ac:dyDescent="0.2">
      <c r="C214" s="34">
        <f>SOURCE!A204</f>
        <v>45927</v>
      </c>
      <c r="D214" s="11" t="str">
        <f>SOURCE!B204</f>
        <v>Expenses</v>
      </c>
      <c r="E214" s="11" t="str">
        <f>SOURCE!C204</f>
        <v>Groceries</v>
      </c>
      <c r="F214" s="35">
        <f>SOURCE!E204</f>
        <v>7.6</v>
      </c>
      <c r="G214" s="36"/>
      <c r="H214" s="38" cm="1">
        <f t="array" ref="H214">SUMPRODUCT(Tracking[Amount],--(Tracking[Date]&lt;=Tracking[[#This Row],[Date]]),(Tracking[Type]&lt;&gt;"Income")*(-1)+(Tracking[Type]="Income"))</f>
        <v>7864.4800000000023</v>
      </c>
      <c r="I214" s="42">
        <f>IF(AND(Tracking[[#This Row],[Type]]="Income", shift_late_income_status="Active", DAY(Tracking[[#This Row],[Date]])&gt;=shift_late_income_starting_date), DATE(YEAR(Tracking[[#This Row],[Date]]),MONTH(Tracking[[#This Row],[Date]])+1,1),Tracking[[#This Row],[Date]])</f>
        <v>45927</v>
      </c>
      <c r="J214" s="11">
        <f>MONTH(Tracking[[#This Row],[Date]])</f>
        <v>9</v>
      </c>
      <c r="K214" s="64">
        <f>YEAR(Tracking[[#This Row],[Date]])</f>
        <v>2025</v>
      </c>
    </row>
    <row r="215" spans="3:11" x14ac:dyDescent="0.2">
      <c r="C215" s="34">
        <f>SOURCE!A205</f>
        <v>45928</v>
      </c>
      <c r="D215" s="11" t="str">
        <f>SOURCE!B205</f>
        <v>Expenses</v>
      </c>
      <c r="E215" s="11" t="str">
        <f>SOURCE!C205</f>
        <v>Digital Goods</v>
      </c>
      <c r="F215" s="35">
        <f>SOURCE!E205</f>
        <v>185</v>
      </c>
      <c r="G215" s="36"/>
      <c r="H215" s="38" cm="1">
        <f t="array" ref="H215">SUMPRODUCT(Tracking[Amount],--(Tracking[Date]&lt;=Tracking[[#This Row],[Date]]),(Tracking[Type]&lt;&gt;"Income")*(-1)+(Tracking[Type]="Income"))</f>
        <v>7668.1300000000028</v>
      </c>
      <c r="I215" s="42">
        <f>IF(AND(Tracking[[#This Row],[Type]]="Income", shift_late_income_status="Active", DAY(Tracking[[#This Row],[Date]])&gt;=shift_late_income_starting_date), DATE(YEAR(Tracking[[#This Row],[Date]]),MONTH(Tracking[[#This Row],[Date]])+1,1),Tracking[[#This Row],[Date]])</f>
        <v>45928</v>
      </c>
      <c r="J215" s="11">
        <f>MONTH(Tracking[[#This Row],[Date]])</f>
        <v>9</v>
      </c>
      <c r="K215" s="64">
        <f>YEAR(Tracking[[#This Row],[Date]])</f>
        <v>2025</v>
      </c>
    </row>
    <row r="216" spans="3:11" x14ac:dyDescent="0.2">
      <c r="C216" s="34">
        <f>SOURCE!A206</f>
        <v>45928</v>
      </c>
      <c r="D216" s="11" t="str">
        <f>SOURCE!B206</f>
        <v>Expenses</v>
      </c>
      <c r="E216" s="11" t="str">
        <f>SOURCE!C206</f>
        <v>Train</v>
      </c>
      <c r="F216" s="35">
        <f>SOURCE!E206</f>
        <v>4.7</v>
      </c>
      <c r="G216" s="36"/>
      <c r="H216" s="38" cm="1">
        <f t="array" ref="H216">SUMPRODUCT(Tracking[Amount],--(Tracking[Date]&lt;=Tracking[[#This Row],[Date]]),(Tracking[Type]&lt;&gt;"Income")*(-1)+(Tracking[Type]="Income"))</f>
        <v>7668.1300000000028</v>
      </c>
      <c r="I216" s="42">
        <f>IF(AND(Tracking[[#This Row],[Type]]="Income", shift_late_income_status="Active", DAY(Tracking[[#This Row],[Date]])&gt;=shift_late_income_starting_date), DATE(YEAR(Tracking[[#This Row],[Date]]),MONTH(Tracking[[#This Row],[Date]])+1,1),Tracking[[#This Row],[Date]])</f>
        <v>45928</v>
      </c>
      <c r="J216" s="11">
        <f>MONTH(Tracking[[#This Row],[Date]])</f>
        <v>9</v>
      </c>
      <c r="K216" s="64">
        <f>YEAR(Tracking[[#This Row],[Date]])</f>
        <v>2025</v>
      </c>
    </row>
    <row r="217" spans="3:11" x14ac:dyDescent="0.2">
      <c r="C217" s="34">
        <f>SOURCE!A207</f>
        <v>45928</v>
      </c>
      <c r="D217" s="11" t="str">
        <f>SOURCE!B207</f>
        <v>Expenses</v>
      </c>
      <c r="E217" s="11" t="str">
        <f>SOURCE!C207</f>
        <v>Train</v>
      </c>
      <c r="F217" s="35">
        <f>SOURCE!E207</f>
        <v>4.7</v>
      </c>
      <c r="G217" s="36"/>
      <c r="H217" s="38" cm="1">
        <f t="array" ref="H217">SUMPRODUCT(Tracking[Amount],--(Tracking[Date]&lt;=Tracking[[#This Row],[Date]]),(Tracking[Type]&lt;&gt;"Income")*(-1)+(Tracking[Type]="Income"))</f>
        <v>7668.1300000000028</v>
      </c>
      <c r="I217" s="42">
        <f>IF(AND(Tracking[[#This Row],[Type]]="Income", shift_late_income_status="Active", DAY(Tracking[[#This Row],[Date]])&gt;=shift_late_income_starting_date), DATE(YEAR(Tracking[[#This Row],[Date]]),MONTH(Tracking[[#This Row],[Date]])+1,1),Tracking[[#This Row],[Date]])</f>
        <v>45928</v>
      </c>
      <c r="J217" s="11">
        <f>MONTH(Tracking[[#This Row],[Date]])</f>
        <v>9</v>
      </c>
      <c r="K217" s="64">
        <f>YEAR(Tracking[[#This Row],[Date]])</f>
        <v>2025</v>
      </c>
    </row>
    <row r="218" spans="3:11" x14ac:dyDescent="0.2">
      <c r="C218" s="34">
        <f>SOURCE!A208</f>
        <v>45928</v>
      </c>
      <c r="D218" s="11" t="str">
        <f>SOURCE!B208</f>
        <v>Expenses</v>
      </c>
      <c r="E218" s="11" t="str">
        <f>SOURCE!C208</f>
        <v>Groceries</v>
      </c>
      <c r="F218" s="35">
        <f>SOURCE!E208</f>
        <v>1.95</v>
      </c>
      <c r="G218" s="36"/>
      <c r="H218" s="38" cm="1">
        <f t="array" ref="H218">SUMPRODUCT(Tracking[Amount],--(Tracking[Date]&lt;=Tracking[[#This Row],[Date]]),(Tracking[Type]&lt;&gt;"Income")*(-1)+(Tracking[Type]="Income"))</f>
        <v>7668.1300000000028</v>
      </c>
      <c r="I218" s="42">
        <f>IF(AND(Tracking[[#This Row],[Type]]="Income", shift_late_income_status="Active", DAY(Tracking[[#This Row],[Date]])&gt;=shift_late_income_starting_date), DATE(YEAR(Tracking[[#This Row],[Date]]),MONTH(Tracking[[#This Row],[Date]])+1,1),Tracking[[#This Row],[Date]])</f>
        <v>45928</v>
      </c>
      <c r="J218" s="11">
        <f>MONTH(Tracking[[#This Row],[Date]])</f>
        <v>9</v>
      </c>
      <c r="K218" s="64">
        <f>YEAR(Tracking[[#This Row],[Date]])</f>
        <v>2025</v>
      </c>
    </row>
    <row r="219" spans="3:11" x14ac:dyDescent="0.2">
      <c r="C219" s="34">
        <f>SOURCE!A209</f>
        <v>45929</v>
      </c>
      <c r="D219" s="11" t="str">
        <f>SOURCE!B209</f>
        <v>Expenses</v>
      </c>
      <c r="E219" s="11" t="str">
        <f>SOURCE!C209</f>
        <v>Groceries</v>
      </c>
      <c r="F219" s="35">
        <f>SOURCE!E209</f>
        <v>5.9</v>
      </c>
      <c r="G219" s="36"/>
      <c r="H219" s="38" cm="1">
        <f t="array" ref="H219">SUMPRODUCT(Tracking[Amount],--(Tracking[Date]&lt;=Tracking[[#This Row],[Date]]),(Tracking[Type]&lt;&gt;"Income")*(-1)+(Tracking[Type]="Income"))</f>
        <v>7469.9300000000039</v>
      </c>
      <c r="I219" s="42">
        <f>IF(AND(Tracking[[#This Row],[Type]]="Income", shift_late_income_status="Active", DAY(Tracking[[#This Row],[Date]])&gt;=shift_late_income_starting_date), DATE(YEAR(Tracking[[#This Row],[Date]]),MONTH(Tracking[[#This Row],[Date]])+1,1),Tracking[[#This Row],[Date]])</f>
        <v>45929</v>
      </c>
      <c r="J219" s="11">
        <f>MONTH(Tracking[[#This Row],[Date]])</f>
        <v>9</v>
      </c>
      <c r="K219" s="64">
        <f>YEAR(Tracking[[#This Row],[Date]])</f>
        <v>2025</v>
      </c>
    </row>
    <row r="220" spans="3:11" x14ac:dyDescent="0.2">
      <c r="C220" s="34">
        <f>SOURCE!A210</f>
        <v>45929</v>
      </c>
      <c r="D220" s="11" t="str">
        <f>SOURCE!B210</f>
        <v>Expenses</v>
      </c>
      <c r="E220" s="11" t="str">
        <f>SOURCE!C210</f>
        <v>Debt</v>
      </c>
      <c r="F220" s="35">
        <f>SOURCE!E210</f>
        <v>182.9</v>
      </c>
      <c r="G220" s="36"/>
      <c r="H220" s="38" cm="1">
        <f t="array" ref="H220">SUMPRODUCT(Tracking[Amount],--(Tracking[Date]&lt;=Tracking[[#This Row],[Date]]),(Tracking[Type]&lt;&gt;"Income")*(-1)+(Tracking[Type]="Income"))</f>
        <v>7469.9300000000039</v>
      </c>
      <c r="I220" s="42">
        <f>IF(AND(Tracking[[#This Row],[Type]]="Income", shift_late_income_status="Active", DAY(Tracking[[#This Row],[Date]])&gt;=shift_late_income_starting_date), DATE(YEAR(Tracking[[#This Row],[Date]]),MONTH(Tracking[[#This Row],[Date]])+1,1),Tracking[[#This Row],[Date]])</f>
        <v>45929</v>
      </c>
      <c r="J220" s="11">
        <f>MONTH(Tracking[[#This Row],[Date]])</f>
        <v>9</v>
      </c>
      <c r="K220" s="64">
        <f>YEAR(Tracking[[#This Row],[Date]])</f>
        <v>2025</v>
      </c>
    </row>
    <row r="221" spans="3:11" x14ac:dyDescent="0.2">
      <c r="C221" s="34">
        <f>SOURCE!A211</f>
        <v>45929</v>
      </c>
      <c r="D221" s="11" t="str">
        <f>SOURCE!B211</f>
        <v>Expenses</v>
      </c>
      <c r="E221" s="11" t="str">
        <f>SOURCE!C211</f>
        <v>Train</v>
      </c>
      <c r="F221" s="35">
        <f>SOURCE!E211</f>
        <v>4.7</v>
      </c>
      <c r="G221" s="36"/>
      <c r="H221" s="38" cm="1">
        <f t="array" ref="H221">SUMPRODUCT(Tracking[Amount],--(Tracking[Date]&lt;=Tracking[[#This Row],[Date]]),(Tracking[Type]&lt;&gt;"Income")*(-1)+(Tracking[Type]="Income"))</f>
        <v>7469.9300000000039</v>
      </c>
      <c r="I221" s="42">
        <f>IF(AND(Tracking[[#This Row],[Type]]="Income", shift_late_income_status="Active", DAY(Tracking[[#This Row],[Date]])&gt;=shift_late_income_starting_date), DATE(YEAR(Tracking[[#This Row],[Date]]),MONTH(Tracking[[#This Row],[Date]])+1,1),Tracking[[#This Row],[Date]])</f>
        <v>45929</v>
      </c>
      <c r="J221" s="11">
        <f>MONTH(Tracking[[#This Row],[Date]])</f>
        <v>9</v>
      </c>
      <c r="K221" s="64">
        <f>YEAR(Tracking[[#This Row],[Date]])</f>
        <v>2025</v>
      </c>
    </row>
    <row r="222" spans="3:11" x14ac:dyDescent="0.2">
      <c r="C222" s="34">
        <f>SOURCE!A212</f>
        <v>45929</v>
      </c>
      <c r="D222" s="11" t="str">
        <f>SOURCE!B212</f>
        <v>Expenses</v>
      </c>
      <c r="E222" s="11" t="str">
        <f>SOURCE!C212</f>
        <v>Train</v>
      </c>
      <c r="F222" s="35">
        <f>SOURCE!E212</f>
        <v>4.7</v>
      </c>
      <c r="G222" s="36"/>
      <c r="H222" s="38" cm="1">
        <f t="array" ref="H222">SUMPRODUCT(Tracking[Amount],--(Tracking[Date]&lt;=Tracking[[#This Row],[Date]]),(Tracking[Type]&lt;&gt;"Income")*(-1)+(Tracking[Type]="Income"))</f>
        <v>7469.9300000000039</v>
      </c>
      <c r="I222" s="42">
        <f>IF(AND(Tracking[[#This Row],[Type]]="Income", shift_late_income_status="Active", DAY(Tracking[[#This Row],[Date]])&gt;=shift_late_income_starting_date), DATE(YEAR(Tracking[[#This Row],[Date]]),MONTH(Tracking[[#This Row],[Date]])+1,1),Tracking[[#This Row],[Date]])</f>
        <v>45929</v>
      </c>
      <c r="J222" s="11">
        <f>MONTH(Tracking[[#This Row],[Date]])</f>
        <v>9</v>
      </c>
      <c r="K222" s="64">
        <f>YEAR(Tracking[[#This Row],[Date]])</f>
        <v>2025</v>
      </c>
    </row>
    <row r="223" spans="3:11" x14ac:dyDescent="0.2">
      <c r="C223" s="34">
        <f>SOURCE!A213</f>
        <v>45930</v>
      </c>
      <c r="D223" s="11" t="str">
        <f>SOURCE!B213</f>
        <v>Expenses</v>
      </c>
      <c r="E223" s="11" t="str">
        <f>SOURCE!C213</f>
        <v>CC fees</v>
      </c>
      <c r="F223" s="35">
        <f>SOURCE!E213</f>
        <v>15</v>
      </c>
      <c r="G223" s="36"/>
      <c r="H223" s="38" cm="1">
        <f t="array" ref="H223">SUMPRODUCT(Tracking[Amount],--(Tracking[Date]&lt;=Tracking[[#This Row],[Date]]),(Tracking[Type]&lt;&gt;"Income")*(-1)+(Tracking[Type]="Income"))</f>
        <v>7423.5800000000045</v>
      </c>
      <c r="I223" s="42">
        <f>IF(AND(Tracking[[#This Row],[Type]]="Income", shift_late_income_status="Active", DAY(Tracking[[#This Row],[Date]])&gt;=shift_late_income_starting_date), DATE(YEAR(Tracking[[#This Row],[Date]]),MONTH(Tracking[[#This Row],[Date]])+1,1),Tracking[[#This Row],[Date]])</f>
        <v>45930</v>
      </c>
      <c r="J223" s="11">
        <f>MONTH(Tracking[[#This Row],[Date]])</f>
        <v>9</v>
      </c>
      <c r="K223" s="64">
        <f>YEAR(Tracking[[#This Row],[Date]])</f>
        <v>2025</v>
      </c>
    </row>
    <row r="224" spans="3:11" x14ac:dyDescent="0.2">
      <c r="C224" s="34">
        <f>SOURCE!A214</f>
        <v>45930</v>
      </c>
      <c r="D224" s="11" t="str">
        <f>SOURCE!B214</f>
        <v>Expenses</v>
      </c>
      <c r="E224" s="11" t="str">
        <f>SOURCE!C214</f>
        <v>Train</v>
      </c>
      <c r="F224" s="35">
        <f>SOURCE!E214</f>
        <v>4.7</v>
      </c>
      <c r="G224" s="36"/>
      <c r="H224" s="38" cm="1">
        <f t="array" ref="H224">SUMPRODUCT(Tracking[Amount],--(Tracking[Date]&lt;=Tracking[[#This Row],[Date]]),(Tracking[Type]&lt;&gt;"Income")*(-1)+(Tracking[Type]="Income"))</f>
        <v>7423.5800000000045</v>
      </c>
      <c r="I224" s="42">
        <f>IF(AND(Tracking[[#This Row],[Type]]="Income", shift_late_income_status="Active", DAY(Tracking[[#This Row],[Date]])&gt;=shift_late_income_starting_date), DATE(YEAR(Tracking[[#This Row],[Date]]),MONTH(Tracking[[#This Row],[Date]])+1,1),Tracking[[#This Row],[Date]])</f>
        <v>45930</v>
      </c>
      <c r="J224" s="11">
        <f>MONTH(Tracking[[#This Row],[Date]])</f>
        <v>9</v>
      </c>
      <c r="K224" s="64">
        <f>YEAR(Tracking[[#This Row],[Date]])</f>
        <v>2025</v>
      </c>
    </row>
    <row r="225" spans="3:11" x14ac:dyDescent="0.2">
      <c r="C225" s="34">
        <f>SOURCE!A215</f>
        <v>45930</v>
      </c>
      <c r="D225" s="11" t="str">
        <f>SOURCE!B215</f>
        <v>Expenses</v>
      </c>
      <c r="E225" s="11" t="str">
        <f>SOURCE!C215</f>
        <v>Train</v>
      </c>
      <c r="F225" s="35">
        <f>SOURCE!E215</f>
        <v>4.7</v>
      </c>
      <c r="G225" s="36"/>
      <c r="H225" s="38" cm="1">
        <f t="array" ref="H225">SUMPRODUCT(Tracking[Amount],--(Tracking[Date]&lt;=Tracking[[#This Row],[Date]]),(Tracking[Type]&lt;&gt;"Income")*(-1)+(Tracking[Type]="Income"))</f>
        <v>7423.5800000000045</v>
      </c>
      <c r="I225" s="42">
        <f>IF(AND(Tracking[[#This Row],[Type]]="Income", shift_late_income_status="Active", DAY(Tracking[[#This Row],[Date]])&gt;=shift_late_income_starting_date), DATE(YEAR(Tracking[[#This Row],[Date]]),MONTH(Tracking[[#This Row],[Date]])+1,1),Tracking[[#This Row],[Date]])</f>
        <v>45930</v>
      </c>
      <c r="J225" s="11">
        <f>MONTH(Tracking[[#This Row],[Date]])</f>
        <v>9</v>
      </c>
      <c r="K225" s="64">
        <f>YEAR(Tracking[[#This Row],[Date]])</f>
        <v>2025</v>
      </c>
    </row>
    <row r="226" spans="3:11" x14ac:dyDescent="0.2">
      <c r="C226" s="34">
        <f>SOURCE!A216</f>
        <v>45930</v>
      </c>
      <c r="D226" s="11" t="str">
        <f>SOURCE!B216</f>
        <v>Expenses</v>
      </c>
      <c r="E226" s="11" t="str">
        <f>SOURCE!C216</f>
        <v>Groceries</v>
      </c>
      <c r="F226" s="35">
        <f>SOURCE!E216</f>
        <v>1.95</v>
      </c>
      <c r="G226" s="36"/>
      <c r="H226" s="38" cm="1">
        <f t="array" ref="H226">SUMPRODUCT(Tracking[Amount],--(Tracking[Date]&lt;=Tracking[[#This Row],[Date]]),(Tracking[Type]&lt;&gt;"Income")*(-1)+(Tracking[Type]="Income"))</f>
        <v>7423.5800000000045</v>
      </c>
      <c r="I226" s="42">
        <f>IF(AND(Tracking[[#This Row],[Type]]="Income", shift_late_income_status="Active", DAY(Tracking[[#This Row],[Date]])&gt;=shift_late_income_starting_date), DATE(YEAR(Tracking[[#This Row],[Date]]),MONTH(Tracking[[#This Row],[Date]])+1,1),Tracking[[#This Row],[Date]])</f>
        <v>45930</v>
      </c>
      <c r="J226" s="11">
        <f>MONTH(Tracking[[#This Row],[Date]])</f>
        <v>9</v>
      </c>
      <c r="K226" s="64">
        <f>YEAR(Tracking[[#This Row],[Date]])</f>
        <v>2025</v>
      </c>
    </row>
    <row r="227" spans="3:11" x14ac:dyDescent="0.2">
      <c r="C227" s="34">
        <f>SOURCE!A217</f>
        <v>45930</v>
      </c>
      <c r="D227" s="11" t="str">
        <f>SOURCE!B217</f>
        <v>Expenses</v>
      </c>
      <c r="E227" s="11" t="str">
        <f>SOURCE!C217</f>
        <v>Wellbeing</v>
      </c>
      <c r="F227" s="35">
        <f>SOURCE!E217</f>
        <v>20</v>
      </c>
      <c r="G227" s="36"/>
      <c r="H227" s="38" cm="1">
        <f t="array" ref="H227">SUMPRODUCT(Tracking[Amount],--(Tracking[Date]&lt;=Tracking[[#This Row],[Date]]),(Tracking[Type]&lt;&gt;"Income")*(-1)+(Tracking[Type]="Income"))</f>
        <v>7423.5800000000045</v>
      </c>
      <c r="I227" s="42">
        <f>IF(AND(Tracking[[#This Row],[Type]]="Income", shift_late_income_status="Active", DAY(Tracking[[#This Row],[Date]])&gt;=shift_late_income_starting_date), DATE(YEAR(Tracking[[#This Row],[Date]]),MONTH(Tracking[[#This Row],[Date]])+1,1),Tracking[[#This Row],[Date]])</f>
        <v>45930</v>
      </c>
      <c r="J227" s="11">
        <f>MONTH(Tracking[[#This Row],[Date]])</f>
        <v>9</v>
      </c>
      <c r="K227" s="64">
        <f>YEAR(Tracking[[#This Row],[Date]])</f>
        <v>2025</v>
      </c>
    </row>
    <row r="228" spans="3:11" x14ac:dyDescent="0.2">
      <c r="C228" s="34">
        <f>SOURCE!A218</f>
        <v>45931</v>
      </c>
      <c r="D228" s="11" t="str">
        <f>SOURCE!B218</f>
        <v>Expenses</v>
      </c>
      <c r="E228" s="11" t="str">
        <f>SOURCE!C218</f>
        <v>Groceries</v>
      </c>
      <c r="F228" s="65">
        <f>SOURCE!E218</f>
        <v>5.9</v>
      </c>
      <c r="G228" s="66"/>
      <c r="H228" s="67" cm="1">
        <f t="array" ref="H228">SUMPRODUCT(Tracking[Amount],--(Tracking[Date]&lt;=Tracking[[#This Row],[Date]]),(Tracking[Type]&lt;&gt;"Income")*(-1)+(Tracking[Type]="Income"))</f>
        <v>7395.770000000005</v>
      </c>
      <c r="I228" s="42">
        <f>IF(AND(Tracking[[#This Row],[Type]]="Income", shift_late_income_status="Active", DAY(Tracking[[#This Row],[Date]])&gt;=shift_late_income_starting_date), DATE(YEAR(Tracking[[#This Row],[Date]]),MONTH(Tracking[[#This Row],[Date]])+1,1),Tracking[[#This Row],[Date]])</f>
        <v>45931</v>
      </c>
      <c r="J228" s="11">
        <f>MONTH(Tracking[[#This Row],[Date]])</f>
        <v>10</v>
      </c>
      <c r="K228" s="64">
        <f>YEAR(Tracking[[#This Row],[Date]])</f>
        <v>2025</v>
      </c>
    </row>
    <row r="229" spans="3:11" x14ac:dyDescent="0.2">
      <c r="C229" s="34">
        <f>SOURCE!A219</f>
        <v>45931</v>
      </c>
      <c r="D229" s="11" t="s">
        <v>13</v>
      </c>
      <c r="E229" s="11" t="s">
        <v>158</v>
      </c>
      <c r="F229" s="65">
        <f>SOURCE!E219</f>
        <v>0.01</v>
      </c>
      <c r="G229" s="66"/>
      <c r="H229" s="67" cm="1">
        <f t="array" ref="H229">SUMPRODUCT(Tracking[Amount],--(Tracking[Date]&lt;=Tracking[[#This Row],[Date]]),(Tracking[Type]&lt;&gt;"Income")*(-1)+(Tracking[Type]="Income"))</f>
        <v>7395.770000000005</v>
      </c>
      <c r="I229" s="42">
        <f>IF(AND(Tracking[[#This Row],[Type]]="Income", shift_late_income_status="Active", DAY(Tracking[[#This Row],[Date]])&gt;=shift_late_income_starting_date), DATE(YEAR(Tracking[[#This Row],[Date]]),MONTH(Tracking[[#This Row],[Date]])+1,1),Tracking[[#This Row],[Date]])</f>
        <v>45931</v>
      </c>
      <c r="J229" s="11">
        <f>MONTH(Tracking[[#This Row],[Date]])</f>
        <v>10</v>
      </c>
      <c r="K229" s="64">
        <f>YEAR(Tracking[[#This Row],[Date]])</f>
        <v>2025</v>
      </c>
    </row>
    <row r="230" spans="3:11" x14ac:dyDescent="0.2">
      <c r="C230" s="34">
        <f>SOURCE!A220</f>
        <v>45931</v>
      </c>
      <c r="D230" s="11" t="str">
        <f>SOURCE!B220</f>
        <v>Expenses</v>
      </c>
      <c r="E230" s="11" t="str">
        <f>SOURCE!C220</f>
        <v>Train</v>
      </c>
      <c r="F230" s="65">
        <f>SOURCE!E220</f>
        <v>4.7</v>
      </c>
      <c r="G230" s="66"/>
      <c r="H230" s="67" cm="1">
        <f t="array" ref="H230">SUMPRODUCT(Tracking[Amount],--(Tracking[Date]&lt;=Tracking[[#This Row],[Date]]),(Tracking[Type]&lt;&gt;"Income")*(-1)+(Tracking[Type]="Income"))</f>
        <v>7395.770000000005</v>
      </c>
      <c r="I230" s="42">
        <f>IF(AND(Tracking[[#This Row],[Type]]="Income", shift_late_income_status="Active", DAY(Tracking[[#This Row],[Date]])&gt;=shift_late_income_starting_date), DATE(YEAR(Tracking[[#This Row],[Date]]),MONTH(Tracking[[#This Row],[Date]])+1,1),Tracking[[#This Row],[Date]])</f>
        <v>45931</v>
      </c>
      <c r="J230" s="11">
        <f>MONTH(Tracking[[#This Row],[Date]])</f>
        <v>10</v>
      </c>
      <c r="K230" s="64">
        <f>YEAR(Tracking[[#This Row],[Date]])</f>
        <v>2025</v>
      </c>
    </row>
    <row r="231" spans="3:11" x14ac:dyDescent="0.2">
      <c r="C231" s="34">
        <f>SOURCE!A221</f>
        <v>45931</v>
      </c>
      <c r="D231" s="11" t="str">
        <f>SOURCE!B221</f>
        <v>Expenses</v>
      </c>
      <c r="E231" s="11" t="str">
        <f>SOURCE!C221</f>
        <v>Train</v>
      </c>
      <c r="F231" s="65">
        <f>SOURCE!E221</f>
        <v>4.7</v>
      </c>
      <c r="G231" s="66"/>
      <c r="H231" s="67" cm="1">
        <f t="array" ref="H231">SUMPRODUCT(Tracking[Amount],--(Tracking[Date]&lt;=Tracking[[#This Row],[Date]]),(Tracking[Type]&lt;&gt;"Income")*(-1)+(Tracking[Type]="Income"))</f>
        <v>7395.770000000005</v>
      </c>
      <c r="I231" s="42">
        <f>IF(AND(Tracking[[#This Row],[Type]]="Income", shift_late_income_status="Active", DAY(Tracking[[#This Row],[Date]])&gt;=shift_late_income_starting_date), DATE(YEAR(Tracking[[#This Row],[Date]]),MONTH(Tracking[[#This Row],[Date]])+1,1),Tracking[[#This Row],[Date]])</f>
        <v>45931</v>
      </c>
      <c r="J231" s="11">
        <f>MONTH(Tracking[[#This Row],[Date]])</f>
        <v>10</v>
      </c>
      <c r="K231" s="64">
        <f>YEAR(Tracking[[#This Row],[Date]])</f>
        <v>2025</v>
      </c>
    </row>
    <row r="232" spans="3:11" x14ac:dyDescent="0.2">
      <c r="C232" s="34">
        <f>SOURCE!A222</f>
        <v>45931</v>
      </c>
      <c r="D232" s="11" t="str">
        <f>SOURCE!B222</f>
        <v>Expenses</v>
      </c>
      <c r="E232" s="11" t="str">
        <f>SOURCE!C222</f>
        <v>Restaurants</v>
      </c>
      <c r="F232" s="65">
        <f>SOURCE!E222</f>
        <v>12.5</v>
      </c>
      <c r="G232" s="66"/>
      <c r="H232" s="67" cm="1">
        <f t="array" ref="H232">SUMPRODUCT(Tracking[Amount],--(Tracking[Date]&lt;=Tracking[[#This Row],[Date]]),(Tracking[Type]&lt;&gt;"Income")*(-1)+(Tracking[Type]="Income"))</f>
        <v>7395.770000000005</v>
      </c>
      <c r="I232" s="42">
        <f>IF(AND(Tracking[[#This Row],[Type]]="Income", shift_late_income_status="Active", DAY(Tracking[[#This Row],[Date]])&gt;=shift_late_income_starting_date), DATE(YEAR(Tracking[[#This Row],[Date]]),MONTH(Tracking[[#This Row],[Date]])+1,1),Tracking[[#This Row],[Date]])</f>
        <v>45931</v>
      </c>
      <c r="J232" s="11">
        <f>MONTH(Tracking[[#This Row],[Date]])</f>
        <v>10</v>
      </c>
      <c r="K232" s="64">
        <f>YEAR(Tracking[[#This Row],[Date]])</f>
        <v>2025</v>
      </c>
    </row>
    <row r="233" spans="3:11" x14ac:dyDescent="0.2">
      <c r="C233" s="34">
        <f>SOURCE!A223</f>
        <v>45932</v>
      </c>
      <c r="D233" s="11" t="str">
        <f>SOURCE!B223</f>
        <v>Expenses</v>
      </c>
      <c r="E233" s="11" t="str">
        <f>SOURCE!C223</f>
        <v>Groceries</v>
      </c>
      <c r="F233" s="35">
        <f>SOURCE!E223</f>
        <v>15.2</v>
      </c>
      <c r="G233" s="36"/>
      <c r="H233" s="38" cm="1">
        <f t="array" ref="H233">SUMPRODUCT(Tracking[Amount],--(Tracking[Date]&lt;=Tracking[[#This Row],[Date]]),(Tracking[Type]&lt;&gt;"Income")*(-1)+(Tracking[Type]="Income"))</f>
        <v>6040.7200000000048</v>
      </c>
      <c r="I233" s="42">
        <f>IF(AND(Tracking[[#This Row],[Type]]="Income", shift_late_income_status="Active", DAY(Tracking[[#This Row],[Date]])&gt;=shift_late_income_starting_date), DATE(YEAR(Tracking[[#This Row],[Date]]),MONTH(Tracking[[#This Row],[Date]])+1,1),Tracking[[#This Row],[Date]])</f>
        <v>45932</v>
      </c>
      <c r="J233" s="11">
        <f>MONTH(Tracking[[#This Row],[Date]])</f>
        <v>10</v>
      </c>
      <c r="K233" s="64">
        <f>YEAR(Tracking[[#This Row],[Date]])</f>
        <v>2025</v>
      </c>
    </row>
    <row r="234" spans="3:11" x14ac:dyDescent="0.2">
      <c r="C234" s="34">
        <f>SOURCE!A224</f>
        <v>45932</v>
      </c>
      <c r="D234" s="11" t="str">
        <f>SOURCE!B224</f>
        <v>Expenses</v>
      </c>
      <c r="E234" s="11" t="s">
        <v>159</v>
      </c>
      <c r="F234" s="35">
        <f>SOURCE!E224</f>
        <v>501.35</v>
      </c>
      <c r="G234" s="36"/>
      <c r="H234" s="38" cm="1">
        <f t="array" ref="H234">SUMPRODUCT(Tracking[Amount],--(Tracking[Date]&lt;=Tracking[[#This Row],[Date]]),(Tracking[Type]&lt;&gt;"Income")*(-1)+(Tracking[Type]="Income"))</f>
        <v>6040.7200000000048</v>
      </c>
      <c r="I234" s="42">
        <f>IF(AND(Tracking[[#This Row],[Type]]="Income", shift_late_income_status="Active", DAY(Tracking[[#This Row],[Date]])&gt;=shift_late_income_starting_date), DATE(YEAR(Tracking[[#This Row],[Date]]),MONTH(Tracking[[#This Row],[Date]])+1,1),Tracking[[#This Row],[Date]])</f>
        <v>45932</v>
      </c>
      <c r="J234" s="11">
        <f>MONTH(Tracking[[#This Row],[Date]])</f>
        <v>10</v>
      </c>
      <c r="K234" s="64">
        <f>YEAR(Tracking[[#This Row],[Date]])</f>
        <v>2025</v>
      </c>
    </row>
    <row r="235" spans="3:11" x14ac:dyDescent="0.2">
      <c r="C235" s="34">
        <f>SOURCE!A225</f>
        <v>45932</v>
      </c>
      <c r="D235" s="11" t="str">
        <f>SOURCE!B225</f>
        <v>CC_Refund</v>
      </c>
      <c r="E235" s="11" t="str">
        <f>SOURCE!C225</f>
        <v>Card Refund Luca</v>
      </c>
      <c r="F235" s="35">
        <f>SOURCE!E225</f>
        <v>838.5</v>
      </c>
      <c r="G235" s="36"/>
      <c r="H235" s="38" cm="1">
        <f t="array" ref="H235">SUMPRODUCT(Tracking[Amount],--(Tracking[Date]&lt;=Tracking[[#This Row],[Date]]),(Tracking[Type]&lt;&gt;"Income")*(-1)+(Tracking[Type]="Income"))</f>
        <v>6040.7200000000048</v>
      </c>
      <c r="I235" s="42">
        <f>IF(AND(Tracking[[#This Row],[Type]]="Income", shift_late_income_status="Active", DAY(Tracking[[#This Row],[Date]])&gt;=shift_late_income_starting_date), DATE(YEAR(Tracking[[#This Row],[Date]]),MONTH(Tracking[[#This Row],[Date]])+1,1),Tracking[[#This Row],[Date]])</f>
        <v>45932</v>
      </c>
      <c r="J235" s="11">
        <f>MONTH(Tracking[[#This Row],[Date]])</f>
        <v>10</v>
      </c>
      <c r="K235" s="64">
        <f>YEAR(Tracking[[#This Row],[Date]])</f>
        <v>2025</v>
      </c>
    </row>
    <row r="236" spans="3:11" x14ac:dyDescent="0.2">
      <c r="C236" s="34">
        <f>SOURCE!A226</f>
        <v>45933</v>
      </c>
      <c r="D236" s="11" t="str">
        <f>SOURCE!B226</f>
        <v>Expenses</v>
      </c>
      <c r="E236" s="11" t="str">
        <f>SOURCE!C226</f>
        <v>Restaurants</v>
      </c>
      <c r="F236" s="35">
        <f>SOURCE!E226</f>
        <v>30</v>
      </c>
      <c r="G236" s="36"/>
      <c r="H236" s="38" cm="1">
        <f t="array" ref="H236">SUMPRODUCT(Tracking[Amount],--(Tracking[Date]&lt;=Tracking[[#This Row],[Date]]),(Tracking[Type]&lt;&gt;"Income")*(-1)+(Tracking[Type]="Income"))</f>
        <v>5845.4200000000055</v>
      </c>
      <c r="I236" s="42">
        <f>IF(AND(Tracking[[#This Row],[Type]]="Income", shift_late_income_status="Active", DAY(Tracking[[#This Row],[Date]])&gt;=shift_late_income_starting_date), DATE(YEAR(Tracking[[#This Row],[Date]]),MONTH(Tracking[[#This Row],[Date]])+1,1),Tracking[[#This Row],[Date]])</f>
        <v>45933</v>
      </c>
      <c r="J236" s="11">
        <f>MONTH(Tracking[[#This Row],[Date]])</f>
        <v>10</v>
      </c>
      <c r="K236" s="64">
        <f>YEAR(Tracking[[#This Row],[Date]])</f>
        <v>2025</v>
      </c>
    </row>
    <row r="237" spans="3:11" x14ac:dyDescent="0.2">
      <c r="C237" s="34">
        <f>SOURCE!A227</f>
        <v>45933</v>
      </c>
      <c r="D237" s="11" t="str">
        <f>SOURCE!B227</f>
        <v>Expenses</v>
      </c>
      <c r="E237" s="11" t="str">
        <f>SOURCE!C227</f>
        <v>Groceries</v>
      </c>
      <c r="F237" s="35">
        <f>SOURCE!E227</f>
        <v>5.9</v>
      </c>
      <c r="G237" s="36"/>
      <c r="H237" s="38" cm="1">
        <f t="array" ref="H237">SUMPRODUCT(Tracking[Amount],--(Tracking[Date]&lt;=Tracking[[#This Row],[Date]]),(Tracking[Type]&lt;&gt;"Income")*(-1)+(Tracking[Type]="Income"))</f>
        <v>5845.4200000000055</v>
      </c>
      <c r="I237" s="42">
        <f>IF(AND(Tracking[[#This Row],[Type]]="Income", shift_late_income_status="Active", DAY(Tracking[[#This Row],[Date]])&gt;=shift_late_income_starting_date), DATE(YEAR(Tracking[[#This Row],[Date]]),MONTH(Tracking[[#This Row],[Date]])+1,1),Tracking[[#This Row],[Date]])</f>
        <v>45933</v>
      </c>
      <c r="J237" s="11">
        <f>MONTH(Tracking[[#This Row],[Date]])</f>
        <v>10</v>
      </c>
      <c r="K237" s="64">
        <f>YEAR(Tracking[[#This Row],[Date]])</f>
        <v>2025</v>
      </c>
    </row>
    <row r="238" spans="3:11" x14ac:dyDescent="0.2">
      <c r="C238" s="34">
        <f>SOURCE!A228</f>
        <v>45933</v>
      </c>
      <c r="D238" s="11" t="str">
        <f>SOURCE!B228</f>
        <v>Expenses</v>
      </c>
      <c r="E238" s="11" t="str">
        <f>SOURCE!C228</f>
        <v>Train</v>
      </c>
      <c r="F238" s="35">
        <f>SOURCE!E228</f>
        <v>4.7</v>
      </c>
      <c r="G238" s="36"/>
      <c r="H238" s="38" cm="1">
        <f t="array" ref="H238">SUMPRODUCT(Tracking[Amount],--(Tracking[Date]&lt;=Tracking[[#This Row],[Date]]),(Tracking[Type]&lt;&gt;"Income")*(-1)+(Tracking[Type]="Income"))</f>
        <v>5845.4200000000055</v>
      </c>
      <c r="I238" s="42">
        <f>IF(AND(Tracking[[#This Row],[Type]]="Income", shift_late_income_status="Active", DAY(Tracking[[#This Row],[Date]])&gt;=shift_late_income_starting_date), DATE(YEAR(Tracking[[#This Row],[Date]]),MONTH(Tracking[[#This Row],[Date]])+1,1),Tracking[[#This Row],[Date]])</f>
        <v>45933</v>
      </c>
      <c r="J238" s="11">
        <f>MONTH(Tracking[[#This Row],[Date]])</f>
        <v>10</v>
      </c>
      <c r="K238" s="64">
        <f>YEAR(Tracking[[#This Row],[Date]])</f>
        <v>2025</v>
      </c>
    </row>
    <row r="239" spans="3:11" x14ac:dyDescent="0.2">
      <c r="C239" s="34">
        <f>SOURCE!A229</f>
        <v>45933</v>
      </c>
      <c r="D239" s="11" t="str">
        <f>SOURCE!B229</f>
        <v>Expenses</v>
      </c>
      <c r="E239" s="11" t="str">
        <f>SOURCE!C229</f>
        <v>Train</v>
      </c>
      <c r="F239" s="35">
        <f>SOURCE!E229</f>
        <v>4.7</v>
      </c>
      <c r="G239" s="36"/>
      <c r="H239" s="38" cm="1">
        <f t="array" ref="H239">SUMPRODUCT(Tracking[Amount],--(Tracking[Date]&lt;=Tracking[[#This Row],[Date]]),(Tracking[Type]&lt;&gt;"Income")*(-1)+(Tracking[Type]="Income"))</f>
        <v>5845.4200000000055</v>
      </c>
      <c r="I239" s="42">
        <f>IF(AND(Tracking[[#This Row],[Type]]="Income", shift_late_income_status="Active", DAY(Tracking[[#This Row],[Date]])&gt;=shift_late_income_starting_date), DATE(YEAR(Tracking[[#This Row],[Date]]),MONTH(Tracking[[#This Row],[Date]])+1,1),Tracking[[#This Row],[Date]])</f>
        <v>45933</v>
      </c>
      <c r="J239" s="11">
        <f>MONTH(Tracking[[#This Row],[Date]])</f>
        <v>10</v>
      </c>
      <c r="K239" s="64">
        <f>YEAR(Tracking[[#This Row],[Date]])</f>
        <v>2025</v>
      </c>
    </row>
    <row r="240" spans="3:11" x14ac:dyDescent="0.2">
      <c r="C240" s="34">
        <f>SOURCE!A230</f>
        <v>45933</v>
      </c>
      <c r="D240" s="11" t="str">
        <f>SOURCE!B230</f>
        <v>Expenses</v>
      </c>
      <c r="E240" s="11" t="s">
        <v>160</v>
      </c>
      <c r="F240" s="35">
        <f>SOURCE!E230</f>
        <v>150</v>
      </c>
      <c r="G240" s="36"/>
      <c r="H240" s="38" cm="1">
        <f t="array" ref="H240">SUMPRODUCT(Tracking[Amount],--(Tracking[Date]&lt;=Tracking[[#This Row],[Date]]),(Tracking[Type]&lt;&gt;"Income")*(-1)+(Tracking[Type]="Income"))</f>
        <v>5845.4200000000055</v>
      </c>
      <c r="I240" s="42">
        <f>IF(AND(Tracking[[#This Row],[Type]]="Income", shift_late_income_status="Active", DAY(Tracking[[#This Row],[Date]])&gt;=shift_late_income_starting_date), DATE(YEAR(Tracking[[#This Row],[Date]]),MONTH(Tracking[[#This Row],[Date]])+1,1),Tracking[[#This Row],[Date]])</f>
        <v>45933</v>
      </c>
      <c r="J240" s="11">
        <f>MONTH(Tracking[[#This Row],[Date]])</f>
        <v>10</v>
      </c>
      <c r="K240" s="64">
        <f>YEAR(Tracking[[#This Row],[Date]])</f>
        <v>2025</v>
      </c>
    </row>
    <row r="241" spans="3:11" x14ac:dyDescent="0.2">
      <c r="C241" s="34">
        <f>SOURCE!A231</f>
        <v>45934</v>
      </c>
      <c r="D241" s="11" t="str">
        <f>SOURCE!B231</f>
        <v>Expenses</v>
      </c>
      <c r="E241" s="11" t="str">
        <f>SOURCE!C231</f>
        <v>Groceries</v>
      </c>
      <c r="F241" s="35">
        <f>SOURCE!E231</f>
        <v>21.3</v>
      </c>
      <c r="G241" s="36"/>
      <c r="H241" s="38" cm="1">
        <f t="array" ref="H241">SUMPRODUCT(Tracking[Amount],--(Tracking[Date]&lt;=Tracking[[#This Row],[Date]]),(Tracking[Type]&lt;&gt;"Income")*(-1)+(Tracking[Type]="Income"))</f>
        <v>5749.4200000000055</v>
      </c>
      <c r="I241" s="42">
        <f>IF(AND(Tracking[[#This Row],[Type]]="Income", shift_late_income_status="Active", DAY(Tracking[[#This Row],[Date]])&gt;=shift_late_income_starting_date), DATE(YEAR(Tracking[[#This Row],[Date]]),MONTH(Tracking[[#This Row],[Date]])+1,1),Tracking[[#This Row],[Date]])</f>
        <v>45934</v>
      </c>
      <c r="J241" s="11">
        <f>MONTH(Tracking[[#This Row],[Date]])</f>
        <v>10</v>
      </c>
      <c r="K241" s="64">
        <f>YEAR(Tracking[[#This Row],[Date]])</f>
        <v>2025</v>
      </c>
    </row>
    <row r="242" spans="3:11" x14ac:dyDescent="0.2">
      <c r="C242" s="34">
        <f>SOURCE!A232</f>
        <v>45934</v>
      </c>
      <c r="D242" s="11" t="str">
        <f>SOURCE!B232</f>
        <v>Expenses</v>
      </c>
      <c r="E242" s="11" t="str">
        <f>SOURCE!C232</f>
        <v>Restaurants</v>
      </c>
      <c r="F242" s="35">
        <f>SOURCE!E232</f>
        <v>70</v>
      </c>
      <c r="G242" s="36"/>
      <c r="H242" s="38" cm="1">
        <f t="array" ref="H242">SUMPRODUCT(Tracking[Amount],--(Tracking[Date]&lt;=Tracking[[#This Row],[Date]]),(Tracking[Type]&lt;&gt;"Income")*(-1)+(Tracking[Type]="Income"))</f>
        <v>5749.4200000000055</v>
      </c>
      <c r="I242" s="42">
        <f>IF(AND(Tracking[[#This Row],[Type]]="Income", shift_late_income_status="Active", DAY(Tracking[[#This Row],[Date]])&gt;=shift_late_income_starting_date), DATE(YEAR(Tracking[[#This Row],[Date]]),MONTH(Tracking[[#This Row],[Date]])+1,1),Tracking[[#This Row],[Date]])</f>
        <v>45934</v>
      </c>
      <c r="J242" s="11">
        <f>MONTH(Tracking[[#This Row],[Date]])</f>
        <v>10</v>
      </c>
      <c r="K242" s="64">
        <f>YEAR(Tracking[[#This Row],[Date]])</f>
        <v>2025</v>
      </c>
    </row>
    <row r="243" spans="3:11" x14ac:dyDescent="0.2">
      <c r="C243" s="34">
        <f>SOURCE!A233</f>
        <v>45934</v>
      </c>
      <c r="D243" s="11" t="str">
        <f>SOURCE!B233</f>
        <v>Expenses</v>
      </c>
      <c r="E243" s="11" t="str">
        <f>SOURCE!C233</f>
        <v>Train</v>
      </c>
      <c r="F243" s="35">
        <f>SOURCE!E233</f>
        <v>4.7</v>
      </c>
      <c r="G243" s="36"/>
      <c r="H243" s="38" cm="1">
        <f t="array" ref="H243">SUMPRODUCT(Tracking[Amount],--(Tracking[Date]&lt;=Tracking[[#This Row],[Date]]),(Tracking[Type]&lt;&gt;"Income")*(-1)+(Tracking[Type]="Income"))</f>
        <v>5749.4200000000055</v>
      </c>
      <c r="I243" s="42">
        <f>IF(AND(Tracking[[#This Row],[Type]]="Income", shift_late_income_status="Active", DAY(Tracking[[#This Row],[Date]])&gt;=shift_late_income_starting_date), DATE(YEAR(Tracking[[#This Row],[Date]]),MONTH(Tracking[[#This Row],[Date]])+1,1),Tracking[[#This Row],[Date]])</f>
        <v>45934</v>
      </c>
      <c r="J243" s="11">
        <f>MONTH(Tracking[[#This Row],[Date]])</f>
        <v>10</v>
      </c>
      <c r="K243" s="64">
        <f>YEAR(Tracking[[#This Row],[Date]])</f>
        <v>2025</v>
      </c>
    </row>
    <row r="244" spans="3:11" x14ac:dyDescent="0.2">
      <c r="C244" s="34">
        <f>SOURCE!A234</f>
        <v>45935</v>
      </c>
      <c r="D244" s="11" t="s">
        <v>13</v>
      </c>
      <c r="E244" s="11" t="s">
        <v>161</v>
      </c>
      <c r="F244" s="35">
        <f>SOURCE!E234</f>
        <v>15.9</v>
      </c>
      <c r="G244" s="36"/>
      <c r="H244" s="38" cm="1">
        <f t="array" ref="H244">SUMPRODUCT(Tracking[Amount],--(Tracking[Date]&lt;=Tracking[[#This Row],[Date]]),(Tracking[Type]&lt;&gt;"Income")*(-1)+(Tracking[Type]="Income"))</f>
        <v>5708.3200000000061</v>
      </c>
      <c r="I244" s="42">
        <f>IF(AND(Tracking[[#This Row],[Type]]="Income", shift_late_income_status="Active", DAY(Tracking[[#This Row],[Date]])&gt;=shift_late_income_starting_date), DATE(YEAR(Tracking[[#This Row],[Date]]),MONTH(Tracking[[#This Row],[Date]])+1,1),Tracking[[#This Row],[Date]])</f>
        <v>45935</v>
      </c>
      <c r="J244" s="11">
        <f>MONTH(Tracking[[#This Row],[Date]])</f>
        <v>10</v>
      </c>
      <c r="K244" s="64">
        <f>YEAR(Tracking[[#This Row],[Date]])</f>
        <v>2025</v>
      </c>
    </row>
    <row r="245" spans="3:11" x14ac:dyDescent="0.2">
      <c r="C245" s="34">
        <f>SOURCE!A235</f>
        <v>45935</v>
      </c>
      <c r="D245" s="11" t="s">
        <v>13</v>
      </c>
      <c r="E245" s="11" t="s">
        <v>104</v>
      </c>
      <c r="F245" s="35">
        <f>SOURCE!E235</f>
        <v>10</v>
      </c>
      <c r="G245" s="36"/>
      <c r="H245" s="38" cm="1">
        <f t="array" ref="H245">SUMPRODUCT(Tracking[Amount],--(Tracking[Date]&lt;=Tracking[[#This Row],[Date]]),(Tracking[Type]&lt;&gt;"Income")*(-1)+(Tracking[Type]="Income"))</f>
        <v>5708.3200000000061</v>
      </c>
      <c r="I245" s="42">
        <f>IF(AND(Tracking[[#This Row],[Type]]="Income", shift_late_income_status="Active", DAY(Tracking[[#This Row],[Date]])&gt;=shift_late_income_starting_date), DATE(YEAR(Tracking[[#This Row],[Date]]),MONTH(Tracking[[#This Row],[Date]])+1,1),Tracking[[#This Row],[Date]])</f>
        <v>45935</v>
      </c>
      <c r="J245" s="11">
        <f>MONTH(Tracking[[#This Row],[Date]])</f>
        <v>10</v>
      </c>
      <c r="K245" s="64">
        <f>YEAR(Tracking[[#This Row],[Date]])</f>
        <v>2025</v>
      </c>
    </row>
    <row r="246" spans="3:11" x14ac:dyDescent="0.2">
      <c r="C246" s="34">
        <f>SOURCE!A236</f>
        <v>45935</v>
      </c>
      <c r="D246" s="11" t="s">
        <v>13</v>
      </c>
      <c r="E246" s="11" t="s">
        <v>161</v>
      </c>
      <c r="F246" s="35">
        <f>SOURCE!E236</f>
        <v>4.2</v>
      </c>
      <c r="G246" s="36"/>
      <c r="H246" s="38" cm="1">
        <f t="array" ref="H246">SUMPRODUCT(Tracking[Amount],--(Tracking[Date]&lt;=Tracking[[#This Row],[Date]]),(Tracking[Type]&lt;&gt;"Income")*(-1)+(Tracking[Type]="Income"))</f>
        <v>5708.3200000000061</v>
      </c>
      <c r="I246" s="42">
        <f>IF(AND(Tracking[[#This Row],[Type]]="Income", shift_late_income_status="Active", DAY(Tracking[[#This Row],[Date]])&gt;=shift_late_income_starting_date), DATE(YEAR(Tracking[[#This Row],[Date]]),MONTH(Tracking[[#This Row],[Date]])+1,1),Tracking[[#This Row],[Date]])</f>
        <v>45935</v>
      </c>
      <c r="J246" s="11">
        <f>MONTH(Tracking[[#This Row],[Date]])</f>
        <v>10</v>
      </c>
      <c r="K246" s="64">
        <f>YEAR(Tracking[[#This Row],[Date]])</f>
        <v>2025</v>
      </c>
    </row>
    <row r="247" spans="3:11" x14ac:dyDescent="0.2">
      <c r="C247" s="34">
        <f>SOURCE!A237</f>
        <v>45935</v>
      </c>
      <c r="D247" s="11" t="str">
        <f>SOURCE!B237</f>
        <v>Expenses</v>
      </c>
      <c r="E247" s="11" t="str">
        <f>SOURCE!C237</f>
        <v>Train</v>
      </c>
      <c r="F247" s="35">
        <f>SOURCE!E237</f>
        <v>11</v>
      </c>
      <c r="G247" s="36"/>
      <c r="H247" s="38" cm="1">
        <f t="array" ref="H247">SUMPRODUCT(Tracking[Amount],--(Tracking[Date]&lt;=Tracking[[#This Row],[Date]]),(Tracking[Type]&lt;&gt;"Income")*(-1)+(Tracking[Type]="Income"))</f>
        <v>5708.3200000000061</v>
      </c>
      <c r="I247" s="42">
        <f>IF(AND(Tracking[[#This Row],[Type]]="Income", shift_late_income_status="Active", DAY(Tracking[[#This Row],[Date]])&gt;=shift_late_income_starting_date), DATE(YEAR(Tracking[[#This Row],[Date]]),MONTH(Tracking[[#This Row],[Date]])+1,1),Tracking[[#This Row],[Date]])</f>
        <v>45935</v>
      </c>
      <c r="J247" s="11">
        <f>MONTH(Tracking[[#This Row],[Date]])</f>
        <v>10</v>
      </c>
      <c r="K247" s="64">
        <f>YEAR(Tracking[[#This Row],[Date]])</f>
        <v>2025</v>
      </c>
    </row>
    <row r="248" spans="3:11" x14ac:dyDescent="0.2">
      <c r="C248" s="34">
        <f>SOURCE!A238</f>
        <v>45936</v>
      </c>
      <c r="D248" s="11" t="str">
        <f>SOURCE!B238</f>
        <v>Expenses</v>
      </c>
      <c r="E248" s="11" t="str">
        <f>SOURCE!C238</f>
        <v>Train</v>
      </c>
      <c r="F248" s="35">
        <f>SOURCE!E238</f>
        <v>4.7</v>
      </c>
      <c r="G248" s="36"/>
      <c r="H248" s="38" cm="1">
        <f t="array" ref="H248">SUMPRODUCT(Tracking[Amount],--(Tracking[Date]&lt;=Tracking[[#This Row],[Date]]),(Tracking[Type]&lt;&gt;"Income")*(-1)+(Tracking[Type]="Income"))</f>
        <v>5694.9700000000066</v>
      </c>
      <c r="I248" s="42">
        <f>IF(AND(Tracking[[#This Row],[Type]]="Income", shift_late_income_status="Active", DAY(Tracking[[#This Row],[Date]])&gt;=shift_late_income_starting_date), DATE(YEAR(Tracking[[#This Row],[Date]]),MONTH(Tracking[[#This Row],[Date]])+1,1),Tracking[[#This Row],[Date]])</f>
        <v>45936</v>
      </c>
      <c r="J248" s="11">
        <f>MONTH(Tracking[[#This Row],[Date]])</f>
        <v>10</v>
      </c>
      <c r="K248" s="64">
        <f>YEAR(Tracking[[#This Row],[Date]])</f>
        <v>2025</v>
      </c>
    </row>
    <row r="249" spans="3:11" x14ac:dyDescent="0.2">
      <c r="C249" s="34">
        <f>SOURCE!A239</f>
        <v>45936</v>
      </c>
      <c r="D249" s="11" t="str">
        <f>SOURCE!B239</f>
        <v>Expenses</v>
      </c>
      <c r="E249" s="11" t="str">
        <f>SOURCE!C239</f>
        <v>Groceries</v>
      </c>
      <c r="F249" s="35">
        <f>SOURCE!E239</f>
        <v>3.95</v>
      </c>
      <c r="G249" s="36"/>
      <c r="H249" s="38" cm="1">
        <f t="array" ref="H249">SUMPRODUCT(Tracking[Amount],--(Tracking[Date]&lt;=Tracking[[#This Row],[Date]]),(Tracking[Type]&lt;&gt;"Income")*(-1)+(Tracking[Type]="Income"))</f>
        <v>5694.9700000000066</v>
      </c>
      <c r="I249" s="42">
        <f>IF(AND(Tracking[[#This Row],[Type]]="Income", shift_late_income_status="Active", DAY(Tracking[[#This Row],[Date]])&gt;=shift_late_income_starting_date), DATE(YEAR(Tracking[[#This Row],[Date]]),MONTH(Tracking[[#This Row],[Date]])+1,1),Tracking[[#This Row],[Date]])</f>
        <v>45936</v>
      </c>
      <c r="J249" s="11">
        <f>MONTH(Tracking[[#This Row],[Date]])</f>
        <v>10</v>
      </c>
      <c r="K249" s="64">
        <f>YEAR(Tracking[[#This Row],[Date]])</f>
        <v>2025</v>
      </c>
    </row>
    <row r="250" spans="3:11" x14ac:dyDescent="0.2">
      <c r="C250" s="34">
        <f>SOURCE!A240</f>
        <v>45936</v>
      </c>
      <c r="D250" s="11" t="str">
        <f>SOURCE!B240</f>
        <v>Expenses</v>
      </c>
      <c r="E250" s="11" t="str">
        <f>SOURCE!C240</f>
        <v>Train</v>
      </c>
      <c r="F250" s="35">
        <f>SOURCE!E240</f>
        <v>4.7</v>
      </c>
      <c r="G250" s="36"/>
      <c r="H250" s="38" cm="1">
        <f t="array" ref="H250">SUMPRODUCT(Tracking[Amount],--(Tracking[Date]&lt;=Tracking[[#This Row],[Date]]),(Tracking[Type]&lt;&gt;"Income")*(-1)+(Tracking[Type]="Income"))</f>
        <v>5694.9700000000066</v>
      </c>
      <c r="I250" s="42">
        <f>IF(AND(Tracking[[#This Row],[Type]]="Income", shift_late_income_status="Active", DAY(Tracking[[#This Row],[Date]])&gt;=shift_late_income_starting_date), DATE(YEAR(Tracking[[#This Row],[Date]]),MONTH(Tracking[[#This Row],[Date]])+1,1),Tracking[[#This Row],[Date]])</f>
        <v>45936</v>
      </c>
      <c r="J250" s="11">
        <f>MONTH(Tracking[[#This Row],[Date]])</f>
        <v>10</v>
      </c>
      <c r="K250" s="64">
        <f>YEAR(Tracking[[#This Row],[Date]])</f>
        <v>2025</v>
      </c>
    </row>
    <row r="251" spans="3:11" x14ac:dyDescent="0.2">
      <c r="C251" s="34">
        <f>SOURCE!A241</f>
        <v>45937</v>
      </c>
      <c r="D251" s="11" t="str">
        <f>SOURCE!B241</f>
        <v>Expenses</v>
      </c>
      <c r="E251" s="11" t="str">
        <f>SOURCE!C241</f>
        <v>Groceries</v>
      </c>
      <c r="F251" s="35">
        <f>SOURCE!E241</f>
        <v>60.2</v>
      </c>
      <c r="G251" s="36"/>
      <c r="H251" s="38" cm="1">
        <f t="array" ref="H251">SUMPRODUCT(Tracking[Amount],--(Tracking[Date]&lt;=Tracking[[#This Row],[Date]]),(Tracking[Type]&lt;&gt;"Income")*(-1)+(Tracking[Type]="Income"))</f>
        <v>5625.8800000000074</v>
      </c>
      <c r="I251" s="42">
        <f>IF(AND(Tracking[[#This Row],[Type]]="Income", shift_late_income_status="Active", DAY(Tracking[[#This Row],[Date]])&gt;=shift_late_income_starting_date), DATE(YEAR(Tracking[[#This Row],[Date]]),MONTH(Tracking[[#This Row],[Date]])+1,1),Tracking[[#This Row],[Date]])</f>
        <v>45937</v>
      </c>
      <c r="J251" s="11">
        <f>MONTH(Tracking[[#This Row],[Date]])</f>
        <v>10</v>
      </c>
      <c r="K251" s="64">
        <f>YEAR(Tracking[[#This Row],[Date]])</f>
        <v>2025</v>
      </c>
    </row>
    <row r="252" spans="3:11" x14ac:dyDescent="0.2">
      <c r="C252" s="34">
        <f>SOURCE!A242</f>
        <v>45937</v>
      </c>
      <c r="D252" s="11" t="str">
        <f>SOURCE!B242</f>
        <v>Expenses</v>
      </c>
      <c r="E252" s="11" t="str">
        <f>SOURCE!C242</f>
        <v>Restaurants</v>
      </c>
      <c r="F252" s="35">
        <f>SOURCE!E242</f>
        <v>34</v>
      </c>
      <c r="G252" s="36"/>
      <c r="H252" s="38" cm="1">
        <f t="array" ref="H252">SUMPRODUCT(Tracking[Amount],--(Tracking[Date]&lt;=Tracking[[#This Row],[Date]]),(Tracking[Type]&lt;&gt;"Income")*(-1)+(Tracking[Type]="Income"))</f>
        <v>5625.8800000000074</v>
      </c>
      <c r="I252" s="42">
        <f>IF(AND(Tracking[[#This Row],[Type]]="Income", shift_late_income_status="Active", DAY(Tracking[[#This Row],[Date]])&gt;=shift_late_income_starting_date), DATE(YEAR(Tracking[[#This Row],[Date]]),MONTH(Tracking[[#This Row],[Date]])+1,1),Tracking[[#This Row],[Date]])</f>
        <v>45937</v>
      </c>
      <c r="J252" s="11">
        <f>MONTH(Tracking[[#This Row],[Date]])</f>
        <v>10</v>
      </c>
      <c r="K252" s="64">
        <f>YEAR(Tracking[[#This Row],[Date]])</f>
        <v>2025</v>
      </c>
    </row>
    <row r="253" spans="3:11" x14ac:dyDescent="0.2">
      <c r="C253" s="34">
        <f>SOURCE!A243</f>
        <v>45937</v>
      </c>
      <c r="D253" s="11" t="str">
        <f>SOURCE!B243</f>
        <v>Income</v>
      </c>
      <c r="E253" s="11" t="str">
        <f>SOURCE!C243</f>
        <v>Extras / Twint Chargeback</v>
      </c>
      <c r="F253" s="35">
        <f>SOURCE!E243</f>
        <v>30.1</v>
      </c>
      <c r="G253" s="36"/>
      <c r="H253" s="38" cm="1">
        <f t="array" ref="H253">SUMPRODUCT(Tracking[Amount],--(Tracking[Date]&lt;=Tracking[[#This Row],[Date]]),(Tracking[Type]&lt;&gt;"Income")*(-1)+(Tracking[Type]="Income"))</f>
        <v>5625.8800000000074</v>
      </c>
      <c r="I253" s="42">
        <f>IF(AND(Tracking[[#This Row],[Type]]="Income", shift_late_income_status="Active", DAY(Tracking[[#This Row],[Date]])&gt;=shift_late_income_starting_date), DATE(YEAR(Tracking[[#This Row],[Date]]),MONTH(Tracking[[#This Row],[Date]])+1,1),Tracking[[#This Row],[Date]])</f>
        <v>45937</v>
      </c>
      <c r="J253" s="11">
        <f>MONTH(Tracking[[#This Row],[Date]])</f>
        <v>10</v>
      </c>
      <c r="K253" s="64">
        <f>YEAR(Tracking[[#This Row],[Date]])</f>
        <v>2025</v>
      </c>
    </row>
    <row r="254" spans="3:11" x14ac:dyDescent="0.2">
      <c r="C254" s="34">
        <f>SOURCE!A244</f>
        <v>45937</v>
      </c>
      <c r="D254" s="11" t="s">
        <v>13</v>
      </c>
      <c r="E254" s="11" t="s">
        <v>158</v>
      </c>
      <c r="F254" s="35">
        <f>SOURCE!E244</f>
        <v>4.99</v>
      </c>
      <c r="G254" s="36"/>
      <c r="H254" s="38" cm="1">
        <f t="array" ref="H254">SUMPRODUCT(Tracking[Amount],--(Tracking[Date]&lt;=Tracking[[#This Row],[Date]]),(Tracking[Type]&lt;&gt;"Income")*(-1)+(Tracking[Type]="Income"))</f>
        <v>5625.8800000000074</v>
      </c>
      <c r="I254" s="42">
        <f>IF(AND(Tracking[[#This Row],[Type]]="Income", shift_late_income_status="Active", DAY(Tracking[[#This Row],[Date]])&gt;=shift_late_income_starting_date), DATE(YEAR(Tracking[[#This Row],[Date]]),MONTH(Tracking[[#This Row],[Date]])+1,1),Tracking[[#This Row],[Date]])</f>
        <v>45937</v>
      </c>
      <c r="J254" s="11">
        <f>MONTH(Tracking[[#This Row],[Date]])</f>
        <v>10</v>
      </c>
      <c r="K254" s="64">
        <f>YEAR(Tracking[[#This Row],[Date]])</f>
        <v>2025</v>
      </c>
    </row>
    <row r="255" spans="3:11" x14ac:dyDescent="0.2">
      <c r="C255" s="34">
        <f>SOURCE!A245</f>
        <v>45938</v>
      </c>
      <c r="D255" s="11" t="str">
        <f>SOURCE!B245</f>
        <v>Expenses</v>
      </c>
      <c r="E255" s="11" t="s">
        <v>165</v>
      </c>
      <c r="F255" s="35">
        <f>SOURCE!E245</f>
        <v>77.400000000000006</v>
      </c>
      <c r="G255" s="36"/>
      <c r="H255" s="38" cm="1">
        <f t="array" ref="H255">SUMPRODUCT(Tracking[Amount],--(Tracking[Date]&lt;=Tracking[[#This Row],[Date]]),(Tracking[Type]&lt;&gt;"Income")*(-1)+(Tracking[Type]="Income"))</f>
        <v>5171.2200000000084</v>
      </c>
      <c r="I255" s="42">
        <f>IF(AND(Tracking[[#This Row],[Type]]="Income", shift_late_income_status="Active", DAY(Tracking[[#This Row],[Date]])&gt;=shift_late_income_starting_date), DATE(YEAR(Tracking[[#This Row],[Date]]),MONTH(Tracking[[#This Row],[Date]])+1,1),Tracking[[#This Row],[Date]])</f>
        <v>45938</v>
      </c>
      <c r="J255" s="11">
        <f>MONTH(Tracking[[#This Row],[Date]])</f>
        <v>10</v>
      </c>
      <c r="K255" s="64">
        <f>YEAR(Tracking[[#This Row],[Date]])</f>
        <v>2025</v>
      </c>
    </row>
    <row r="256" spans="3:11" x14ac:dyDescent="0.2">
      <c r="C256" s="34">
        <f>SOURCE!A246</f>
        <v>45938</v>
      </c>
      <c r="D256" s="11" t="str">
        <f>SOURCE!B246</f>
        <v>Expenses</v>
      </c>
      <c r="E256" s="11" t="s">
        <v>111</v>
      </c>
      <c r="F256" s="35">
        <f>SOURCE!E246</f>
        <v>54</v>
      </c>
      <c r="G256" s="36"/>
      <c r="H256" s="38" cm="1">
        <f t="array" ref="H256">SUMPRODUCT(Tracking[Amount],--(Tracking[Date]&lt;=Tracking[[#This Row],[Date]]),(Tracking[Type]&lt;&gt;"Income")*(-1)+(Tracking[Type]="Income"))</f>
        <v>5171.2200000000084</v>
      </c>
      <c r="I256" s="42">
        <f>IF(AND(Tracking[[#This Row],[Type]]="Income", shift_late_income_status="Active", DAY(Tracking[[#This Row],[Date]])&gt;=shift_late_income_starting_date), DATE(YEAR(Tracking[[#This Row],[Date]]),MONTH(Tracking[[#This Row],[Date]])+1,1),Tracking[[#This Row],[Date]])</f>
        <v>45938</v>
      </c>
      <c r="J256" s="11">
        <f>MONTH(Tracking[[#This Row],[Date]])</f>
        <v>10</v>
      </c>
      <c r="K256" s="64">
        <f>YEAR(Tracking[[#This Row],[Date]])</f>
        <v>2025</v>
      </c>
    </row>
    <row r="257" spans="3:11" x14ac:dyDescent="0.2">
      <c r="C257" s="34">
        <f>SOURCE!A247</f>
        <v>45938</v>
      </c>
      <c r="D257" s="11" t="str">
        <f>SOURCE!B247</f>
        <v>Expenses</v>
      </c>
      <c r="E257" s="11" t="s">
        <v>111</v>
      </c>
      <c r="F257" s="35">
        <f>SOURCE!E247</f>
        <v>17</v>
      </c>
      <c r="G257" s="36"/>
      <c r="H257" s="38" cm="1">
        <f t="array" ref="H257">SUMPRODUCT(Tracking[Amount],--(Tracking[Date]&lt;=Tracking[[#This Row],[Date]]),(Tracking[Type]&lt;&gt;"Income")*(-1)+(Tracking[Type]="Income"))</f>
        <v>5171.2200000000084</v>
      </c>
      <c r="I257" s="42">
        <f>IF(AND(Tracking[[#This Row],[Type]]="Income", shift_late_income_status="Active", DAY(Tracking[[#This Row],[Date]])&gt;=shift_late_income_starting_date), DATE(YEAR(Tracking[[#This Row],[Date]]),MONTH(Tracking[[#This Row],[Date]])+1,1),Tracking[[#This Row],[Date]])</f>
        <v>45938</v>
      </c>
      <c r="J257" s="11">
        <f>MONTH(Tracking[[#This Row],[Date]])</f>
        <v>10</v>
      </c>
      <c r="K257" s="64">
        <f>YEAR(Tracking[[#This Row],[Date]])</f>
        <v>2025</v>
      </c>
    </row>
    <row r="258" spans="3:11" x14ac:dyDescent="0.2">
      <c r="C258" s="34">
        <f>SOURCE!A248</f>
        <v>45938</v>
      </c>
      <c r="D258" s="11" t="str">
        <f>SOURCE!B248</f>
        <v>Expenses</v>
      </c>
      <c r="E258" s="11" t="str">
        <f>SOURCE!C248</f>
        <v>Train</v>
      </c>
      <c r="F258" s="35">
        <f>SOURCE!E248</f>
        <v>9.6</v>
      </c>
      <c r="G258" s="36"/>
      <c r="H258" s="38" cm="1">
        <f t="array" ref="H258">SUMPRODUCT(Tracking[Amount],--(Tracking[Date]&lt;=Tracking[[#This Row],[Date]]),(Tracking[Type]&lt;&gt;"Income")*(-1)+(Tracking[Type]="Income"))</f>
        <v>5171.2200000000084</v>
      </c>
      <c r="I258" s="42">
        <f>IF(AND(Tracking[[#This Row],[Type]]="Income", shift_late_income_status="Active", DAY(Tracking[[#This Row],[Date]])&gt;=shift_late_income_starting_date), DATE(YEAR(Tracking[[#This Row],[Date]]),MONTH(Tracking[[#This Row],[Date]])+1,1),Tracking[[#This Row],[Date]])</f>
        <v>45938</v>
      </c>
      <c r="J258" s="11">
        <f>MONTH(Tracking[[#This Row],[Date]])</f>
        <v>10</v>
      </c>
      <c r="K258" s="64">
        <f>YEAR(Tracking[[#This Row],[Date]])</f>
        <v>2025</v>
      </c>
    </row>
    <row r="259" spans="3:11" x14ac:dyDescent="0.2">
      <c r="C259" s="34">
        <f>SOURCE!A249</f>
        <v>45938</v>
      </c>
      <c r="D259" s="11" t="str">
        <f>SOURCE!B249</f>
        <v>Expenses</v>
      </c>
      <c r="E259" s="11" t="str">
        <f>SOURCE!C249</f>
        <v>Train</v>
      </c>
      <c r="F259" s="35">
        <f>SOURCE!E249</f>
        <v>9.6</v>
      </c>
      <c r="G259" s="36"/>
      <c r="H259" s="38" cm="1">
        <f t="array" ref="H259">SUMPRODUCT(Tracking[Amount],--(Tracking[Date]&lt;=Tracking[[#This Row],[Date]]),(Tracking[Type]&lt;&gt;"Income")*(-1)+(Tracking[Type]="Income"))</f>
        <v>5171.2200000000084</v>
      </c>
      <c r="I259" s="42">
        <f>IF(AND(Tracking[[#This Row],[Type]]="Income", shift_late_income_status="Active", DAY(Tracking[[#This Row],[Date]])&gt;=shift_late_income_starting_date), DATE(YEAR(Tracking[[#This Row],[Date]]),MONTH(Tracking[[#This Row],[Date]])+1,1),Tracking[[#This Row],[Date]])</f>
        <v>45938</v>
      </c>
      <c r="J259" s="11">
        <f>MONTH(Tracking[[#This Row],[Date]])</f>
        <v>10</v>
      </c>
      <c r="K259" s="64">
        <f>YEAR(Tracking[[#This Row],[Date]])</f>
        <v>2025</v>
      </c>
    </row>
    <row r="260" spans="3:11" x14ac:dyDescent="0.2">
      <c r="C260" s="34">
        <f>SOURCE!A250</f>
        <v>45938</v>
      </c>
      <c r="D260" s="11" t="str">
        <f>SOURCE!B250</f>
        <v>Expenses</v>
      </c>
      <c r="E260" s="11" t="str">
        <f>SOURCE!C250</f>
        <v>Train</v>
      </c>
      <c r="F260" s="35">
        <f>SOURCE!E250</f>
        <v>4.7</v>
      </c>
      <c r="G260" s="36"/>
      <c r="H260" s="38" cm="1">
        <f t="array" ref="H260">SUMPRODUCT(Tracking[Amount],--(Tracking[Date]&lt;=Tracking[[#This Row],[Date]]),(Tracking[Type]&lt;&gt;"Income")*(-1)+(Tracking[Type]="Income"))</f>
        <v>5171.2200000000084</v>
      </c>
      <c r="I260" s="42">
        <f>IF(AND(Tracking[[#This Row],[Type]]="Income", shift_late_income_status="Active", DAY(Tracking[[#This Row],[Date]])&gt;=shift_late_income_starting_date), DATE(YEAR(Tracking[[#This Row],[Date]]),MONTH(Tracking[[#This Row],[Date]])+1,1),Tracking[[#This Row],[Date]])</f>
        <v>45938</v>
      </c>
      <c r="J260" s="11">
        <f>MONTH(Tracking[[#This Row],[Date]])</f>
        <v>10</v>
      </c>
      <c r="K260" s="64">
        <f>YEAR(Tracking[[#This Row],[Date]])</f>
        <v>2025</v>
      </c>
    </row>
    <row r="261" spans="3:11" x14ac:dyDescent="0.2">
      <c r="C261" s="34">
        <f>SOURCE!A251</f>
        <v>45938</v>
      </c>
      <c r="D261" s="11" t="str">
        <f>SOURCE!B251</f>
        <v>Income</v>
      </c>
      <c r="E261" s="11" t="s">
        <v>105</v>
      </c>
      <c r="F261" s="35">
        <f>SOURCE!E251</f>
        <v>9.6</v>
      </c>
      <c r="G261" s="36"/>
      <c r="H261" s="38" cm="1">
        <f t="array" ref="H261">SUMPRODUCT(Tracking[Amount],--(Tracking[Date]&lt;=Tracking[[#This Row],[Date]]),(Tracking[Type]&lt;&gt;"Income")*(-1)+(Tracking[Type]="Income"))</f>
        <v>5171.2200000000084</v>
      </c>
      <c r="I261" s="42">
        <f>IF(AND(Tracking[[#This Row],[Type]]="Income", shift_late_income_status="Active", DAY(Tracking[[#This Row],[Date]])&gt;=shift_late_income_starting_date), DATE(YEAR(Tracking[[#This Row],[Date]]),MONTH(Tracking[[#This Row],[Date]])+1,1),Tracking[[#This Row],[Date]])</f>
        <v>45938</v>
      </c>
      <c r="J261" s="11">
        <f>MONTH(Tracking[[#This Row],[Date]])</f>
        <v>10</v>
      </c>
      <c r="K261" s="64">
        <f>YEAR(Tracking[[#This Row],[Date]])</f>
        <v>2025</v>
      </c>
    </row>
    <row r="262" spans="3:11" x14ac:dyDescent="0.2">
      <c r="C262" s="34">
        <f>SOURCE!A252</f>
        <v>45938</v>
      </c>
      <c r="D262" s="11" t="str">
        <f>SOURCE!B252</f>
        <v>Expenses</v>
      </c>
      <c r="E262" s="11" t="s">
        <v>165</v>
      </c>
      <c r="F262" s="35">
        <f>SOURCE!E252</f>
        <v>143.37</v>
      </c>
      <c r="G262" s="36"/>
      <c r="H262" s="38" cm="1">
        <f t="array" ref="H262">SUMPRODUCT(Tracking[Amount],--(Tracking[Date]&lt;=Tracking[[#This Row],[Date]]),(Tracking[Type]&lt;&gt;"Income")*(-1)+(Tracking[Type]="Income"))</f>
        <v>5171.2200000000084</v>
      </c>
      <c r="I262" s="42">
        <f>IF(AND(Tracking[[#This Row],[Type]]="Income", shift_late_income_status="Active", DAY(Tracking[[#This Row],[Date]])&gt;=shift_late_income_starting_date), DATE(YEAR(Tracking[[#This Row],[Date]]),MONTH(Tracking[[#This Row],[Date]])+1,1),Tracking[[#This Row],[Date]])</f>
        <v>45938</v>
      </c>
      <c r="J262" s="11">
        <f>MONTH(Tracking[[#This Row],[Date]])</f>
        <v>10</v>
      </c>
      <c r="K262" s="64">
        <f>YEAR(Tracking[[#This Row],[Date]])</f>
        <v>2025</v>
      </c>
    </row>
    <row r="263" spans="3:11" x14ac:dyDescent="0.2">
      <c r="C263" s="34">
        <f>SOURCE!A253</f>
        <v>45938</v>
      </c>
      <c r="D263" s="11" t="s">
        <v>13</v>
      </c>
      <c r="E263" s="11" t="s">
        <v>165</v>
      </c>
      <c r="F263" s="35">
        <f>SOURCE!E253</f>
        <v>18</v>
      </c>
      <c r="G263" s="36"/>
      <c r="H263" s="38" cm="1">
        <f t="array" ref="H263">SUMPRODUCT(Tracking[Amount],--(Tracking[Date]&lt;=Tracking[[#This Row],[Date]]),(Tracking[Type]&lt;&gt;"Income")*(-1)+(Tracking[Type]="Income"))</f>
        <v>5171.2200000000084</v>
      </c>
      <c r="I263" s="42">
        <f>IF(AND(Tracking[[#This Row],[Type]]="Income", shift_late_income_status="Active", DAY(Tracking[[#This Row],[Date]])&gt;=shift_late_income_starting_date), DATE(YEAR(Tracking[[#This Row],[Date]]),MONTH(Tracking[[#This Row],[Date]])+1,1),Tracking[[#This Row],[Date]])</f>
        <v>45938</v>
      </c>
      <c r="J263" s="11">
        <f>MONTH(Tracking[[#This Row],[Date]])</f>
        <v>10</v>
      </c>
      <c r="K263" s="64">
        <f>YEAR(Tracking[[#This Row],[Date]])</f>
        <v>2025</v>
      </c>
    </row>
    <row r="264" spans="3:11" x14ac:dyDescent="0.2">
      <c r="C264" s="34">
        <f>SOURCE!A254</f>
        <v>45938</v>
      </c>
      <c r="D264" s="11" t="str">
        <f>SOURCE!B254</f>
        <v>Expenses</v>
      </c>
      <c r="E264" s="11" t="s">
        <v>165</v>
      </c>
      <c r="F264" s="35">
        <f>SOURCE!E254</f>
        <v>124.69</v>
      </c>
      <c r="G264" s="36"/>
      <c r="H264" s="38" cm="1">
        <f t="array" ref="H264">SUMPRODUCT(Tracking[Amount],--(Tracking[Date]&lt;=Tracking[[#This Row],[Date]]),(Tracking[Type]&lt;&gt;"Income")*(-1)+(Tracking[Type]="Income"))</f>
        <v>5171.2200000000084</v>
      </c>
      <c r="I264" s="42">
        <f>IF(AND(Tracking[[#This Row],[Type]]="Income", shift_late_income_status="Active", DAY(Tracking[[#This Row],[Date]])&gt;=shift_late_income_starting_date), DATE(YEAR(Tracking[[#This Row],[Date]]),MONTH(Tracking[[#This Row],[Date]])+1,1),Tracking[[#This Row],[Date]])</f>
        <v>45938</v>
      </c>
      <c r="J264" s="11">
        <f>MONTH(Tracking[[#This Row],[Date]])</f>
        <v>10</v>
      </c>
      <c r="K264" s="64">
        <f>YEAR(Tracking[[#This Row],[Date]])</f>
        <v>2025</v>
      </c>
    </row>
    <row r="265" spans="3:11" x14ac:dyDescent="0.2">
      <c r="C265" s="34">
        <f>SOURCE!A255</f>
        <v>45938</v>
      </c>
      <c r="D265" s="11" t="str">
        <f>SOURCE!B255</f>
        <v>Expenses</v>
      </c>
      <c r="E265" s="11" t="str">
        <f>SOURCE!C255</f>
        <v>Groceries</v>
      </c>
      <c r="F265" s="35">
        <f>SOURCE!E255</f>
        <v>5.9</v>
      </c>
      <c r="G265" s="36"/>
      <c r="H265" s="38" cm="1">
        <f t="array" ref="H265">SUMPRODUCT(Tracking[Amount],--(Tracking[Date]&lt;=Tracking[[#This Row],[Date]]),(Tracking[Type]&lt;&gt;"Income")*(-1)+(Tracking[Type]="Income"))</f>
        <v>5171.2200000000084</v>
      </c>
      <c r="I265" s="42">
        <f>IF(AND(Tracking[[#This Row],[Type]]="Income", shift_late_income_status="Active", DAY(Tracking[[#This Row],[Date]])&gt;=shift_late_income_starting_date), DATE(YEAR(Tracking[[#This Row],[Date]]),MONTH(Tracking[[#This Row],[Date]])+1,1),Tracking[[#This Row],[Date]])</f>
        <v>45938</v>
      </c>
      <c r="J265" s="11">
        <f>MONTH(Tracking[[#This Row],[Date]])</f>
        <v>10</v>
      </c>
      <c r="K265" s="64">
        <f>YEAR(Tracking[[#This Row],[Date]])</f>
        <v>2025</v>
      </c>
    </row>
    <row r="266" spans="3:11" x14ac:dyDescent="0.2">
      <c r="C266" s="34">
        <f>SOURCE!A256</f>
        <v>45939</v>
      </c>
      <c r="D266" s="11" t="str">
        <f>SOURCE!B256</f>
        <v>Income</v>
      </c>
      <c r="E266" s="11" t="str">
        <f>SOURCE!C256</f>
        <v>Extras / Twint Chargeback</v>
      </c>
      <c r="F266" s="35">
        <f>SOURCE!E256</f>
        <v>6.5</v>
      </c>
      <c r="G266" s="36"/>
      <c r="H266" s="38" cm="1">
        <f t="array" ref="H266">SUMPRODUCT(Tracking[Amount],--(Tracking[Date]&lt;=Tracking[[#This Row],[Date]]),(Tracking[Type]&lt;&gt;"Income")*(-1)+(Tracking[Type]="Income"))</f>
        <v>5150.5200000000086</v>
      </c>
      <c r="I266" s="42">
        <f>IF(AND(Tracking[[#This Row],[Type]]="Income", shift_late_income_status="Active", DAY(Tracking[[#This Row],[Date]])&gt;=shift_late_income_starting_date), DATE(YEAR(Tracking[[#This Row],[Date]]),MONTH(Tracking[[#This Row],[Date]])+1,1),Tracking[[#This Row],[Date]])</f>
        <v>45939</v>
      </c>
      <c r="J266" s="11">
        <f>MONTH(Tracking[[#This Row],[Date]])</f>
        <v>10</v>
      </c>
      <c r="K266" s="64">
        <f>YEAR(Tracking[[#This Row],[Date]])</f>
        <v>2025</v>
      </c>
    </row>
    <row r="267" spans="3:11" x14ac:dyDescent="0.2">
      <c r="C267" s="34">
        <f>SOURCE!A257</f>
        <v>45939</v>
      </c>
      <c r="D267" s="11" t="str">
        <f>SOURCE!B257</f>
        <v>Expenses</v>
      </c>
      <c r="E267" s="11" t="str">
        <f>SOURCE!C257</f>
        <v>Train</v>
      </c>
      <c r="F267" s="35">
        <f>SOURCE!E257</f>
        <v>4.7</v>
      </c>
      <c r="G267" s="36"/>
      <c r="H267" s="38" cm="1">
        <f t="array" ref="H267">SUMPRODUCT(Tracking[Amount],--(Tracking[Date]&lt;=Tracking[[#This Row],[Date]]),(Tracking[Type]&lt;&gt;"Income")*(-1)+(Tracking[Type]="Income"))</f>
        <v>5150.5200000000086</v>
      </c>
      <c r="I267" s="42">
        <f>IF(AND(Tracking[[#This Row],[Type]]="Income", shift_late_income_status="Active", DAY(Tracking[[#This Row],[Date]])&gt;=shift_late_income_starting_date), DATE(YEAR(Tracking[[#This Row],[Date]]),MONTH(Tracking[[#This Row],[Date]])+1,1),Tracking[[#This Row],[Date]])</f>
        <v>45939</v>
      </c>
      <c r="J267" s="11">
        <f>MONTH(Tracking[[#This Row],[Date]])</f>
        <v>10</v>
      </c>
      <c r="K267" s="64">
        <f>YEAR(Tracking[[#This Row],[Date]])</f>
        <v>2025</v>
      </c>
    </row>
    <row r="268" spans="3:11" x14ac:dyDescent="0.2">
      <c r="C268" s="34">
        <f>SOURCE!A258</f>
        <v>45939</v>
      </c>
      <c r="D268" s="11" t="str">
        <f>SOURCE!B258</f>
        <v>Expenses</v>
      </c>
      <c r="E268" s="11" t="str">
        <f>SOURCE!C258</f>
        <v>Restaurants</v>
      </c>
      <c r="F268" s="35">
        <f>SOURCE!E258</f>
        <v>9.5</v>
      </c>
      <c r="G268" s="36"/>
      <c r="H268" s="38" cm="1">
        <f t="array" ref="H268">SUMPRODUCT(Tracking[Amount],--(Tracking[Date]&lt;=Tracking[[#This Row],[Date]]),(Tracking[Type]&lt;&gt;"Income")*(-1)+(Tracking[Type]="Income"))</f>
        <v>5150.5200000000086</v>
      </c>
      <c r="I268" s="42">
        <f>IF(AND(Tracking[[#This Row],[Type]]="Income", shift_late_income_status="Active", DAY(Tracking[[#This Row],[Date]])&gt;=shift_late_income_starting_date), DATE(YEAR(Tracking[[#This Row],[Date]]),MONTH(Tracking[[#This Row],[Date]])+1,1),Tracking[[#This Row],[Date]])</f>
        <v>45939</v>
      </c>
      <c r="J268" s="11">
        <f>MONTH(Tracking[[#This Row],[Date]])</f>
        <v>10</v>
      </c>
      <c r="K268" s="64">
        <f>YEAR(Tracking[[#This Row],[Date]])</f>
        <v>2025</v>
      </c>
    </row>
    <row r="269" spans="3:11" x14ac:dyDescent="0.2">
      <c r="C269" s="34">
        <f>SOURCE!A259</f>
        <v>45939</v>
      </c>
      <c r="D269" s="11" t="str">
        <f>SOURCE!B259</f>
        <v>Expenses</v>
      </c>
      <c r="E269" s="11" t="str">
        <f>SOURCE!C259</f>
        <v>Car</v>
      </c>
      <c r="F269" s="35">
        <f>SOURCE!E259</f>
        <v>13</v>
      </c>
      <c r="G269" s="36"/>
      <c r="H269" s="38" cm="1">
        <f t="array" ref="H269">SUMPRODUCT(Tracking[Amount],--(Tracking[Date]&lt;=Tracking[[#This Row],[Date]]),(Tracking[Type]&lt;&gt;"Income")*(-1)+(Tracking[Type]="Income"))</f>
        <v>5150.5200000000086</v>
      </c>
      <c r="I269" s="42">
        <f>IF(AND(Tracking[[#This Row],[Type]]="Income", shift_late_income_status="Active", DAY(Tracking[[#This Row],[Date]])&gt;=shift_late_income_starting_date), DATE(YEAR(Tracking[[#This Row],[Date]]),MONTH(Tracking[[#This Row],[Date]])+1,1),Tracking[[#This Row],[Date]])</f>
        <v>45939</v>
      </c>
      <c r="J269" s="11">
        <f>MONTH(Tracking[[#This Row],[Date]])</f>
        <v>10</v>
      </c>
      <c r="K269" s="64">
        <f>YEAR(Tracking[[#This Row],[Date]])</f>
        <v>2025</v>
      </c>
    </row>
    <row r="270" spans="3:11" x14ac:dyDescent="0.2">
      <c r="C270" s="34">
        <f>SOURCE!A260</f>
        <v>45940</v>
      </c>
      <c r="D270" s="11" t="str">
        <f>SOURCE!B260</f>
        <v>Expenses</v>
      </c>
      <c r="E270" s="11" t="str">
        <f>SOURCE!C260</f>
        <v>Restaurants</v>
      </c>
      <c r="F270" s="35">
        <f>SOURCE!E260</f>
        <v>8</v>
      </c>
      <c r="G270" s="36"/>
      <c r="H270" s="38" cm="1">
        <f t="array" ref="H270">SUMPRODUCT(Tracking[Amount],--(Tracking[Date]&lt;=Tracking[[#This Row],[Date]]),(Tracking[Type]&lt;&gt;"Income")*(-1)+(Tracking[Type]="Income"))</f>
        <v>4901.4200000000092</v>
      </c>
      <c r="I270" s="42">
        <f>IF(AND(Tracking[[#This Row],[Type]]="Income", shift_late_income_status="Active", DAY(Tracking[[#This Row],[Date]])&gt;=shift_late_income_starting_date), DATE(YEAR(Tracking[[#This Row],[Date]]),MONTH(Tracking[[#This Row],[Date]])+1,1),Tracking[[#This Row],[Date]])</f>
        <v>45940</v>
      </c>
      <c r="J270" s="11">
        <f>MONTH(Tracking[[#This Row],[Date]])</f>
        <v>10</v>
      </c>
      <c r="K270" s="64">
        <f>YEAR(Tracking[[#This Row],[Date]])</f>
        <v>2025</v>
      </c>
    </row>
    <row r="271" spans="3:11" x14ac:dyDescent="0.2">
      <c r="C271" s="34">
        <f>SOURCE!A261</f>
        <v>45940</v>
      </c>
      <c r="D271" s="11" t="s">
        <v>13</v>
      </c>
      <c r="E271" s="11" t="s">
        <v>111</v>
      </c>
      <c r="F271" s="35">
        <f>SOURCE!E261</f>
        <v>43.9</v>
      </c>
      <c r="G271" s="36"/>
      <c r="H271" s="38" cm="1">
        <f t="array" ref="H271">SUMPRODUCT(Tracking[Amount],--(Tracking[Date]&lt;=Tracking[[#This Row],[Date]]),(Tracking[Type]&lt;&gt;"Income")*(-1)+(Tracking[Type]="Income"))</f>
        <v>4901.4200000000092</v>
      </c>
      <c r="I271" s="42">
        <f>IF(AND(Tracking[[#This Row],[Type]]="Income", shift_late_income_status="Active", DAY(Tracking[[#This Row],[Date]])&gt;=shift_late_income_starting_date), DATE(YEAR(Tracking[[#This Row],[Date]]),MONTH(Tracking[[#This Row],[Date]])+1,1),Tracking[[#This Row],[Date]])</f>
        <v>45940</v>
      </c>
      <c r="J271" s="11">
        <f>MONTH(Tracking[[#This Row],[Date]])</f>
        <v>10</v>
      </c>
      <c r="K271" s="64">
        <f>YEAR(Tracking[[#This Row],[Date]])</f>
        <v>2025</v>
      </c>
    </row>
    <row r="272" spans="3:11" x14ac:dyDescent="0.2">
      <c r="C272" s="34">
        <f>SOURCE!A262</f>
        <v>45940</v>
      </c>
      <c r="D272" s="11" t="s">
        <v>13</v>
      </c>
      <c r="E272" s="11" t="s">
        <v>104</v>
      </c>
      <c r="F272" s="35">
        <f>SOURCE!E262</f>
        <v>38.9</v>
      </c>
      <c r="G272" s="36"/>
      <c r="H272" s="38" cm="1">
        <f t="array" ref="H272">SUMPRODUCT(Tracking[Amount],--(Tracking[Date]&lt;=Tracking[[#This Row],[Date]]),(Tracking[Type]&lt;&gt;"Income")*(-1)+(Tracking[Type]="Income"))</f>
        <v>4901.4200000000092</v>
      </c>
      <c r="I272" s="42">
        <f>IF(AND(Tracking[[#This Row],[Type]]="Income", shift_late_income_status="Active", DAY(Tracking[[#This Row],[Date]])&gt;=shift_late_income_starting_date), DATE(YEAR(Tracking[[#This Row],[Date]]),MONTH(Tracking[[#This Row],[Date]])+1,1),Tracking[[#This Row],[Date]])</f>
        <v>45940</v>
      </c>
      <c r="J272" s="11">
        <f>MONTH(Tracking[[#This Row],[Date]])</f>
        <v>10</v>
      </c>
      <c r="K272" s="64">
        <f>YEAR(Tracking[[#This Row],[Date]])</f>
        <v>2025</v>
      </c>
    </row>
    <row r="273" spans="3:11" x14ac:dyDescent="0.2">
      <c r="C273" s="34">
        <f>SOURCE!A263</f>
        <v>45940</v>
      </c>
      <c r="D273" s="11" t="str">
        <f>SOURCE!B263</f>
        <v>Expenses</v>
      </c>
      <c r="E273" s="11" t="s">
        <v>163</v>
      </c>
      <c r="F273" s="35">
        <f>SOURCE!E263</f>
        <v>32.35</v>
      </c>
      <c r="G273" s="36"/>
      <c r="H273" s="38" cm="1">
        <f t="array" ref="H273">SUMPRODUCT(Tracking[Amount],--(Tracking[Date]&lt;=Tracking[[#This Row],[Date]]),(Tracking[Type]&lt;&gt;"Income")*(-1)+(Tracking[Type]="Income"))</f>
        <v>4901.4200000000092</v>
      </c>
      <c r="I273" s="42">
        <f>IF(AND(Tracking[[#This Row],[Type]]="Income", shift_late_income_status="Active", DAY(Tracking[[#This Row],[Date]])&gt;=shift_late_income_starting_date), DATE(YEAR(Tracking[[#This Row],[Date]]),MONTH(Tracking[[#This Row],[Date]])+1,1),Tracking[[#This Row],[Date]])</f>
        <v>45940</v>
      </c>
      <c r="J273" s="11">
        <f>MONTH(Tracking[[#This Row],[Date]])</f>
        <v>10</v>
      </c>
      <c r="K273" s="64">
        <f>YEAR(Tracking[[#This Row],[Date]])</f>
        <v>2025</v>
      </c>
    </row>
    <row r="274" spans="3:11" x14ac:dyDescent="0.2">
      <c r="C274" s="34">
        <f>SOURCE!A264</f>
        <v>45940</v>
      </c>
      <c r="D274" s="11" t="str">
        <f>SOURCE!B264</f>
        <v>Expenses</v>
      </c>
      <c r="E274" s="11" t="s">
        <v>163</v>
      </c>
      <c r="F274" s="35">
        <f>SOURCE!E264</f>
        <v>49</v>
      </c>
      <c r="G274" s="36"/>
      <c r="H274" s="38" cm="1">
        <f t="array" ref="H274">SUMPRODUCT(Tracking[Amount],--(Tracking[Date]&lt;=Tracking[[#This Row],[Date]]),(Tracking[Type]&lt;&gt;"Income")*(-1)+(Tracking[Type]="Income"))</f>
        <v>4901.4200000000092</v>
      </c>
      <c r="I274" s="42">
        <f>IF(AND(Tracking[[#This Row],[Type]]="Income", shift_late_income_status="Active", DAY(Tracking[[#This Row],[Date]])&gt;=shift_late_income_starting_date), DATE(YEAR(Tracking[[#This Row],[Date]]),MONTH(Tracking[[#This Row],[Date]])+1,1),Tracking[[#This Row],[Date]])</f>
        <v>45940</v>
      </c>
      <c r="J274" s="11">
        <f>MONTH(Tracking[[#This Row],[Date]])</f>
        <v>10</v>
      </c>
      <c r="K274" s="64">
        <f>YEAR(Tracking[[#This Row],[Date]])</f>
        <v>2025</v>
      </c>
    </row>
    <row r="275" spans="3:11" x14ac:dyDescent="0.2">
      <c r="C275" s="34">
        <f>SOURCE!A265</f>
        <v>45940</v>
      </c>
      <c r="D275" s="11" t="str">
        <f>SOURCE!B265</f>
        <v>Expenses</v>
      </c>
      <c r="E275" s="11" t="s">
        <v>163</v>
      </c>
      <c r="F275" s="35">
        <f>SOURCE!E265</f>
        <v>49</v>
      </c>
      <c r="G275" s="36"/>
      <c r="H275" s="38" cm="1">
        <f t="array" ref="H275">SUMPRODUCT(Tracking[Amount],--(Tracking[Date]&lt;=Tracking[[#This Row],[Date]]),(Tracking[Type]&lt;&gt;"Income")*(-1)+(Tracking[Type]="Income"))</f>
        <v>4901.4200000000092</v>
      </c>
      <c r="I275" s="42">
        <f>IF(AND(Tracking[[#This Row],[Type]]="Income", shift_late_income_status="Active", DAY(Tracking[[#This Row],[Date]])&gt;=shift_late_income_starting_date), DATE(YEAR(Tracking[[#This Row],[Date]]),MONTH(Tracking[[#This Row],[Date]])+1,1),Tracking[[#This Row],[Date]])</f>
        <v>45940</v>
      </c>
      <c r="J275" s="11">
        <f>MONTH(Tracking[[#This Row],[Date]])</f>
        <v>10</v>
      </c>
      <c r="K275" s="64">
        <f>YEAR(Tracking[[#This Row],[Date]])</f>
        <v>2025</v>
      </c>
    </row>
    <row r="276" spans="3:11" x14ac:dyDescent="0.2">
      <c r="C276" s="34">
        <f>SOURCE!A266</f>
        <v>45940</v>
      </c>
      <c r="D276" s="11" t="str">
        <f>SOURCE!B266</f>
        <v>Expenses</v>
      </c>
      <c r="E276" s="11" t="s">
        <v>163</v>
      </c>
      <c r="F276" s="35">
        <f>SOURCE!E266</f>
        <v>27.95</v>
      </c>
      <c r="G276" s="36"/>
      <c r="H276" s="38" cm="1">
        <f t="array" ref="H276">SUMPRODUCT(Tracking[Amount],--(Tracking[Date]&lt;=Tracking[[#This Row],[Date]]),(Tracking[Type]&lt;&gt;"Income")*(-1)+(Tracking[Type]="Income"))</f>
        <v>4901.4200000000092</v>
      </c>
      <c r="I276" s="42">
        <f>IF(AND(Tracking[[#This Row],[Type]]="Income", shift_late_income_status="Active", DAY(Tracking[[#This Row],[Date]])&gt;=shift_late_income_starting_date), DATE(YEAR(Tracking[[#This Row],[Date]]),MONTH(Tracking[[#This Row],[Date]])+1,1),Tracking[[#This Row],[Date]])</f>
        <v>45940</v>
      </c>
      <c r="J276" s="11">
        <f>MONTH(Tracking[[#This Row],[Date]])</f>
        <v>10</v>
      </c>
      <c r="K276" s="64">
        <f>YEAR(Tracking[[#This Row],[Date]])</f>
        <v>2025</v>
      </c>
    </row>
    <row r="277" spans="3:11" x14ac:dyDescent="0.2">
      <c r="C277" s="34">
        <f>SOURCE!A267</f>
        <v>45941</v>
      </c>
      <c r="D277" s="11" t="str">
        <f>SOURCE!B267</f>
        <v>Expenses</v>
      </c>
      <c r="E277" s="11" t="str">
        <f>SOURCE!C267</f>
        <v>Restaurants</v>
      </c>
      <c r="F277" s="35">
        <f>SOURCE!E267</f>
        <v>30</v>
      </c>
      <c r="G277" s="36"/>
      <c r="H277" s="38" cm="1">
        <f t="array" ref="H277">SUMPRODUCT(Tracking[Amount],--(Tracking[Date]&lt;=Tracking[[#This Row],[Date]]),(Tracking[Type]&lt;&gt;"Income")*(-1)+(Tracking[Type]="Income"))</f>
        <v>4845.620000000009</v>
      </c>
      <c r="I277" s="42">
        <f>IF(AND(Tracking[[#This Row],[Type]]="Income", shift_late_income_status="Active", DAY(Tracking[[#This Row],[Date]])&gt;=shift_late_income_starting_date), DATE(YEAR(Tracking[[#This Row],[Date]]),MONTH(Tracking[[#This Row],[Date]])+1,1),Tracking[[#This Row],[Date]])</f>
        <v>45941</v>
      </c>
      <c r="J277" s="11">
        <f>MONTH(Tracking[[#This Row],[Date]])</f>
        <v>10</v>
      </c>
      <c r="K277" s="64">
        <f>YEAR(Tracking[[#This Row],[Date]])</f>
        <v>2025</v>
      </c>
    </row>
    <row r="278" spans="3:11" x14ac:dyDescent="0.2">
      <c r="C278" s="34">
        <f>SOURCE!A268</f>
        <v>45941</v>
      </c>
      <c r="D278" s="11" t="str">
        <f>SOURCE!B268</f>
        <v>Expenses</v>
      </c>
      <c r="E278" s="11" t="str">
        <f>SOURCE!C268</f>
        <v>Groceries</v>
      </c>
      <c r="F278" s="35">
        <f>SOURCE!E268</f>
        <v>2.2000000000000002</v>
      </c>
      <c r="G278" s="36"/>
      <c r="H278" s="38" cm="1">
        <f t="array" ref="H278">SUMPRODUCT(Tracking[Amount],--(Tracking[Date]&lt;=Tracking[[#This Row],[Date]]),(Tracking[Type]&lt;&gt;"Income")*(-1)+(Tracking[Type]="Income"))</f>
        <v>4845.620000000009</v>
      </c>
      <c r="I278" s="42">
        <f>IF(AND(Tracking[[#This Row],[Type]]="Income", shift_late_income_status="Active", DAY(Tracking[[#This Row],[Date]])&gt;=shift_late_income_starting_date), DATE(YEAR(Tracking[[#This Row],[Date]]),MONTH(Tracking[[#This Row],[Date]])+1,1),Tracking[[#This Row],[Date]])</f>
        <v>45941</v>
      </c>
      <c r="J278" s="11">
        <f>MONTH(Tracking[[#This Row],[Date]])</f>
        <v>10</v>
      </c>
      <c r="K278" s="64">
        <f>YEAR(Tracking[[#This Row],[Date]])</f>
        <v>2025</v>
      </c>
    </row>
    <row r="279" spans="3:11" x14ac:dyDescent="0.2">
      <c r="C279" s="34">
        <f>SOURCE!A269</f>
        <v>45941</v>
      </c>
      <c r="D279" s="11" t="str">
        <f>SOURCE!B269</f>
        <v>Expenses</v>
      </c>
      <c r="E279" s="11" t="str">
        <f>SOURCE!C269</f>
        <v>Groceries</v>
      </c>
      <c r="F279" s="35">
        <f>SOURCE!E269</f>
        <v>8.6</v>
      </c>
      <c r="G279" s="36"/>
      <c r="H279" s="38" cm="1">
        <f t="array" ref="H279">SUMPRODUCT(Tracking[Amount],--(Tracking[Date]&lt;=Tracking[[#This Row],[Date]]),(Tracking[Type]&lt;&gt;"Income")*(-1)+(Tracking[Type]="Income"))</f>
        <v>4845.620000000009</v>
      </c>
      <c r="I279" s="42">
        <f>IF(AND(Tracking[[#This Row],[Type]]="Income", shift_late_income_status="Active", DAY(Tracking[[#This Row],[Date]])&gt;=shift_late_income_starting_date), DATE(YEAR(Tracking[[#This Row],[Date]]),MONTH(Tracking[[#This Row],[Date]])+1,1),Tracking[[#This Row],[Date]])</f>
        <v>45941</v>
      </c>
      <c r="J279" s="11">
        <f>MONTH(Tracking[[#This Row],[Date]])</f>
        <v>10</v>
      </c>
      <c r="K279" s="64">
        <f>YEAR(Tracking[[#This Row],[Date]])</f>
        <v>2025</v>
      </c>
    </row>
    <row r="280" spans="3:11" x14ac:dyDescent="0.2">
      <c r="C280" s="34">
        <f>SOURCE!A270</f>
        <v>45941</v>
      </c>
      <c r="D280" s="11" t="str">
        <f>SOURCE!B270</f>
        <v>Expenses</v>
      </c>
      <c r="E280" s="11" t="str">
        <f>SOURCE!C270</f>
        <v>Restaurants</v>
      </c>
      <c r="F280" s="35">
        <f>SOURCE!E270</f>
        <v>15</v>
      </c>
      <c r="G280" s="36"/>
      <c r="H280" s="38" cm="1">
        <f t="array" ref="H280">SUMPRODUCT(Tracking[Amount],--(Tracking[Date]&lt;=Tracking[[#This Row],[Date]]),(Tracking[Type]&lt;&gt;"Income")*(-1)+(Tracking[Type]="Income"))</f>
        <v>4845.620000000009</v>
      </c>
      <c r="I280" s="42">
        <f>IF(AND(Tracking[[#This Row],[Type]]="Income", shift_late_income_status="Active", DAY(Tracking[[#This Row],[Date]])&gt;=shift_late_income_starting_date), DATE(YEAR(Tracking[[#This Row],[Date]]),MONTH(Tracking[[#This Row],[Date]])+1,1),Tracking[[#This Row],[Date]])</f>
        <v>45941</v>
      </c>
      <c r="J280" s="11">
        <f>MONTH(Tracking[[#This Row],[Date]])</f>
        <v>10</v>
      </c>
      <c r="K280" s="64">
        <f>YEAR(Tracking[[#This Row],[Date]])</f>
        <v>2025</v>
      </c>
    </row>
    <row r="281" spans="3:11" x14ac:dyDescent="0.2">
      <c r="C281" s="34">
        <f>SOURCE!A271</f>
        <v>45942</v>
      </c>
      <c r="D281" s="11" t="str">
        <f>SOURCE!B271</f>
        <v>Expenses</v>
      </c>
      <c r="E281" s="11" t="str">
        <f>SOURCE!C271</f>
        <v>Restaurants</v>
      </c>
      <c r="F281" s="35">
        <f>SOURCE!E271</f>
        <v>54.5</v>
      </c>
      <c r="G281" s="36"/>
      <c r="H281" s="38" cm="1">
        <f t="array" ref="H281">SUMPRODUCT(Tracking[Amount],--(Tracking[Date]&lt;=Tracking[[#This Row],[Date]]),(Tracking[Type]&lt;&gt;"Income")*(-1)+(Tracking[Type]="Income"))</f>
        <v>4791.120000000009</v>
      </c>
      <c r="I281" s="42">
        <f>IF(AND(Tracking[[#This Row],[Type]]="Income", shift_late_income_status="Active", DAY(Tracking[[#This Row],[Date]])&gt;=shift_late_income_starting_date), DATE(YEAR(Tracking[[#This Row],[Date]]),MONTH(Tracking[[#This Row],[Date]])+1,1),Tracking[[#This Row],[Date]])</f>
        <v>45942</v>
      </c>
      <c r="J281" s="11">
        <f>MONTH(Tracking[[#This Row],[Date]])</f>
        <v>10</v>
      </c>
      <c r="K281" s="64">
        <f>YEAR(Tracking[[#This Row],[Date]])</f>
        <v>2025</v>
      </c>
    </row>
    <row r="282" spans="3:11" x14ac:dyDescent="0.2">
      <c r="C282" s="34">
        <f>SOURCE!A272</f>
        <v>45943</v>
      </c>
      <c r="D282" s="11" t="str">
        <f>SOURCE!B272</f>
        <v>Expenses</v>
      </c>
      <c r="E282" s="11" t="str">
        <f>SOURCE!C272</f>
        <v>Train</v>
      </c>
      <c r="F282" s="35">
        <f>SOURCE!E272</f>
        <v>4.7</v>
      </c>
      <c r="G282" s="36"/>
      <c r="H282" s="38" cm="1">
        <f t="array" ref="H282">SUMPRODUCT(Tracking[Amount],--(Tracking[Date]&lt;=Tracking[[#This Row],[Date]]),(Tracking[Type]&lt;&gt;"Income")*(-1)+(Tracking[Type]="Income"))</f>
        <v>3611.7200000000093</v>
      </c>
      <c r="I282" s="42">
        <f>IF(AND(Tracking[[#This Row],[Type]]="Income", shift_late_income_status="Active", DAY(Tracking[[#This Row],[Date]])&gt;=shift_late_income_starting_date), DATE(YEAR(Tracking[[#This Row],[Date]]),MONTH(Tracking[[#This Row],[Date]])+1,1),Tracking[[#This Row],[Date]])</f>
        <v>45943</v>
      </c>
      <c r="J282" s="11">
        <f>MONTH(Tracking[[#This Row],[Date]])</f>
        <v>10</v>
      </c>
      <c r="K282" s="64">
        <f>YEAR(Tracking[[#This Row],[Date]])</f>
        <v>2025</v>
      </c>
    </row>
    <row r="283" spans="3:11" x14ac:dyDescent="0.2">
      <c r="C283" s="34">
        <f>SOURCE!A273</f>
        <v>45943</v>
      </c>
      <c r="D283" s="11" t="str">
        <f>SOURCE!B273</f>
        <v>Expenses</v>
      </c>
      <c r="E283" s="11" t="s">
        <v>104</v>
      </c>
      <c r="F283" s="35">
        <f>SOURCE!E273</f>
        <v>170</v>
      </c>
      <c r="G283" s="36"/>
      <c r="H283" s="38" cm="1">
        <f t="array" ref="H283">SUMPRODUCT(Tracking[Amount],--(Tracking[Date]&lt;=Tracking[[#This Row],[Date]]),(Tracking[Type]&lt;&gt;"Income")*(-1)+(Tracking[Type]="Income"))</f>
        <v>3611.7200000000093</v>
      </c>
      <c r="I283" s="42">
        <f>IF(AND(Tracking[[#This Row],[Type]]="Income", shift_late_income_status="Active", DAY(Tracking[[#This Row],[Date]])&gt;=shift_late_income_starting_date), DATE(YEAR(Tracking[[#This Row],[Date]]),MONTH(Tracking[[#This Row],[Date]])+1,1),Tracking[[#This Row],[Date]])</f>
        <v>45943</v>
      </c>
      <c r="J283" s="11">
        <f>MONTH(Tracking[[#This Row],[Date]])</f>
        <v>10</v>
      </c>
      <c r="K283" s="64">
        <f>YEAR(Tracking[[#This Row],[Date]])</f>
        <v>2025</v>
      </c>
    </row>
    <row r="284" spans="3:11" x14ac:dyDescent="0.2">
      <c r="C284" s="34">
        <f>SOURCE!A274</f>
        <v>45943</v>
      </c>
      <c r="D284" s="11" t="str">
        <f>SOURCE!B274</f>
        <v>Expenses</v>
      </c>
      <c r="E284" s="11" t="s">
        <v>166</v>
      </c>
      <c r="F284" s="35">
        <f>SOURCE!E274</f>
        <v>1000</v>
      </c>
      <c r="G284" s="36"/>
      <c r="H284" s="38" cm="1">
        <f t="array" ref="H284">SUMPRODUCT(Tracking[Amount],--(Tracking[Date]&lt;=Tracking[[#This Row],[Date]]),(Tracking[Type]&lt;&gt;"Income")*(-1)+(Tracking[Type]="Income"))</f>
        <v>3611.7200000000093</v>
      </c>
      <c r="I284" s="42">
        <f>IF(AND(Tracking[[#This Row],[Type]]="Income", shift_late_income_status="Active", DAY(Tracking[[#This Row],[Date]])&gt;=shift_late_income_starting_date), DATE(YEAR(Tracking[[#This Row],[Date]]),MONTH(Tracking[[#This Row],[Date]])+1,1),Tracking[[#This Row],[Date]])</f>
        <v>45943</v>
      </c>
      <c r="J284" s="11">
        <f>MONTH(Tracking[[#This Row],[Date]])</f>
        <v>10</v>
      </c>
      <c r="K284" s="64">
        <f>YEAR(Tracking[[#This Row],[Date]])</f>
        <v>2025</v>
      </c>
    </row>
    <row r="285" spans="3:11" x14ac:dyDescent="0.2">
      <c r="C285" s="34">
        <f>SOURCE!A275</f>
        <v>45943</v>
      </c>
      <c r="D285" s="11" t="str">
        <f>SOURCE!B275</f>
        <v>Expenses</v>
      </c>
      <c r="E285" s="11" t="str">
        <f>SOURCE!C275</f>
        <v>Train</v>
      </c>
      <c r="F285" s="35">
        <f>SOURCE!E275</f>
        <v>4.7</v>
      </c>
      <c r="G285" s="36"/>
      <c r="H285" s="38" cm="1">
        <f t="array" ref="H285">SUMPRODUCT(Tracking[Amount],--(Tracking[Date]&lt;=Tracking[[#This Row],[Date]]),(Tracking[Type]&lt;&gt;"Income")*(-1)+(Tracking[Type]="Income"))</f>
        <v>3611.7200000000093</v>
      </c>
      <c r="I285" s="42">
        <f>IF(AND(Tracking[[#This Row],[Type]]="Income", shift_late_income_status="Active", DAY(Tracking[[#This Row],[Date]])&gt;=shift_late_income_starting_date), DATE(YEAR(Tracking[[#This Row],[Date]]),MONTH(Tracking[[#This Row],[Date]])+1,1),Tracking[[#This Row],[Date]])</f>
        <v>45943</v>
      </c>
      <c r="J285" s="11">
        <f>MONTH(Tracking[[#This Row],[Date]])</f>
        <v>10</v>
      </c>
      <c r="K285" s="64">
        <f>YEAR(Tracking[[#This Row],[Date]])</f>
        <v>2025</v>
      </c>
    </row>
    <row r="286" spans="3:11" x14ac:dyDescent="0.2">
      <c r="C286" s="34">
        <f>SOURCE!A276</f>
        <v>45944</v>
      </c>
      <c r="D286" s="11" t="str">
        <f>SOURCE!B276</f>
        <v>Expenses</v>
      </c>
      <c r="E286" s="11" t="str">
        <f>SOURCE!C276</f>
        <v>Train</v>
      </c>
      <c r="F286" s="35">
        <f>SOURCE!E276</f>
        <v>4.7</v>
      </c>
      <c r="G286" s="36"/>
      <c r="H286" s="38" cm="1">
        <f t="array" ref="H286">SUMPRODUCT(Tracking[Amount],--(Tracking[Date]&lt;=Tracking[[#This Row],[Date]]),(Tracking[Type]&lt;&gt;"Income")*(-1)+(Tracking[Type]="Income"))</f>
        <v>3529.8200000000097</v>
      </c>
      <c r="I286" s="42">
        <f>IF(AND(Tracking[[#This Row],[Type]]="Income", shift_late_income_status="Active", DAY(Tracking[[#This Row],[Date]])&gt;=shift_late_income_starting_date), DATE(YEAR(Tracking[[#This Row],[Date]]),MONTH(Tracking[[#This Row],[Date]])+1,1),Tracking[[#This Row],[Date]])</f>
        <v>45944</v>
      </c>
      <c r="J286" s="11">
        <f>MONTH(Tracking[[#This Row],[Date]])</f>
        <v>10</v>
      </c>
      <c r="K286" s="64">
        <f>YEAR(Tracking[[#This Row],[Date]])</f>
        <v>2025</v>
      </c>
    </row>
    <row r="287" spans="3:11" x14ac:dyDescent="0.2">
      <c r="C287" s="34">
        <f>SOURCE!A277</f>
        <v>45944</v>
      </c>
      <c r="D287" s="11" t="str">
        <f>SOURCE!B277</f>
        <v>Expenses</v>
      </c>
      <c r="E287" s="11" t="str">
        <f>SOURCE!C277</f>
        <v>Train</v>
      </c>
      <c r="F287" s="35">
        <f>SOURCE!E277</f>
        <v>4.7</v>
      </c>
      <c r="G287" s="36"/>
      <c r="H287" s="38" cm="1">
        <f t="array" ref="H287">SUMPRODUCT(Tracking[Amount],--(Tracking[Date]&lt;=Tracking[[#This Row],[Date]]),(Tracking[Type]&lt;&gt;"Income")*(-1)+(Tracking[Type]="Income"))</f>
        <v>3529.8200000000097</v>
      </c>
      <c r="I287" s="42">
        <f>IF(AND(Tracking[[#This Row],[Type]]="Income", shift_late_income_status="Active", DAY(Tracking[[#This Row],[Date]])&gt;=shift_late_income_starting_date), DATE(YEAR(Tracking[[#This Row],[Date]]),MONTH(Tracking[[#This Row],[Date]])+1,1),Tracking[[#This Row],[Date]])</f>
        <v>45944</v>
      </c>
      <c r="J287" s="11">
        <f>MONTH(Tracking[[#This Row],[Date]])</f>
        <v>10</v>
      </c>
      <c r="K287" s="64">
        <f>YEAR(Tracking[[#This Row],[Date]])</f>
        <v>2025</v>
      </c>
    </row>
    <row r="288" spans="3:11" x14ac:dyDescent="0.2">
      <c r="C288" s="34">
        <f>SOURCE!A278</f>
        <v>45944</v>
      </c>
      <c r="D288" s="11" t="str">
        <f>SOURCE!B278</f>
        <v>Expenses</v>
      </c>
      <c r="E288" s="11" t="str">
        <f>SOURCE!C278</f>
        <v>Restaurants</v>
      </c>
      <c r="F288" s="35">
        <f>SOURCE!E278</f>
        <v>72.5</v>
      </c>
      <c r="G288" s="36"/>
      <c r="H288" s="38" cm="1">
        <f t="array" ref="H288">SUMPRODUCT(Tracking[Amount],--(Tracking[Date]&lt;=Tracking[[#This Row],[Date]]),(Tracking[Type]&lt;&gt;"Income")*(-1)+(Tracking[Type]="Income"))</f>
        <v>3529.8200000000097</v>
      </c>
      <c r="I288" s="42">
        <f>IF(AND(Tracking[[#This Row],[Type]]="Income", shift_late_income_status="Active", DAY(Tracking[[#This Row],[Date]])&gt;=shift_late_income_starting_date), DATE(YEAR(Tracking[[#This Row],[Date]]),MONTH(Tracking[[#This Row],[Date]])+1,1),Tracking[[#This Row],[Date]])</f>
        <v>45944</v>
      </c>
      <c r="J288" s="11">
        <f>MONTH(Tracking[[#This Row],[Date]])</f>
        <v>10</v>
      </c>
      <c r="K288" s="64">
        <f>YEAR(Tracking[[#This Row],[Date]])</f>
        <v>2025</v>
      </c>
    </row>
    <row r="289" spans="3:11" x14ac:dyDescent="0.2">
      <c r="C289" s="34">
        <f>SOURCE!A279</f>
        <v>45945</v>
      </c>
      <c r="D289" s="11" t="str">
        <f>SOURCE!B279</f>
        <v>Expenses</v>
      </c>
      <c r="E289" s="11" t="str">
        <f>SOURCE!C279</f>
        <v>Restaurants</v>
      </c>
      <c r="F289" s="35">
        <f>SOURCE!E279</f>
        <v>12</v>
      </c>
      <c r="G289" s="36"/>
      <c r="H289" s="38" cm="1">
        <f t="array" ref="H289">SUMPRODUCT(Tracking[Amount],--(Tracking[Date]&lt;=Tracking[[#This Row],[Date]]),(Tracking[Type]&lt;&gt;"Income")*(-1)+(Tracking[Type]="Income"))</f>
        <v>3508.4200000000101</v>
      </c>
      <c r="I289" s="42">
        <f>IF(AND(Tracking[[#This Row],[Type]]="Income", shift_late_income_status="Active", DAY(Tracking[[#This Row],[Date]])&gt;=shift_late_income_starting_date), DATE(YEAR(Tracking[[#This Row],[Date]]),MONTH(Tracking[[#This Row],[Date]])+1,1),Tracking[[#This Row],[Date]])</f>
        <v>45945</v>
      </c>
      <c r="J289" s="11">
        <f>MONTH(Tracking[[#This Row],[Date]])</f>
        <v>10</v>
      </c>
      <c r="K289" s="64">
        <f>YEAR(Tracking[[#This Row],[Date]])</f>
        <v>2025</v>
      </c>
    </row>
    <row r="290" spans="3:11" x14ac:dyDescent="0.2">
      <c r="C290" s="34">
        <f>SOURCE!A280</f>
        <v>45945</v>
      </c>
      <c r="D290" s="11" t="str">
        <f>SOURCE!B280</f>
        <v>Expenses</v>
      </c>
      <c r="E290" s="11" t="str">
        <f>SOURCE!C280</f>
        <v>Train</v>
      </c>
      <c r="F290" s="35">
        <f>SOURCE!E280</f>
        <v>4.7</v>
      </c>
      <c r="G290" s="36"/>
      <c r="H290" s="38" cm="1">
        <f t="array" ref="H290">SUMPRODUCT(Tracking[Amount],--(Tracking[Date]&lt;=Tracking[[#This Row],[Date]]),(Tracking[Type]&lt;&gt;"Income")*(-1)+(Tracking[Type]="Income"))</f>
        <v>3508.4200000000101</v>
      </c>
      <c r="I290" s="42">
        <f>IF(AND(Tracking[[#This Row],[Type]]="Income", shift_late_income_status="Active", DAY(Tracking[[#This Row],[Date]])&gt;=shift_late_income_starting_date), DATE(YEAR(Tracking[[#This Row],[Date]]),MONTH(Tracking[[#This Row],[Date]])+1,1),Tracking[[#This Row],[Date]])</f>
        <v>45945</v>
      </c>
      <c r="J290" s="11">
        <f>MONTH(Tracking[[#This Row],[Date]])</f>
        <v>10</v>
      </c>
      <c r="K290" s="64">
        <f>YEAR(Tracking[[#This Row],[Date]])</f>
        <v>2025</v>
      </c>
    </row>
    <row r="291" spans="3:11" x14ac:dyDescent="0.2">
      <c r="C291" s="34">
        <f>SOURCE!A281</f>
        <v>45945</v>
      </c>
      <c r="D291" s="11" t="str">
        <f>SOURCE!B281</f>
        <v>Expenses</v>
      </c>
      <c r="E291" s="11" t="str">
        <f>SOURCE!C281</f>
        <v>Train</v>
      </c>
      <c r="F291" s="35">
        <f>SOURCE!E281</f>
        <v>4.7</v>
      </c>
      <c r="G291" s="36"/>
      <c r="H291" s="38" cm="1">
        <f t="array" ref="H291">SUMPRODUCT(Tracking[Amount],--(Tracking[Date]&lt;=Tracking[[#This Row],[Date]]),(Tracking[Type]&lt;&gt;"Income")*(-1)+(Tracking[Type]="Income"))</f>
        <v>3508.4200000000101</v>
      </c>
      <c r="I291" s="42">
        <f>IF(AND(Tracking[[#This Row],[Type]]="Income", shift_late_income_status="Active", DAY(Tracking[[#This Row],[Date]])&gt;=shift_late_income_starting_date), DATE(YEAR(Tracking[[#This Row],[Date]]),MONTH(Tracking[[#This Row],[Date]])+1,1),Tracking[[#This Row],[Date]])</f>
        <v>45945</v>
      </c>
      <c r="J291" s="11">
        <f>MONTH(Tracking[[#This Row],[Date]])</f>
        <v>10</v>
      </c>
      <c r="K291" s="64">
        <f>YEAR(Tracking[[#This Row],[Date]])</f>
        <v>2025</v>
      </c>
    </row>
    <row r="292" spans="3:11" x14ac:dyDescent="0.2">
      <c r="C292" s="34">
        <f>SOURCE!A282</f>
        <v>45946</v>
      </c>
      <c r="D292" s="11" t="str">
        <f>SOURCE!B282</f>
        <v>Expenses</v>
      </c>
      <c r="E292" s="11" t="str">
        <f>SOURCE!C282</f>
        <v>Restaurants</v>
      </c>
      <c r="F292" s="35">
        <f>SOURCE!E282</f>
        <v>21.5</v>
      </c>
      <c r="G292" s="36"/>
      <c r="H292" s="38" cm="1">
        <f t="array" ref="H292">SUMPRODUCT(Tracking[Amount],--(Tracking[Date]&lt;=Tracking[[#This Row],[Date]]),(Tracking[Type]&lt;&gt;"Income")*(-1)+(Tracking[Type]="Income"))</f>
        <v>3482.2200000000103</v>
      </c>
      <c r="I292" s="42">
        <f>IF(AND(Tracking[[#This Row],[Type]]="Income", shift_late_income_status="Active", DAY(Tracking[[#This Row],[Date]])&gt;=shift_late_income_starting_date), DATE(YEAR(Tracking[[#This Row],[Date]]),MONTH(Tracking[[#This Row],[Date]])+1,1),Tracking[[#This Row],[Date]])</f>
        <v>45946</v>
      </c>
      <c r="J292" s="11">
        <f>MONTH(Tracking[[#This Row],[Date]])</f>
        <v>10</v>
      </c>
      <c r="K292" s="64">
        <f>YEAR(Tracking[[#This Row],[Date]])</f>
        <v>2025</v>
      </c>
    </row>
    <row r="293" spans="3:11" x14ac:dyDescent="0.2">
      <c r="C293" s="34">
        <f>SOURCE!A283</f>
        <v>45946</v>
      </c>
      <c r="D293" s="11" t="str">
        <f>SOURCE!B283</f>
        <v>Expenses</v>
      </c>
      <c r="E293" s="11" t="str">
        <f>SOURCE!C283</f>
        <v>Train</v>
      </c>
      <c r="F293" s="35">
        <f>SOURCE!E283</f>
        <v>4.7</v>
      </c>
      <c r="G293" s="36"/>
      <c r="H293" s="38" cm="1">
        <f t="array" ref="H293">SUMPRODUCT(Tracking[Amount],--(Tracking[Date]&lt;=Tracking[[#This Row],[Date]]),(Tracking[Type]&lt;&gt;"Income")*(-1)+(Tracking[Type]="Income"))</f>
        <v>3482.2200000000103</v>
      </c>
      <c r="I293" s="42">
        <f>IF(AND(Tracking[[#This Row],[Type]]="Income", shift_late_income_status="Active", DAY(Tracking[[#This Row],[Date]])&gt;=shift_late_income_starting_date), DATE(YEAR(Tracking[[#This Row],[Date]]),MONTH(Tracking[[#This Row],[Date]])+1,1),Tracking[[#This Row],[Date]])</f>
        <v>45946</v>
      </c>
      <c r="J293" s="11">
        <f>MONTH(Tracking[[#This Row],[Date]])</f>
        <v>10</v>
      </c>
      <c r="K293" s="64">
        <f>YEAR(Tracking[[#This Row],[Date]])</f>
        <v>2025</v>
      </c>
    </row>
    <row r="294" spans="3:11" x14ac:dyDescent="0.2">
      <c r="C294" s="34">
        <f>SOURCE!A284</f>
        <v>45947</v>
      </c>
      <c r="D294" s="11" t="str">
        <f>SOURCE!B284</f>
        <v>Expenses</v>
      </c>
      <c r="E294" s="11" t="str">
        <f>SOURCE!C284</f>
        <v>Restaurants</v>
      </c>
      <c r="F294" s="35">
        <f>SOURCE!E284</f>
        <v>70</v>
      </c>
      <c r="G294" s="36"/>
      <c r="H294" s="38" cm="1">
        <f t="array" ref="H294">SUMPRODUCT(Tracking[Amount],--(Tracking[Date]&lt;=Tracking[[#This Row],[Date]]),(Tracking[Type]&lt;&gt;"Income")*(-1)+(Tracking[Type]="Income"))</f>
        <v>3411.1200000000104</v>
      </c>
      <c r="I294" s="42">
        <f>IF(AND(Tracking[[#This Row],[Type]]="Income", shift_late_income_status="Active", DAY(Tracking[[#This Row],[Date]])&gt;=shift_late_income_starting_date), DATE(YEAR(Tracking[[#This Row],[Date]]),MONTH(Tracking[[#This Row],[Date]])+1,1),Tracking[[#This Row],[Date]])</f>
        <v>45947</v>
      </c>
      <c r="J294" s="11">
        <f>MONTH(Tracking[[#This Row],[Date]])</f>
        <v>10</v>
      </c>
      <c r="K294" s="64">
        <f>YEAR(Tracking[[#This Row],[Date]])</f>
        <v>2025</v>
      </c>
    </row>
    <row r="295" spans="3:11" x14ac:dyDescent="0.2">
      <c r="C295" s="34">
        <f>SOURCE!A285</f>
        <v>45947</v>
      </c>
      <c r="D295" s="11" t="str">
        <f>SOURCE!B285</f>
        <v>Expenses</v>
      </c>
      <c r="E295" s="11" t="s">
        <v>121</v>
      </c>
      <c r="F295" s="35">
        <f>SOURCE!E285</f>
        <v>1.1000000000000001</v>
      </c>
      <c r="G295" s="36"/>
      <c r="H295" s="38" cm="1">
        <f t="array" ref="H295">SUMPRODUCT(Tracking[Amount],--(Tracking[Date]&lt;=Tracking[[#This Row],[Date]]),(Tracking[Type]&lt;&gt;"Income")*(-1)+(Tracking[Type]="Income"))</f>
        <v>3411.1200000000104</v>
      </c>
      <c r="I295" s="42">
        <f>IF(AND(Tracking[[#This Row],[Type]]="Income", shift_late_income_status="Active", DAY(Tracking[[#This Row],[Date]])&gt;=shift_late_income_starting_date), DATE(YEAR(Tracking[[#This Row],[Date]]),MONTH(Tracking[[#This Row],[Date]])+1,1),Tracking[[#This Row],[Date]])</f>
        <v>45947</v>
      </c>
      <c r="J295" s="11">
        <f>MONTH(Tracking[[#This Row],[Date]])</f>
        <v>10</v>
      </c>
      <c r="K295" s="64">
        <f>YEAR(Tracking[[#This Row],[Date]])</f>
        <v>2025</v>
      </c>
    </row>
    <row r="296" spans="3:11" x14ac:dyDescent="0.2">
      <c r="C296" s="34">
        <f>SOURCE!A286</f>
        <v>45948</v>
      </c>
      <c r="D296" s="11" t="str">
        <f>SOURCE!B286</f>
        <v>Expenses</v>
      </c>
      <c r="E296" s="11" t="str">
        <f>SOURCE!C286</f>
        <v>Restaurants</v>
      </c>
      <c r="F296" s="35">
        <f>SOURCE!E286</f>
        <v>8.3000000000000007</v>
      </c>
      <c r="G296" s="36"/>
      <c r="H296" s="38" cm="1">
        <f t="array" ref="H296">SUMPRODUCT(Tracking[Amount],--(Tracking[Date]&lt;=Tracking[[#This Row],[Date]]),(Tracking[Type]&lt;&gt;"Income")*(-1)+(Tracking[Type]="Income"))</f>
        <v>3361.1200000000104</v>
      </c>
      <c r="I296" s="42">
        <f>IF(AND(Tracking[[#This Row],[Type]]="Income", shift_late_income_status="Active", DAY(Tracking[[#This Row],[Date]])&gt;=shift_late_income_starting_date), DATE(YEAR(Tracking[[#This Row],[Date]]),MONTH(Tracking[[#This Row],[Date]])+1,1),Tracking[[#This Row],[Date]])</f>
        <v>45948</v>
      </c>
      <c r="J296" s="11">
        <f>MONTH(Tracking[[#This Row],[Date]])</f>
        <v>10</v>
      </c>
      <c r="K296" s="64">
        <f>YEAR(Tracking[[#This Row],[Date]])</f>
        <v>2025</v>
      </c>
    </row>
    <row r="297" spans="3:11" x14ac:dyDescent="0.2">
      <c r="C297" s="34">
        <f>SOURCE!A287</f>
        <v>45948</v>
      </c>
      <c r="D297" s="11" t="str">
        <f>SOURCE!B287</f>
        <v>Expenses</v>
      </c>
      <c r="E297" s="11" t="str">
        <f>SOURCE!C287</f>
        <v>Groceries</v>
      </c>
      <c r="F297" s="35">
        <f>SOURCE!E287</f>
        <v>15.2</v>
      </c>
      <c r="G297" s="36"/>
      <c r="H297" s="38" cm="1">
        <f t="array" ref="H297">SUMPRODUCT(Tracking[Amount],--(Tracking[Date]&lt;=Tracking[[#This Row],[Date]]),(Tracking[Type]&lt;&gt;"Income")*(-1)+(Tracking[Type]="Income"))</f>
        <v>3361.1200000000104</v>
      </c>
      <c r="I297" s="42">
        <f>IF(AND(Tracking[[#This Row],[Type]]="Income", shift_late_income_status="Active", DAY(Tracking[[#This Row],[Date]])&gt;=shift_late_income_starting_date), DATE(YEAR(Tracking[[#This Row],[Date]]),MONTH(Tracking[[#This Row],[Date]])+1,1),Tracking[[#This Row],[Date]])</f>
        <v>45948</v>
      </c>
      <c r="J297" s="11">
        <f>MONTH(Tracking[[#This Row],[Date]])</f>
        <v>10</v>
      </c>
      <c r="K297" s="64">
        <f>YEAR(Tracking[[#This Row],[Date]])</f>
        <v>2025</v>
      </c>
    </row>
    <row r="298" spans="3:11" x14ac:dyDescent="0.2">
      <c r="C298" s="34">
        <f>SOURCE!A288</f>
        <v>45948</v>
      </c>
      <c r="D298" s="11" t="str">
        <f>SOURCE!B288</f>
        <v>Expenses</v>
      </c>
      <c r="E298" s="11" t="str">
        <f>SOURCE!C288</f>
        <v>Restaurants</v>
      </c>
      <c r="F298" s="35">
        <f>SOURCE!E288</f>
        <v>26.5</v>
      </c>
      <c r="G298" s="36"/>
      <c r="H298" s="38" cm="1">
        <f t="array" ref="H298">SUMPRODUCT(Tracking[Amount],--(Tracking[Date]&lt;=Tracking[[#This Row],[Date]]),(Tracking[Type]&lt;&gt;"Income")*(-1)+(Tracking[Type]="Income"))</f>
        <v>3361.1200000000104</v>
      </c>
      <c r="I298" s="42">
        <f>IF(AND(Tracking[[#This Row],[Type]]="Income", shift_late_income_status="Active", DAY(Tracking[[#This Row],[Date]])&gt;=shift_late_income_starting_date), DATE(YEAR(Tracking[[#This Row],[Date]]),MONTH(Tracking[[#This Row],[Date]])+1,1),Tracking[[#This Row],[Date]])</f>
        <v>45948</v>
      </c>
      <c r="J298" s="11">
        <f>MONTH(Tracking[[#This Row],[Date]])</f>
        <v>10</v>
      </c>
      <c r="K298" s="64">
        <f>YEAR(Tracking[[#This Row],[Date]])</f>
        <v>2025</v>
      </c>
    </row>
    <row r="299" spans="3:11" x14ac:dyDescent="0.2">
      <c r="C299" s="34">
        <f>SOURCE!A289</f>
        <v>45950</v>
      </c>
      <c r="D299" s="11" t="str">
        <f>SOURCE!B289</f>
        <v>Income</v>
      </c>
      <c r="E299" s="11" t="str">
        <f>SOURCE!C289</f>
        <v>Extras / Twint Chargeback</v>
      </c>
      <c r="F299" s="35">
        <f>SOURCE!E289</f>
        <v>25</v>
      </c>
      <c r="G299" s="36"/>
      <c r="H299" s="38" cm="1">
        <f t="array" ref="H299">SUMPRODUCT(Tracking[Amount],--(Tracking[Date]&lt;=Tracking[[#This Row],[Date]]),(Tracking[Type]&lt;&gt;"Income")*(-1)+(Tracking[Type]="Income"))</f>
        <v>3316.5300000000107</v>
      </c>
      <c r="I299" s="42">
        <f>IF(AND(Tracking[[#This Row],[Type]]="Income", shift_late_income_status="Active", DAY(Tracking[[#This Row],[Date]])&gt;=shift_late_income_starting_date), DATE(YEAR(Tracking[[#This Row],[Date]]),MONTH(Tracking[[#This Row],[Date]])+1,1),Tracking[[#This Row],[Date]])</f>
        <v>45950</v>
      </c>
      <c r="J299" s="11">
        <f>MONTH(Tracking[[#This Row],[Date]])</f>
        <v>10</v>
      </c>
      <c r="K299" s="64">
        <f>YEAR(Tracking[[#This Row],[Date]])</f>
        <v>2025</v>
      </c>
    </row>
    <row r="300" spans="3:11" x14ac:dyDescent="0.2">
      <c r="C300" s="34">
        <f>SOURCE!A290</f>
        <v>45950</v>
      </c>
      <c r="D300" s="11" t="str">
        <f>SOURCE!B290</f>
        <v>Expenses</v>
      </c>
      <c r="E300" s="11" t="s">
        <v>121</v>
      </c>
      <c r="F300" s="35">
        <f>SOURCE!E290</f>
        <v>3.48</v>
      </c>
      <c r="G300" s="36"/>
      <c r="H300" s="38" cm="1">
        <f t="array" ref="H300">SUMPRODUCT(Tracking[Amount],--(Tracking[Date]&lt;=Tracking[[#This Row],[Date]]),(Tracking[Type]&lt;&gt;"Income")*(-1)+(Tracking[Type]="Income"))</f>
        <v>3316.5300000000107</v>
      </c>
      <c r="I300" s="42">
        <f>IF(AND(Tracking[[#This Row],[Type]]="Income", shift_late_income_status="Active", DAY(Tracking[[#This Row],[Date]])&gt;=shift_late_income_starting_date), DATE(YEAR(Tracking[[#This Row],[Date]]),MONTH(Tracking[[#This Row],[Date]])+1,1),Tracking[[#This Row],[Date]])</f>
        <v>45950</v>
      </c>
      <c r="J300" s="11">
        <f>MONTH(Tracking[[#This Row],[Date]])</f>
        <v>10</v>
      </c>
      <c r="K300" s="64">
        <f>YEAR(Tracking[[#This Row],[Date]])</f>
        <v>2025</v>
      </c>
    </row>
    <row r="301" spans="3:11" x14ac:dyDescent="0.2">
      <c r="C301" s="34">
        <f>SOURCE!A291</f>
        <v>45950</v>
      </c>
      <c r="D301" s="11" t="str">
        <f>SOURCE!B291</f>
        <v>Expenses</v>
      </c>
      <c r="E301" s="11" t="s">
        <v>121</v>
      </c>
      <c r="F301" s="35">
        <f>SOURCE!E291</f>
        <v>4.41</v>
      </c>
      <c r="G301" s="36"/>
      <c r="H301" s="38" cm="1">
        <f t="array" ref="H301">SUMPRODUCT(Tracking[Amount],--(Tracking[Date]&lt;=Tracking[[#This Row],[Date]]),(Tracking[Type]&lt;&gt;"Income")*(-1)+(Tracking[Type]="Income"))</f>
        <v>3316.5300000000107</v>
      </c>
      <c r="I301" s="42">
        <f>IF(AND(Tracking[[#This Row],[Type]]="Income", shift_late_income_status="Active", DAY(Tracking[[#This Row],[Date]])&gt;=shift_late_income_starting_date), DATE(YEAR(Tracking[[#This Row],[Date]]),MONTH(Tracking[[#This Row],[Date]])+1,1),Tracking[[#This Row],[Date]])</f>
        <v>45950</v>
      </c>
      <c r="J301" s="11">
        <f>MONTH(Tracking[[#This Row],[Date]])</f>
        <v>10</v>
      </c>
      <c r="K301" s="64">
        <f>YEAR(Tracking[[#This Row],[Date]])</f>
        <v>2025</v>
      </c>
    </row>
    <row r="302" spans="3:11" x14ac:dyDescent="0.2">
      <c r="C302" s="34">
        <f>SOURCE!A292</f>
        <v>45950</v>
      </c>
      <c r="D302" s="11" t="str">
        <f>SOURCE!B292</f>
        <v>Expenses</v>
      </c>
      <c r="E302" s="11" t="str">
        <f>SOURCE!C292</f>
        <v>Groceries</v>
      </c>
      <c r="F302" s="35">
        <f>SOURCE!E292</f>
        <v>61.7</v>
      </c>
      <c r="G302" s="36"/>
      <c r="H302" s="38" cm="1">
        <f t="array" ref="H302">SUMPRODUCT(Tracking[Amount],--(Tracking[Date]&lt;=Tracking[[#This Row],[Date]]),(Tracking[Type]&lt;&gt;"Income")*(-1)+(Tracking[Type]="Income"))</f>
        <v>3316.5300000000107</v>
      </c>
      <c r="I302" s="42">
        <f>IF(AND(Tracking[[#This Row],[Type]]="Income", shift_late_income_status="Active", DAY(Tracking[[#This Row],[Date]])&gt;=shift_late_income_starting_date), DATE(YEAR(Tracking[[#This Row],[Date]]),MONTH(Tracking[[#This Row],[Date]])+1,1),Tracking[[#This Row],[Date]])</f>
        <v>45950</v>
      </c>
      <c r="J302" s="11">
        <f>MONTH(Tracking[[#This Row],[Date]])</f>
        <v>10</v>
      </c>
      <c r="K302" s="64">
        <f>YEAR(Tracking[[#This Row],[Date]])</f>
        <v>2025</v>
      </c>
    </row>
    <row r="303" spans="3:11" x14ac:dyDescent="0.2">
      <c r="C303" s="34">
        <f>SOURCE!A293</f>
        <v>45951</v>
      </c>
      <c r="D303" s="11" t="str">
        <f>SOURCE!B293</f>
        <v>Expenses</v>
      </c>
      <c r="E303" s="11" t="str">
        <f>SOURCE!C293</f>
        <v>Restaurants</v>
      </c>
      <c r="F303" s="35">
        <f>SOURCE!E293</f>
        <v>75</v>
      </c>
      <c r="G303" s="36"/>
      <c r="H303" s="38" cm="1">
        <f t="array" ref="H303">SUMPRODUCT(Tracking[Amount],--(Tracking[Date]&lt;=Tracking[[#This Row],[Date]]),(Tracking[Type]&lt;&gt;"Income")*(-1)+(Tracking[Type]="Income"))</f>
        <v>3215.3300000000108</v>
      </c>
      <c r="I303" s="42">
        <f>IF(AND(Tracking[[#This Row],[Type]]="Income", shift_late_income_status="Active", DAY(Tracking[[#This Row],[Date]])&gt;=shift_late_income_starting_date), DATE(YEAR(Tracking[[#This Row],[Date]]),MONTH(Tracking[[#This Row],[Date]])+1,1),Tracking[[#This Row],[Date]])</f>
        <v>45951</v>
      </c>
      <c r="J303" s="11">
        <f>MONTH(Tracking[[#This Row],[Date]])</f>
        <v>10</v>
      </c>
      <c r="K303" s="64">
        <f>YEAR(Tracking[[#This Row],[Date]])</f>
        <v>2025</v>
      </c>
    </row>
    <row r="304" spans="3:11" x14ac:dyDescent="0.2">
      <c r="C304" s="34">
        <f>SOURCE!A294</f>
        <v>45951</v>
      </c>
      <c r="D304" s="11" t="str">
        <f>SOURCE!B294</f>
        <v>Expenses</v>
      </c>
      <c r="E304" s="11" t="str">
        <f>SOURCE!C294</f>
        <v>Train</v>
      </c>
      <c r="F304" s="35">
        <f>SOURCE!E294</f>
        <v>11.9</v>
      </c>
      <c r="G304" s="36"/>
      <c r="H304" s="38" cm="1">
        <f t="array" ref="H304">SUMPRODUCT(Tracking[Amount],--(Tracking[Date]&lt;=Tracking[[#This Row],[Date]]),(Tracking[Type]&lt;&gt;"Income")*(-1)+(Tracking[Type]="Income"))</f>
        <v>3215.3300000000108</v>
      </c>
      <c r="I304" s="42">
        <f>IF(AND(Tracking[[#This Row],[Type]]="Income", shift_late_income_status="Active", DAY(Tracking[[#This Row],[Date]])&gt;=shift_late_income_starting_date), DATE(YEAR(Tracking[[#This Row],[Date]]),MONTH(Tracking[[#This Row],[Date]])+1,1),Tracking[[#This Row],[Date]])</f>
        <v>45951</v>
      </c>
      <c r="J304" s="11">
        <f>MONTH(Tracking[[#This Row],[Date]])</f>
        <v>10</v>
      </c>
      <c r="K304" s="64">
        <f>YEAR(Tracking[[#This Row],[Date]])</f>
        <v>2025</v>
      </c>
    </row>
    <row r="305" spans="3:13" x14ac:dyDescent="0.2">
      <c r="C305" s="34">
        <f>SOURCE!A295</f>
        <v>45951</v>
      </c>
      <c r="D305" s="11" t="str">
        <f>SOURCE!B295</f>
        <v>Expenses</v>
      </c>
      <c r="E305" s="11" t="str">
        <f>SOURCE!C295</f>
        <v>Train</v>
      </c>
      <c r="F305" s="35">
        <f>SOURCE!E295</f>
        <v>9.6</v>
      </c>
      <c r="G305" s="36"/>
      <c r="H305" s="38" cm="1">
        <f t="array" ref="H305">SUMPRODUCT(Tracking[Amount],--(Tracking[Date]&lt;=Tracking[[#This Row],[Date]]),(Tracking[Type]&lt;&gt;"Income")*(-1)+(Tracking[Type]="Income"))</f>
        <v>3215.3300000000108</v>
      </c>
      <c r="I305" s="42">
        <f>IF(AND(Tracking[[#This Row],[Type]]="Income", shift_late_income_status="Active", DAY(Tracking[[#This Row],[Date]])&gt;=shift_late_income_starting_date), DATE(YEAR(Tracking[[#This Row],[Date]]),MONTH(Tracking[[#This Row],[Date]])+1,1),Tracking[[#This Row],[Date]])</f>
        <v>45951</v>
      </c>
      <c r="J305" s="11">
        <f>MONTH(Tracking[[#This Row],[Date]])</f>
        <v>10</v>
      </c>
      <c r="K305" s="64">
        <f>YEAR(Tracking[[#This Row],[Date]])</f>
        <v>2025</v>
      </c>
    </row>
    <row r="306" spans="3:13" x14ac:dyDescent="0.2">
      <c r="C306" s="34">
        <f>SOURCE!A296</f>
        <v>45951</v>
      </c>
      <c r="D306" s="11" t="str">
        <f>SOURCE!B296</f>
        <v>Expenses</v>
      </c>
      <c r="E306" s="11" t="str">
        <f>SOURCE!C296</f>
        <v>Train</v>
      </c>
      <c r="F306" s="35">
        <f>SOURCE!E296</f>
        <v>4.7</v>
      </c>
      <c r="G306" s="36"/>
      <c r="H306" s="38" cm="1">
        <f t="array" ref="H306">SUMPRODUCT(Tracking[Amount],--(Tracking[Date]&lt;=Tracking[[#This Row],[Date]]),(Tracking[Type]&lt;&gt;"Income")*(-1)+(Tracking[Type]="Income"))</f>
        <v>3215.3300000000108</v>
      </c>
      <c r="I306" s="42">
        <f>IF(AND(Tracking[[#This Row],[Type]]="Income", shift_late_income_status="Active", DAY(Tracking[[#This Row],[Date]])&gt;=shift_late_income_starting_date), DATE(YEAR(Tracking[[#This Row],[Date]]),MONTH(Tracking[[#This Row],[Date]])+1,1),Tracking[[#This Row],[Date]])</f>
        <v>45951</v>
      </c>
      <c r="J306" s="11">
        <f>MONTH(Tracking[[#This Row],[Date]])</f>
        <v>10</v>
      </c>
      <c r="K306" s="64">
        <f>YEAR(Tracking[[#This Row],[Date]])</f>
        <v>2025</v>
      </c>
    </row>
    <row r="307" spans="3:13" x14ac:dyDescent="0.2">
      <c r="C307" s="34">
        <f>SOURCE!A297</f>
        <v>45952</v>
      </c>
      <c r="D307" s="11" t="str">
        <f>SOURCE!B297</f>
        <v>Expenses</v>
      </c>
      <c r="E307" s="11" t="s">
        <v>104</v>
      </c>
      <c r="F307" s="35">
        <f>SOURCE!E297</f>
        <v>17</v>
      </c>
      <c r="G307" s="36"/>
      <c r="H307" s="38" cm="1">
        <f t="array" ref="H307">SUMPRODUCT(Tracking[Amount],--(Tracking[Date]&lt;=Tracking[[#This Row],[Date]]),(Tracking[Type]&lt;&gt;"Income")*(-1)+(Tracking[Type]="Income"))</f>
        <v>3198.3300000000108</v>
      </c>
      <c r="I307" s="42">
        <f>IF(AND(Tracking[[#This Row],[Type]]="Income", shift_late_income_status="Active", DAY(Tracking[[#This Row],[Date]])&gt;=shift_late_income_starting_date), DATE(YEAR(Tracking[[#This Row],[Date]]),MONTH(Tracking[[#This Row],[Date]])+1,1),Tracking[[#This Row],[Date]])</f>
        <v>45952</v>
      </c>
      <c r="J307" s="11">
        <f>MONTH(Tracking[[#This Row],[Date]])</f>
        <v>10</v>
      </c>
      <c r="K307" s="64">
        <f>YEAR(Tracking[[#This Row],[Date]])</f>
        <v>2025</v>
      </c>
    </row>
    <row r="308" spans="3:13" x14ac:dyDescent="0.2">
      <c r="C308" s="34">
        <f>SOURCE!A298</f>
        <v>45953</v>
      </c>
      <c r="D308" s="11" t="s">
        <v>13</v>
      </c>
      <c r="E308" s="11" t="s">
        <v>161</v>
      </c>
      <c r="F308" s="35">
        <f>SOURCE!E298</f>
        <v>54</v>
      </c>
      <c r="G308" s="36"/>
      <c r="H308" s="38" cm="1">
        <f t="array" ref="H308">SUMPRODUCT(Tracking[Amount],--(Tracking[Date]&lt;=Tracking[[#This Row],[Date]]),(Tracking[Type]&lt;&gt;"Income")*(-1)+(Tracking[Type]="Income"))</f>
        <v>3132.5300000000107</v>
      </c>
      <c r="I308" s="42">
        <f>IF(AND(Tracking[[#This Row],[Type]]="Income", shift_late_income_status="Active", DAY(Tracking[[#This Row],[Date]])&gt;=shift_late_income_starting_date), DATE(YEAR(Tracking[[#This Row],[Date]]),MONTH(Tracking[[#This Row],[Date]])+1,1),Tracking[[#This Row],[Date]])</f>
        <v>45953</v>
      </c>
      <c r="J308" s="11">
        <f>MONTH(Tracking[[#This Row],[Date]])</f>
        <v>10</v>
      </c>
      <c r="K308" s="64">
        <f>YEAR(Tracking[[#This Row],[Date]])</f>
        <v>2025</v>
      </c>
    </row>
    <row r="309" spans="3:13" x14ac:dyDescent="0.2">
      <c r="C309" s="34">
        <f>SOURCE!A299</f>
        <v>45953</v>
      </c>
      <c r="D309" s="11" t="str">
        <f>SOURCE!B299</f>
        <v>Expenses</v>
      </c>
      <c r="E309" s="11" t="str">
        <f>SOURCE!C299</f>
        <v>Groceries</v>
      </c>
      <c r="F309" s="35">
        <f>SOURCE!E299</f>
        <v>2.2999999999999998</v>
      </c>
      <c r="G309" s="36"/>
      <c r="H309" s="38" cm="1">
        <f t="array" ref="H309">SUMPRODUCT(Tracking[Amount],--(Tracking[Date]&lt;=Tracking[[#This Row],[Date]]),(Tracking[Type]&lt;&gt;"Income")*(-1)+(Tracking[Type]="Income"))</f>
        <v>3132.5300000000107</v>
      </c>
      <c r="I309" s="42">
        <f>IF(AND(Tracking[[#This Row],[Type]]="Income", shift_late_income_status="Active", DAY(Tracking[[#This Row],[Date]])&gt;=shift_late_income_starting_date), DATE(YEAR(Tracking[[#This Row],[Date]]),MONTH(Tracking[[#This Row],[Date]])+1,1),Tracking[[#This Row],[Date]])</f>
        <v>45953</v>
      </c>
      <c r="J309" s="11">
        <f>MONTH(Tracking[[#This Row],[Date]])</f>
        <v>10</v>
      </c>
      <c r="K309" s="64">
        <f>YEAR(Tracking[[#This Row],[Date]])</f>
        <v>2025</v>
      </c>
      <c r="M309" t="s">
        <v>128</v>
      </c>
    </row>
    <row r="310" spans="3:13" x14ac:dyDescent="0.2">
      <c r="C310" s="34">
        <f>SOURCE!A300</f>
        <v>45953</v>
      </c>
      <c r="D310" s="11" t="str">
        <f>SOURCE!B300</f>
        <v>Expenses</v>
      </c>
      <c r="E310" s="11" t="str">
        <f>SOURCE!C300</f>
        <v>Groceries</v>
      </c>
      <c r="F310" s="35">
        <f>SOURCE!E300</f>
        <v>9.5</v>
      </c>
      <c r="G310" s="36"/>
      <c r="H310" s="38" cm="1">
        <f t="array" ref="H310">SUMPRODUCT(Tracking[Amount],--(Tracking[Date]&lt;=Tracking[[#This Row],[Date]]),(Tracking[Type]&lt;&gt;"Income")*(-1)+(Tracking[Type]="Income"))</f>
        <v>3132.5300000000107</v>
      </c>
      <c r="I310" s="42">
        <f>IF(AND(Tracking[[#This Row],[Type]]="Income", shift_late_income_status="Active", DAY(Tracking[[#This Row],[Date]])&gt;=shift_late_income_starting_date), DATE(YEAR(Tracking[[#This Row],[Date]]),MONTH(Tracking[[#This Row],[Date]])+1,1),Tracking[[#This Row],[Date]])</f>
        <v>45953</v>
      </c>
      <c r="J310" s="11">
        <f>MONTH(Tracking[[#This Row],[Date]])</f>
        <v>10</v>
      </c>
      <c r="K310" s="64">
        <f>YEAR(Tracking[[#This Row],[Date]])</f>
        <v>2025</v>
      </c>
      <c r="M310" s="11"/>
    </row>
    <row r="311" spans="3:13" x14ac:dyDescent="0.2">
      <c r="C311" s="34">
        <f>SOURCE!A301</f>
        <v>45954</v>
      </c>
      <c r="D311" s="11" t="str">
        <f>SOURCE!B301</f>
        <v>Income</v>
      </c>
      <c r="E311" s="11" t="str">
        <f>SOURCE!C301</f>
        <v>Employment</v>
      </c>
      <c r="F311" s="35">
        <f>SOURCE!E301</f>
        <v>8204.85</v>
      </c>
      <c r="G311" s="36"/>
      <c r="H311" s="38" cm="1">
        <f t="array" ref="H311">SUMPRODUCT(Tracking[Amount],--(Tracking[Date]&lt;=Tracking[[#This Row],[Date]]),(Tracking[Type]&lt;&gt;"Income")*(-1)+(Tracking[Type]="Income"))</f>
        <v>9425.3800000000119</v>
      </c>
      <c r="I311" s="42">
        <f>IF(AND(Tracking[[#This Row],[Type]]="Income", shift_late_income_status="Active", DAY(Tracking[[#This Row],[Date]])&gt;=shift_late_income_starting_date), DATE(YEAR(Tracking[[#This Row],[Date]]),MONTH(Tracking[[#This Row],[Date]])+1,1),Tracking[[#This Row],[Date]])</f>
        <v>45954</v>
      </c>
      <c r="J311" s="11">
        <f>MONTH(Tracking[[#This Row],[Date]])</f>
        <v>10</v>
      </c>
      <c r="K311" s="64">
        <f>YEAR(Tracking[[#This Row],[Date]])</f>
        <v>2025</v>
      </c>
    </row>
    <row r="312" spans="3:13" x14ac:dyDescent="0.2">
      <c r="C312" s="34">
        <f>SOURCE!A302</f>
        <v>45954</v>
      </c>
      <c r="D312" s="11" t="str">
        <f>SOURCE!B302</f>
        <v>Expenses</v>
      </c>
      <c r="E312" s="11" t="str">
        <f>SOURCE!C302</f>
        <v>Housing</v>
      </c>
      <c r="F312" s="35">
        <f>SOURCE!E302</f>
        <v>1912</v>
      </c>
      <c r="G312" s="36"/>
      <c r="H312" s="38" cm="1">
        <f t="array" ref="H312">SUMPRODUCT(Tracking[Amount],--(Tracking[Date]&lt;=Tracking[[#This Row],[Date]]),(Tracking[Type]&lt;&gt;"Income")*(-1)+(Tracking[Type]="Income"))</f>
        <v>9425.3800000000119</v>
      </c>
      <c r="I312" s="42">
        <f>IF(AND(Tracking[[#This Row],[Type]]="Income", shift_late_income_status="Active", DAY(Tracking[[#This Row],[Date]])&gt;=shift_late_income_starting_date), DATE(YEAR(Tracking[[#This Row],[Date]]),MONTH(Tracking[[#This Row],[Date]])+1,1),Tracking[[#This Row],[Date]])</f>
        <v>45954</v>
      </c>
      <c r="J312" s="11">
        <f>MONTH(Tracking[[#This Row],[Date]])</f>
        <v>10</v>
      </c>
      <c r="K312" s="64">
        <f>YEAR(Tracking[[#This Row],[Date]])</f>
        <v>2025</v>
      </c>
    </row>
    <row r="313" spans="3:13" x14ac:dyDescent="0.2">
      <c r="C313" s="34">
        <f>SOURCE!A303</f>
        <v>45955</v>
      </c>
      <c r="D313" s="11" t="str">
        <f>SOURCE!B303</f>
        <v>Expenses</v>
      </c>
      <c r="E313" s="11" t="str">
        <f>SOURCE!C303</f>
        <v>Train</v>
      </c>
      <c r="F313" s="65">
        <f>SOURCE!E303</f>
        <v>4.7</v>
      </c>
      <c r="G313" s="122"/>
      <c r="H313" s="67" cm="1">
        <f t="array" ref="H313">SUMPRODUCT(Tracking[Amount],--(Tracking[Date]&lt;=Tracking[[#This Row],[Date]]),(Tracking[Type]&lt;&gt;"Income")*(-1)+(Tracking[Type]="Income"))</f>
        <v>9415.9800000000105</v>
      </c>
      <c r="I313" s="42">
        <f>IF(AND(Tracking[[#This Row],[Type]]="Income", shift_late_income_status="Active", DAY(Tracking[[#This Row],[Date]])&gt;=shift_late_income_starting_date), DATE(YEAR(Tracking[[#This Row],[Date]]),MONTH(Tracking[[#This Row],[Date]])+1,1),Tracking[[#This Row],[Date]])</f>
        <v>45955</v>
      </c>
      <c r="J313" s="108">
        <f>MONTH(Tracking[[#This Row],[Date]])</f>
        <v>10</v>
      </c>
      <c r="K313" s="11">
        <f>YEAR(Tracking[[#This Row],[Date]])</f>
        <v>2025</v>
      </c>
    </row>
    <row r="314" spans="3:13" x14ac:dyDescent="0.2">
      <c r="C314" s="34">
        <f>SOURCE!A304</f>
        <v>45955</v>
      </c>
      <c r="D314" s="11" t="str">
        <f>SOURCE!B304</f>
        <v>Expenses</v>
      </c>
      <c r="E314" s="11" t="str">
        <f>SOURCE!C304</f>
        <v>Train</v>
      </c>
      <c r="F314" s="65">
        <f>SOURCE!E304</f>
        <v>4.7</v>
      </c>
      <c r="G314" s="122"/>
      <c r="H314" s="67" cm="1">
        <f t="array" ref="H314">SUMPRODUCT(Tracking[Amount],--(Tracking[Date]&lt;=Tracking[[#This Row],[Date]]),(Tracking[Type]&lt;&gt;"Income")*(-1)+(Tracking[Type]="Income"))</f>
        <v>9415.9800000000105</v>
      </c>
      <c r="I314" s="42">
        <f>IF(AND(Tracking[[#This Row],[Type]]="Income", shift_late_income_status="Active", DAY(Tracking[[#This Row],[Date]])&gt;=shift_late_income_starting_date), DATE(YEAR(Tracking[[#This Row],[Date]]),MONTH(Tracking[[#This Row],[Date]])+1,1),Tracking[[#This Row],[Date]])</f>
        <v>45955</v>
      </c>
      <c r="J314" s="108">
        <f>MONTH(Tracking[[#This Row],[Date]])</f>
        <v>10</v>
      </c>
      <c r="K314" s="11">
        <f>YEAR(Tracking[[#This Row],[Date]])</f>
        <v>2025</v>
      </c>
    </row>
    <row r="315" spans="3:13" x14ac:dyDescent="0.2">
      <c r="C315" s="34">
        <f>SOURCE!A305</f>
        <v>45956</v>
      </c>
      <c r="D315" s="11" t="str">
        <f>SOURCE!B305</f>
        <v>Expenses</v>
      </c>
      <c r="E315" s="11" t="str">
        <f>SOURCE!C305</f>
        <v>Groceries</v>
      </c>
      <c r="F315" s="65">
        <f>SOURCE!E305</f>
        <v>18</v>
      </c>
      <c r="G315" s="122"/>
      <c r="H315" s="67" cm="1">
        <f t="array" ref="H315">SUMPRODUCT(Tracking[Amount],--(Tracking[Date]&lt;=Tracking[[#This Row],[Date]]),(Tracking[Type]&lt;&gt;"Income")*(-1)+(Tracking[Type]="Income"))</f>
        <v>9397.9800000000105</v>
      </c>
      <c r="I315" s="42">
        <f>IF(AND(Tracking[[#This Row],[Type]]="Income", shift_late_income_status="Active", DAY(Tracking[[#This Row],[Date]])&gt;=shift_late_income_starting_date), DATE(YEAR(Tracking[[#This Row],[Date]]),MONTH(Tracking[[#This Row],[Date]])+1,1),Tracking[[#This Row],[Date]])</f>
        <v>45956</v>
      </c>
      <c r="J315" s="108">
        <f>MONTH(Tracking[[#This Row],[Date]])</f>
        <v>10</v>
      </c>
      <c r="K315" s="11">
        <f>YEAR(Tracking[[#This Row],[Date]])</f>
        <v>2025</v>
      </c>
    </row>
    <row r="316" spans="3:13" x14ac:dyDescent="0.2">
      <c r="C316" s="34">
        <f>SOURCE!A306</f>
        <v>45957</v>
      </c>
      <c r="D316" s="11" t="str">
        <f>SOURCE!B306</f>
        <v>Expenses</v>
      </c>
      <c r="E316" s="11" t="str">
        <f>SOURCE!C306</f>
        <v>Restaurants</v>
      </c>
      <c r="F316" s="65">
        <f>SOURCE!E306</f>
        <v>11</v>
      </c>
      <c r="G316" s="122"/>
      <c r="H316" s="67" cm="1">
        <f t="array" ref="H316">SUMPRODUCT(Tracking[Amount],--(Tracking[Date]&lt;=Tracking[[#This Row],[Date]]),(Tracking[Type]&lt;&gt;"Income")*(-1)+(Tracking[Type]="Income"))</f>
        <v>9362.9300000000112</v>
      </c>
      <c r="I316" s="42">
        <f>IF(AND(Tracking[[#This Row],[Type]]="Income", shift_late_income_status="Active", DAY(Tracking[[#This Row],[Date]])&gt;=shift_late_income_starting_date), DATE(YEAR(Tracking[[#This Row],[Date]]),MONTH(Tracking[[#This Row],[Date]])+1,1),Tracking[[#This Row],[Date]])</f>
        <v>45957</v>
      </c>
      <c r="J316" s="108">
        <f>MONTH(Tracking[[#This Row],[Date]])</f>
        <v>10</v>
      </c>
      <c r="K316" s="11">
        <f>YEAR(Tracking[[#This Row],[Date]])</f>
        <v>2025</v>
      </c>
    </row>
    <row r="317" spans="3:13" x14ac:dyDescent="0.2">
      <c r="C317" s="34">
        <f>SOURCE!A307</f>
        <v>45957</v>
      </c>
      <c r="D317" s="11" t="str">
        <f>SOURCE!B307</f>
        <v>Expenses</v>
      </c>
      <c r="E317" s="11" t="str">
        <f>SOURCE!C307</f>
        <v>Extras</v>
      </c>
      <c r="F317" s="65">
        <f>SOURCE!E307</f>
        <v>18</v>
      </c>
      <c r="G317" s="122"/>
      <c r="H317" s="67" cm="1">
        <f t="array" ref="H317">SUMPRODUCT(Tracking[Amount],--(Tracking[Date]&lt;=Tracking[[#This Row],[Date]]),(Tracking[Type]&lt;&gt;"Income")*(-1)+(Tracking[Type]="Income"))</f>
        <v>9362.9300000000112</v>
      </c>
      <c r="I317" s="42">
        <f>IF(AND(Tracking[[#This Row],[Type]]="Income", shift_late_income_status="Active", DAY(Tracking[[#This Row],[Date]])&gt;=shift_late_income_starting_date), DATE(YEAR(Tracking[[#This Row],[Date]]),MONTH(Tracking[[#This Row],[Date]])+1,1),Tracking[[#This Row],[Date]])</f>
        <v>45957</v>
      </c>
      <c r="J317" s="108">
        <f>MONTH(Tracking[[#This Row],[Date]])</f>
        <v>10</v>
      </c>
      <c r="K317" s="11">
        <f>YEAR(Tracking[[#This Row],[Date]])</f>
        <v>2025</v>
      </c>
    </row>
    <row r="318" spans="3:13" x14ac:dyDescent="0.2">
      <c r="C318" s="34">
        <f>SOURCE!A308</f>
        <v>45957</v>
      </c>
      <c r="D318" s="11" t="str">
        <f>SOURCE!B308</f>
        <v>Expenses</v>
      </c>
      <c r="E318" s="11" t="str">
        <f>SOURCE!C308</f>
        <v>Groceries</v>
      </c>
      <c r="F318" s="65">
        <f>SOURCE!E308</f>
        <v>6.05</v>
      </c>
      <c r="G318" s="122"/>
      <c r="H318" s="67" cm="1">
        <f t="array" ref="H318">SUMPRODUCT(Tracking[Amount],--(Tracking[Date]&lt;=Tracking[[#This Row],[Date]]),(Tracking[Type]&lt;&gt;"Income")*(-1)+(Tracking[Type]="Income"))</f>
        <v>9362.9300000000112</v>
      </c>
      <c r="I318" s="42">
        <f>IF(AND(Tracking[[#This Row],[Type]]="Income", shift_late_income_status="Active", DAY(Tracking[[#This Row],[Date]])&gt;=shift_late_income_starting_date), DATE(YEAR(Tracking[[#This Row],[Date]]),MONTH(Tracking[[#This Row],[Date]])+1,1),Tracking[[#This Row],[Date]])</f>
        <v>45957</v>
      </c>
      <c r="J318" s="108">
        <f>MONTH(Tracking[[#This Row],[Date]])</f>
        <v>10</v>
      </c>
      <c r="K318" s="11">
        <f>YEAR(Tracking[[#This Row],[Date]])</f>
        <v>2025</v>
      </c>
    </row>
    <row r="319" spans="3:13" x14ac:dyDescent="0.2">
      <c r="C319" s="34">
        <f>SOURCE!A309</f>
        <v>45958</v>
      </c>
      <c r="D319" s="11" t="str">
        <f>SOURCE!B309</f>
        <v>Expenses</v>
      </c>
      <c r="E319" s="11" t="str">
        <f>SOURCE!C309</f>
        <v>Groceries</v>
      </c>
      <c r="F319" s="65">
        <f>SOURCE!E309</f>
        <v>5.9</v>
      </c>
      <c r="G319" s="122"/>
      <c r="H319" s="67" cm="1">
        <f t="array" ref="H319">SUMPRODUCT(Tracking[Amount],--(Tracking[Date]&lt;=Tracking[[#This Row],[Date]]),(Tracking[Type]&lt;&gt;"Income")*(-1)+(Tracking[Type]="Income"))</f>
        <v>9276.7300000000105</v>
      </c>
      <c r="I319" s="42">
        <f>IF(AND(Tracking[[#This Row],[Type]]="Income", shift_late_income_status="Active", DAY(Tracking[[#This Row],[Date]])&gt;=shift_late_income_starting_date), DATE(YEAR(Tracking[[#This Row],[Date]]),MONTH(Tracking[[#This Row],[Date]])+1,1),Tracking[[#This Row],[Date]])</f>
        <v>45958</v>
      </c>
      <c r="J319" s="108">
        <f>MONTH(Tracking[[#This Row],[Date]])</f>
        <v>10</v>
      </c>
      <c r="K319" s="11">
        <f>YEAR(Tracking[[#This Row],[Date]])</f>
        <v>2025</v>
      </c>
    </row>
    <row r="320" spans="3:13" x14ac:dyDescent="0.2">
      <c r="C320" s="34">
        <f>SOURCE!A310</f>
        <v>45958</v>
      </c>
      <c r="D320" s="11" t="str">
        <f>SOURCE!B310</f>
        <v>Expenses</v>
      </c>
      <c r="E320" s="11" t="str">
        <f>SOURCE!C310</f>
        <v>Groceries</v>
      </c>
      <c r="F320" s="65">
        <f>SOURCE!E310</f>
        <v>19.899999999999999</v>
      </c>
      <c r="G320" s="122"/>
      <c r="H320" s="67" cm="1">
        <f t="array" ref="H320">SUMPRODUCT(Tracking[Amount],--(Tracking[Date]&lt;=Tracking[[#This Row],[Date]]),(Tracking[Type]&lt;&gt;"Income")*(-1)+(Tracking[Type]="Income"))</f>
        <v>9276.7300000000105</v>
      </c>
      <c r="I320" s="42">
        <f>IF(AND(Tracking[[#This Row],[Type]]="Income", shift_late_income_status="Active", DAY(Tracking[[#This Row],[Date]])&gt;=shift_late_income_starting_date), DATE(YEAR(Tracking[[#This Row],[Date]]),MONTH(Tracking[[#This Row],[Date]])+1,1),Tracking[[#This Row],[Date]])</f>
        <v>45958</v>
      </c>
      <c r="J320" s="108">
        <f>MONTH(Tracking[[#This Row],[Date]])</f>
        <v>10</v>
      </c>
      <c r="K320" s="11">
        <f>YEAR(Tracking[[#This Row],[Date]])</f>
        <v>2025</v>
      </c>
    </row>
    <row r="321" spans="3:11" x14ac:dyDescent="0.2">
      <c r="C321" s="34">
        <f>SOURCE!A311</f>
        <v>45958</v>
      </c>
      <c r="D321" s="11" t="str">
        <f>SOURCE!B311</f>
        <v>Expenses</v>
      </c>
      <c r="E321" s="11" t="str">
        <f>SOURCE!C311</f>
        <v>Restaurants</v>
      </c>
      <c r="F321" s="65">
        <f>SOURCE!E311</f>
        <v>35</v>
      </c>
      <c r="G321" s="122"/>
      <c r="H321" s="67" cm="1">
        <f t="array" ref="H321">SUMPRODUCT(Tracking[Amount],--(Tracking[Date]&lt;=Tracking[[#This Row],[Date]]),(Tracking[Type]&lt;&gt;"Income")*(-1)+(Tracking[Type]="Income"))</f>
        <v>9276.7300000000105</v>
      </c>
      <c r="I321" s="42">
        <f>IF(AND(Tracking[[#This Row],[Type]]="Income", shift_late_income_status="Active", DAY(Tracking[[#This Row],[Date]])&gt;=shift_late_income_starting_date), DATE(YEAR(Tracking[[#This Row],[Date]]),MONTH(Tracking[[#This Row],[Date]])+1,1),Tracking[[#This Row],[Date]])</f>
        <v>45958</v>
      </c>
      <c r="J321" s="108">
        <f>MONTH(Tracking[[#This Row],[Date]])</f>
        <v>10</v>
      </c>
      <c r="K321" s="11">
        <f>YEAR(Tracking[[#This Row],[Date]])</f>
        <v>2025</v>
      </c>
    </row>
    <row r="322" spans="3:11" x14ac:dyDescent="0.2">
      <c r="C322" s="34">
        <f>SOURCE!A312</f>
        <v>45958</v>
      </c>
      <c r="D322" s="11" t="str">
        <f>SOURCE!B312</f>
        <v>Expenses</v>
      </c>
      <c r="E322" s="11" t="str">
        <f>SOURCE!C312</f>
        <v>Restaurants</v>
      </c>
      <c r="F322" s="65">
        <f>SOURCE!E312</f>
        <v>16</v>
      </c>
      <c r="G322" s="122"/>
      <c r="H322" s="67" cm="1">
        <f t="array" ref="H322">SUMPRODUCT(Tracking[Amount],--(Tracking[Date]&lt;=Tracking[[#This Row],[Date]]),(Tracking[Type]&lt;&gt;"Income")*(-1)+(Tracking[Type]="Income"))</f>
        <v>9276.7300000000105</v>
      </c>
      <c r="I322" s="42">
        <f>IF(AND(Tracking[[#This Row],[Type]]="Income", shift_late_income_status="Active", DAY(Tracking[[#This Row],[Date]])&gt;=shift_late_income_starting_date), DATE(YEAR(Tracking[[#This Row],[Date]]),MONTH(Tracking[[#This Row],[Date]])+1,1),Tracking[[#This Row],[Date]])</f>
        <v>45958</v>
      </c>
      <c r="J322" s="108">
        <f>MONTH(Tracking[[#This Row],[Date]])</f>
        <v>10</v>
      </c>
      <c r="K322" s="11">
        <f>YEAR(Tracking[[#This Row],[Date]])</f>
        <v>2025</v>
      </c>
    </row>
    <row r="323" spans="3:11" x14ac:dyDescent="0.2">
      <c r="C323" s="34">
        <f>SOURCE!A313</f>
        <v>45958</v>
      </c>
      <c r="D323" s="11" t="str">
        <f>SOURCE!B313</f>
        <v>Expenses</v>
      </c>
      <c r="E323" s="11" t="str">
        <f>SOURCE!C313</f>
        <v>Train</v>
      </c>
      <c r="F323" s="65">
        <f>SOURCE!E313</f>
        <v>4.7</v>
      </c>
      <c r="G323" s="122"/>
      <c r="H323" s="67" cm="1">
        <f t="array" ref="H323">SUMPRODUCT(Tracking[Amount],--(Tracking[Date]&lt;=Tracking[[#This Row],[Date]]),(Tracking[Type]&lt;&gt;"Income")*(-1)+(Tracking[Type]="Income"))</f>
        <v>9276.7300000000105</v>
      </c>
      <c r="I323" s="42">
        <f>IF(AND(Tracking[[#This Row],[Type]]="Income", shift_late_income_status="Active", DAY(Tracking[[#This Row],[Date]])&gt;=shift_late_income_starting_date), DATE(YEAR(Tracking[[#This Row],[Date]]),MONTH(Tracking[[#This Row],[Date]])+1,1),Tracking[[#This Row],[Date]])</f>
        <v>45958</v>
      </c>
      <c r="J323" s="108">
        <f>MONTH(Tracking[[#This Row],[Date]])</f>
        <v>10</v>
      </c>
      <c r="K323" s="11">
        <f>YEAR(Tracking[[#This Row],[Date]])</f>
        <v>2025</v>
      </c>
    </row>
    <row r="324" spans="3:11" x14ac:dyDescent="0.2">
      <c r="C324" s="34">
        <f>SOURCE!A314</f>
        <v>45958</v>
      </c>
      <c r="D324" s="11" t="str">
        <f>SOURCE!B314</f>
        <v>Expenses</v>
      </c>
      <c r="E324" s="11" t="str">
        <f>SOURCE!C314</f>
        <v>Train</v>
      </c>
      <c r="F324" s="65">
        <f>SOURCE!E314</f>
        <v>4.7</v>
      </c>
      <c r="G324" s="122"/>
      <c r="H324" s="67" cm="1">
        <f t="array" ref="H324">SUMPRODUCT(Tracking[Amount],--(Tracking[Date]&lt;=Tracking[[#This Row],[Date]]),(Tracking[Type]&lt;&gt;"Income")*(-1)+(Tracking[Type]="Income"))</f>
        <v>9276.7300000000105</v>
      </c>
      <c r="I324" s="42">
        <f>IF(AND(Tracking[[#This Row],[Type]]="Income", shift_late_income_status="Active", DAY(Tracking[[#This Row],[Date]])&gt;=shift_late_income_starting_date), DATE(YEAR(Tracking[[#This Row],[Date]]),MONTH(Tracking[[#This Row],[Date]])+1,1),Tracking[[#This Row],[Date]])</f>
        <v>45958</v>
      </c>
      <c r="J324" s="108">
        <f>MONTH(Tracking[[#This Row],[Date]])</f>
        <v>10</v>
      </c>
      <c r="K324" s="11">
        <f>YEAR(Tracking[[#This Row],[Date]])</f>
        <v>2025</v>
      </c>
    </row>
    <row r="325" spans="3:11" x14ac:dyDescent="0.2">
      <c r="C325" s="34">
        <f>SOURCE!A315</f>
        <v>45959</v>
      </c>
      <c r="D325" s="11" t="str">
        <f>SOURCE!B315</f>
        <v>Expenses</v>
      </c>
      <c r="E325" s="11" t="str">
        <f>SOURCE!C315</f>
        <v>Groceries</v>
      </c>
      <c r="F325" s="65">
        <f>SOURCE!E315</f>
        <v>2.2999999999999998</v>
      </c>
      <c r="G325" s="122"/>
      <c r="H325" s="67" cm="1">
        <f t="array" ref="H325">SUMPRODUCT(Tracking[Amount],--(Tracking[Date]&lt;=Tracking[[#This Row],[Date]]),(Tracking[Type]&lt;&gt;"Income")*(-1)+(Tracking[Type]="Income"))</f>
        <v>9208.9300000000112</v>
      </c>
      <c r="I325" s="42">
        <f>IF(AND(Tracking[[#This Row],[Type]]="Income", shift_late_income_status="Active", DAY(Tracking[[#This Row],[Date]])&gt;=shift_late_income_starting_date), DATE(YEAR(Tracking[[#This Row],[Date]]),MONTH(Tracking[[#This Row],[Date]])+1,1),Tracking[[#This Row],[Date]])</f>
        <v>45959</v>
      </c>
      <c r="J325" s="108">
        <f>MONTH(Tracking[[#This Row],[Date]])</f>
        <v>10</v>
      </c>
      <c r="K325" s="11">
        <f>YEAR(Tracking[[#This Row],[Date]])</f>
        <v>2025</v>
      </c>
    </row>
    <row r="326" spans="3:11" x14ac:dyDescent="0.2">
      <c r="C326" s="34">
        <f>SOURCE!A316</f>
        <v>45959</v>
      </c>
      <c r="D326" s="11" t="str">
        <f>SOURCE!B316</f>
        <v>Expenses</v>
      </c>
      <c r="E326" s="11" t="str">
        <f>SOURCE!C316</f>
        <v>Restaurants</v>
      </c>
      <c r="F326" s="65">
        <f>SOURCE!E316</f>
        <v>15.5</v>
      </c>
      <c r="G326" s="122"/>
      <c r="H326" s="67" cm="1">
        <f t="array" ref="H326">SUMPRODUCT(Tracking[Amount],--(Tracking[Date]&lt;=Tracking[[#This Row],[Date]]),(Tracking[Type]&lt;&gt;"Income")*(-1)+(Tracking[Type]="Income"))</f>
        <v>9208.9300000000112</v>
      </c>
      <c r="I326" s="42">
        <f>IF(AND(Tracking[[#This Row],[Type]]="Income", shift_late_income_status="Active", DAY(Tracking[[#This Row],[Date]])&gt;=shift_late_income_starting_date), DATE(YEAR(Tracking[[#This Row],[Date]]),MONTH(Tracking[[#This Row],[Date]])+1,1),Tracking[[#This Row],[Date]])</f>
        <v>45959</v>
      </c>
      <c r="J326" s="108">
        <f>MONTH(Tracking[[#This Row],[Date]])</f>
        <v>10</v>
      </c>
      <c r="K326" s="11">
        <f>YEAR(Tracking[[#This Row],[Date]])</f>
        <v>2025</v>
      </c>
    </row>
    <row r="327" spans="3:11" x14ac:dyDescent="0.2">
      <c r="C327" s="34">
        <f>SOURCE!A317</f>
        <v>45959</v>
      </c>
      <c r="D327" s="11" t="str">
        <f>SOURCE!B317</f>
        <v>Expenses</v>
      </c>
      <c r="E327" s="11" t="str">
        <f>SOURCE!C317</f>
        <v>Digital Goods</v>
      </c>
      <c r="F327" s="65">
        <f>SOURCE!E317</f>
        <v>50</v>
      </c>
      <c r="G327" s="122"/>
      <c r="H327" s="67" cm="1">
        <f t="array" ref="H327">SUMPRODUCT(Tracking[Amount],--(Tracking[Date]&lt;=Tracking[[#This Row],[Date]]),(Tracking[Type]&lt;&gt;"Income")*(-1)+(Tracking[Type]="Income"))</f>
        <v>9208.9300000000112</v>
      </c>
      <c r="I327" s="42">
        <f>IF(AND(Tracking[[#This Row],[Type]]="Income", shift_late_income_status="Active", DAY(Tracking[[#This Row],[Date]])&gt;=shift_late_income_starting_date), DATE(YEAR(Tracking[[#This Row],[Date]]),MONTH(Tracking[[#This Row],[Date]])+1,1),Tracking[[#This Row],[Date]])</f>
        <v>45959</v>
      </c>
      <c r="J327" s="108">
        <f>MONTH(Tracking[[#This Row],[Date]])</f>
        <v>10</v>
      </c>
      <c r="K327" s="11">
        <f>YEAR(Tracking[[#This Row],[Date]])</f>
        <v>2025</v>
      </c>
    </row>
    <row r="328" spans="3:11" x14ac:dyDescent="0.2">
      <c r="C328" s="34">
        <f>SOURCE!A318</f>
        <v>45960</v>
      </c>
      <c r="D328" s="11" t="str">
        <f>SOURCE!B318</f>
        <v>Expenses</v>
      </c>
      <c r="E328" s="11" t="str">
        <f>SOURCE!C318</f>
        <v>Train</v>
      </c>
      <c r="F328" s="65">
        <f>SOURCE!E318</f>
        <v>4.7</v>
      </c>
      <c r="G328" s="122"/>
      <c r="H328" s="67" cm="1">
        <f t="array" ref="H328">SUMPRODUCT(Tracking[Amount],--(Tracking[Date]&lt;=Tracking[[#This Row],[Date]]),(Tracking[Type]&lt;&gt;"Income")*(-1)+(Tracking[Type]="Income"))</f>
        <v>9187.6800000000094</v>
      </c>
      <c r="I328" s="42">
        <f>IF(AND(Tracking[[#This Row],[Type]]="Income", shift_late_income_status="Active", DAY(Tracking[[#This Row],[Date]])&gt;=shift_late_income_starting_date), DATE(YEAR(Tracking[[#This Row],[Date]]),MONTH(Tracking[[#This Row],[Date]])+1,1),Tracking[[#This Row],[Date]])</f>
        <v>45960</v>
      </c>
      <c r="J328" s="108">
        <f>MONTH(Tracking[[#This Row],[Date]])</f>
        <v>10</v>
      </c>
      <c r="K328" s="11">
        <f>YEAR(Tracking[[#This Row],[Date]])</f>
        <v>2025</v>
      </c>
    </row>
    <row r="329" spans="3:11" x14ac:dyDescent="0.2">
      <c r="C329" s="34">
        <f>SOURCE!A319</f>
        <v>45960</v>
      </c>
      <c r="D329" s="11" t="str">
        <f>SOURCE!B319</f>
        <v>Expenses</v>
      </c>
      <c r="E329" s="11" t="str">
        <f>SOURCE!C319</f>
        <v>Train</v>
      </c>
      <c r="F329" s="65">
        <f>SOURCE!E319</f>
        <v>4.7</v>
      </c>
      <c r="G329" s="122"/>
      <c r="H329" s="67" cm="1">
        <f t="array" ref="H329">SUMPRODUCT(Tracking[Amount],--(Tracking[Date]&lt;=Tracking[[#This Row],[Date]]),(Tracking[Type]&lt;&gt;"Income")*(-1)+(Tracking[Type]="Income"))</f>
        <v>9187.6800000000094</v>
      </c>
      <c r="I329" s="42">
        <f>IF(AND(Tracking[[#This Row],[Type]]="Income", shift_late_income_status="Active", DAY(Tracking[[#This Row],[Date]])&gt;=shift_late_income_starting_date), DATE(YEAR(Tracking[[#This Row],[Date]]),MONTH(Tracking[[#This Row],[Date]])+1,1),Tracking[[#This Row],[Date]])</f>
        <v>45960</v>
      </c>
      <c r="J329" s="108">
        <f>MONTH(Tracking[[#This Row],[Date]])</f>
        <v>10</v>
      </c>
      <c r="K329" s="11">
        <f>YEAR(Tracking[[#This Row],[Date]])</f>
        <v>2025</v>
      </c>
    </row>
    <row r="330" spans="3:11" x14ac:dyDescent="0.2">
      <c r="C330" s="34">
        <f>SOURCE!A320</f>
        <v>45960</v>
      </c>
      <c r="D330" s="11" t="str">
        <f>SOURCE!B320</f>
        <v>Expenses</v>
      </c>
      <c r="E330" s="11" t="str">
        <f>SOURCE!C320</f>
        <v>Car</v>
      </c>
      <c r="F330" s="35">
        <f>SOURCE!E320</f>
        <v>9.9</v>
      </c>
      <c r="G330" s="36"/>
      <c r="H330" s="38" cm="1">
        <f t="array" ref="H330">SUMPRODUCT(Tracking[Amount],--(Tracking[Date]&lt;=Tracking[[#This Row],[Date]]),(Tracking[Type]&lt;&gt;"Income")*(-1)+(Tracking[Type]="Income"))</f>
        <v>9187.6800000000094</v>
      </c>
      <c r="I330" s="42">
        <f>IF(AND(Tracking[[#This Row],[Type]]="Income", shift_late_income_status="Active", DAY(Tracking[[#This Row],[Date]])&gt;=shift_late_income_starting_date), DATE(YEAR(Tracking[[#This Row],[Date]]),MONTH(Tracking[[#This Row],[Date]])+1,1),Tracking[[#This Row],[Date]])</f>
        <v>45960</v>
      </c>
      <c r="J330" s="11">
        <f>MONTH(Tracking[[#This Row],[Date]])</f>
        <v>10</v>
      </c>
      <c r="K330" s="11">
        <f>YEAR(Tracking[[#This Row],[Date]])</f>
        <v>2025</v>
      </c>
    </row>
    <row r="331" spans="3:11" x14ac:dyDescent="0.2">
      <c r="C331" s="34">
        <f>SOURCE!A321</f>
        <v>45960</v>
      </c>
      <c r="D331" s="11" t="str">
        <f>SOURCE!B321</f>
        <v>Expenses</v>
      </c>
      <c r="E331" s="11" t="str">
        <f>SOURCE!C321</f>
        <v>Groceries</v>
      </c>
      <c r="F331" s="35">
        <f>SOURCE!E321</f>
        <v>1.95</v>
      </c>
      <c r="G331" s="36"/>
      <c r="H331" s="38" cm="1">
        <f t="array" ref="H331">SUMPRODUCT(Tracking[Amount],--(Tracking[Date]&lt;=Tracking[[#This Row],[Date]]),(Tracking[Type]&lt;&gt;"Income")*(-1)+(Tracking[Type]="Income"))</f>
        <v>9187.6800000000094</v>
      </c>
      <c r="I331" s="42">
        <f>IF(AND(Tracking[[#This Row],[Type]]="Income", shift_late_income_status="Active", DAY(Tracking[[#This Row],[Date]])&gt;=shift_late_income_starting_date), DATE(YEAR(Tracking[[#This Row],[Date]]),MONTH(Tracking[[#This Row],[Date]])+1,1),Tracking[[#This Row],[Date]])</f>
        <v>45960</v>
      </c>
      <c r="J331" s="11">
        <f>MONTH(Tracking[[#This Row],[Date]])</f>
        <v>10</v>
      </c>
      <c r="K331" s="11">
        <f>YEAR(Tracking[[#This Row],[Date]])</f>
        <v>2025</v>
      </c>
    </row>
    <row r="332" spans="3:11" x14ac:dyDescent="0.2">
      <c r="C332" s="34">
        <f>SOURCE!A322</f>
        <v>45961</v>
      </c>
      <c r="D332" s="11" t="str">
        <f>SOURCE!B322</f>
        <v>Expenses</v>
      </c>
      <c r="E332" s="11" t="str">
        <f>SOURCE!C322</f>
        <v>CC fees</v>
      </c>
      <c r="F332" s="35">
        <f>SOURCE!E322</f>
        <v>10</v>
      </c>
      <c r="G332" s="36"/>
      <c r="H332" s="38" cm="1">
        <f t="array" ref="H332">SUMPRODUCT(Tracking[Amount],--(Tracking[Date]&lt;=Tracking[[#This Row],[Date]]),(Tracking[Type]&lt;&gt;"Income")*(-1)+(Tracking[Type]="Income"))</f>
        <v>9145.4300000000094</v>
      </c>
      <c r="I332" s="42">
        <f>IF(AND(Tracking[[#This Row],[Type]]="Income", shift_late_income_status="Active", DAY(Tracking[[#This Row],[Date]])&gt;=shift_late_income_starting_date), DATE(YEAR(Tracking[[#This Row],[Date]]),MONTH(Tracking[[#This Row],[Date]])+1,1),Tracking[[#This Row],[Date]])</f>
        <v>45961</v>
      </c>
      <c r="J332" s="11">
        <f>MONTH(Tracking[[#This Row],[Date]])</f>
        <v>10</v>
      </c>
      <c r="K332" s="11">
        <f>YEAR(Tracking[[#This Row],[Date]])</f>
        <v>2025</v>
      </c>
    </row>
    <row r="333" spans="3:11" x14ac:dyDescent="0.2">
      <c r="C333" s="34">
        <f>SOURCE!A323</f>
        <v>45961</v>
      </c>
      <c r="D333" s="11" t="str">
        <f>SOURCE!B323</f>
        <v>Expenses</v>
      </c>
      <c r="E333" s="11" t="str">
        <f>SOURCE!C323</f>
        <v>Car</v>
      </c>
      <c r="F333" s="35">
        <f>SOURCE!E323</f>
        <v>13.7</v>
      </c>
      <c r="G333" s="36"/>
      <c r="H333" s="38" cm="1">
        <f t="array" ref="H333">SUMPRODUCT(Tracking[Amount],--(Tracking[Date]&lt;=Tracking[[#This Row],[Date]]),(Tracking[Type]&lt;&gt;"Income")*(-1)+(Tracking[Type]="Income"))</f>
        <v>9145.4300000000094</v>
      </c>
      <c r="I333" s="42">
        <f>IF(AND(Tracking[[#This Row],[Type]]="Income", shift_late_income_status="Active", DAY(Tracking[[#This Row],[Date]])&gt;=shift_late_income_starting_date), DATE(YEAR(Tracking[[#This Row],[Date]]),MONTH(Tracking[[#This Row],[Date]])+1,1),Tracking[[#This Row],[Date]])</f>
        <v>45961</v>
      </c>
      <c r="J333" s="11">
        <f>MONTH(Tracking[[#This Row],[Date]])</f>
        <v>10</v>
      </c>
      <c r="K333" s="11">
        <f>YEAR(Tracking[[#This Row],[Date]])</f>
        <v>2025</v>
      </c>
    </row>
    <row r="334" spans="3:11" x14ac:dyDescent="0.2">
      <c r="C334" s="34">
        <f>SOURCE!A324</f>
        <v>45961</v>
      </c>
      <c r="D334" s="11" t="str">
        <f>SOURCE!B324</f>
        <v>Expenses</v>
      </c>
      <c r="E334" s="11" t="str">
        <f>SOURCE!C324</f>
        <v>Groceries</v>
      </c>
      <c r="F334" s="35">
        <f>SOURCE!E324</f>
        <v>6.65</v>
      </c>
      <c r="G334" s="36"/>
      <c r="H334" s="38" cm="1">
        <f t="array" ref="H334">SUMPRODUCT(Tracking[Amount],--(Tracking[Date]&lt;=Tracking[[#This Row],[Date]]),(Tracking[Type]&lt;&gt;"Income")*(-1)+(Tracking[Type]="Income"))</f>
        <v>9145.4300000000094</v>
      </c>
      <c r="I334" s="42">
        <f>IF(AND(Tracking[[#This Row],[Type]]="Income", shift_late_income_status="Active", DAY(Tracking[[#This Row],[Date]])&gt;=shift_late_income_starting_date), DATE(YEAR(Tracking[[#This Row],[Date]]),MONTH(Tracking[[#This Row],[Date]])+1,1),Tracking[[#This Row],[Date]])</f>
        <v>45961</v>
      </c>
      <c r="J334" s="11">
        <f>MONTH(Tracking[[#This Row],[Date]])</f>
        <v>10</v>
      </c>
      <c r="K334" s="11">
        <f>YEAR(Tracking[[#This Row],[Date]])</f>
        <v>2025</v>
      </c>
    </row>
    <row r="335" spans="3:11" x14ac:dyDescent="0.2">
      <c r="C335" s="34">
        <f>SOURCE!A325</f>
        <v>45961</v>
      </c>
      <c r="D335" s="11" t="str">
        <f>SOURCE!B325</f>
        <v>Expenses</v>
      </c>
      <c r="E335" s="11" t="str">
        <f>SOURCE!C325</f>
        <v>Train</v>
      </c>
      <c r="F335" s="35">
        <f>SOURCE!E325</f>
        <v>11.9</v>
      </c>
      <c r="G335" s="36"/>
      <c r="H335" s="38" cm="1">
        <f t="array" ref="H335">SUMPRODUCT(Tracking[Amount],--(Tracking[Date]&lt;=Tracking[[#This Row],[Date]]),(Tracking[Type]&lt;&gt;"Income")*(-1)+(Tracking[Type]="Income"))</f>
        <v>9145.4300000000094</v>
      </c>
      <c r="I335" s="42">
        <f>IF(AND(Tracking[[#This Row],[Type]]="Income", shift_late_income_status="Active", DAY(Tracking[[#This Row],[Date]])&gt;=shift_late_income_starting_date), DATE(YEAR(Tracking[[#This Row],[Date]]),MONTH(Tracking[[#This Row],[Date]])+1,1),Tracking[[#This Row],[Date]])</f>
        <v>45961</v>
      </c>
      <c r="J335" s="11">
        <f>MONTH(Tracking[[#This Row],[Date]])</f>
        <v>10</v>
      </c>
      <c r="K335" s="11">
        <f>YEAR(Tracking[[#This Row],[Date]])</f>
        <v>2025</v>
      </c>
    </row>
    <row r="336" spans="3:11" x14ac:dyDescent="0.2">
      <c r="C336" s="34">
        <f>SOURCE!A326</f>
        <v>45962</v>
      </c>
      <c r="D336" s="11" t="str">
        <f>SOURCE!B326</f>
        <v>Income</v>
      </c>
      <c r="E336" s="11" t="str">
        <f>SOURCE!C326</f>
        <v>Extras / Twint Chargeback</v>
      </c>
      <c r="F336" s="35">
        <f>SOURCE!E326</f>
        <v>16.5</v>
      </c>
      <c r="G336" s="36"/>
      <c r="H336" s="38" cm="1">
        <f t="array" ref="H336">SUMPRODUCT(Tracking[Amount],--(Tracking[Date]&lt;=Tracking[[#This Row],[Date]]),(Tracking[Type]&lt;&gt;"Income")*(-1)+(Tracking[Type]="Income"))</f>
        <v>9077.170000000011</v>
      </c>
      <c r="I336" s="42">
        <f>IF(AND(Tracking[[#This Row],[Type]]="Income", shift_late_income_status="Active", DAY(Tracking[[#This Row],[Date]])&gt;=shift_late_income_starting_date), DATE(YEAR(Tracking[[#This Row],[Date]]),MONTH(Tracking[[#This Row],[Date]])+1,1),Tracking[[#This Row],[Date]])</f>
        <v>45962</v>
      </c>
      <c r="J336" s="11">
        <f>MONTH(Tracking[[#This Row],[Date]])</f>
        <v>11</v>
      </c>
      <c r="K336" s="11">
        <f>YEAR(Tracking[[#This Row],[Date]])</f>
        <v>2025</v>
      </c>
    </row>
    <row r="337" spans="3:11" x14ac:dyDescent="0.2">
      <c r="C337" s="34">
        <f>SOURCE!A327</f>
        <v>45962</v>
      </c>
      <c r="D337" s="11" t="str">
        <f>SOURCE!B327</f>
        <v>Expenses</v>
      </c>
      <c r="E337" s="11" t="str">
        <f>SOURCE!C327</f>
        <v>Groceries</v>
      </c>
      <c r="F337" s="35">
        <f>SOURCE!E327</f>
        <v>33.799999999999997</v>
      </c>
      <c r="G337" s="36"/>
      <c r="H337" s="38" cm="1">
        <f t="array" ref="H337">SUMPRODUCT(Tracking[Amount],--(Tracking[Date]&lt;=Tracking[[#This Row],[Date]]),(Tracking[Type]&lt;&gt;"Income")*(-1)+(Tracking[Type]="Income"))</f>
        <v>9077.170000000011</v>
      </c>
      <c r="I337" s="42">
        <f>IF(AND(Tracking[[#This Row],[Type]]="Income", shift_late_income_status="Active", DAY(Tracking[[#This Row],[Date]])&gt;=shift_late_income_starting_date), DATE(YEAR(Tracking[[#This Row],[Date]]),MONTH(Tracking[[#This Row],[Date]])+1,1),Tracking[[#This Row],[Date]])</f>
        <v>45962</v>
      </c>
      <c r="J337" s="11">
        <f>MONTH(Tracking[[#This Row],[Date]])</f>
        <v>11</v>
      </c>
      <c r="K337" s="11">
        <f>YEAR(Tracking[[#This Row],[Date]])</f>
        <v>2025</v>
      </c>
    </row>
    <row r="338" spans="3:11" x14ac:dyDescent="0.2">
      <c r="C338" s="34">
        <f>SOURCE!A328</f>
        <v>45962</v>
      </c>
      <c r="D338" s="11" t="str">
        <f>SOURCE!B328</f>
        <v>Expenses</v>
      </c>
      <c r="E338" s="11" t="str">
        <f>SOURCE!C328</f>
        <v>Groceries</v>
      </c>
      <c r="F338" s="35">
        <f>SOURCE!E328</f>
        <v>13.55</v>
      </c>
      <c r="G338" s="36"/>
      <c r="H338" s="38" cm="1">
        <f t="array" ref="H338">SUMPRODUCT(Tracking[Amount],--(Tracking[Date]&lt;=Tracking[[#This Row],[Date]]),(Tracking[Type]&lt;&gt;"Income")*(-1)+(Tracking[Type]="Income"))</f>
        <v>9077.170000000011</v>
      </c>
      <c r="I338" s="42">
        <f>IF(AND(Tracking[[#This Row],[Type]]="Income", shift_late_income_status="Active", DAY(Tracking[[#This Row],[Date]])&gt;=shift_late_income_starting_date), DATE(YEAR(Tracking[[#This Row],[Date]]),MONTH(Tracking[[#This Row],[Date]])+1,1),Tracking[[#This Row],[Date]])</f>
        <v>45962</v>
      </c>
      <c r="J338" s="11">
        <f>MONTH(Tracking[[#This Row],[Date]])</f>
        <v>11</v>
      </c>
      <c r="K338" s="11">
        <f>YEAR(Tracking[[#This Row],[Date]])</f>
        <v>2025</v>
      </c>
    </row>
    <row r="339" spans="3:11" x14ac:dyDescent="0.2">
      <c r="C339" s="34">
        <f>SOURCE!A329</f>
        <v>45962</v>
      </c>
      <c r="D339" s="11" t="str">
        <f>SOURCE!B329</f>
        <v>Expenses</v>
      </c>
      <c r="E339" s="11" t="str">
        <f>SOURCE!C329</f>
        <v>Restaurants</v>
      </c>
      <c r="F339" s="35">
        <f>SOURCE!E329</f>
        <v>25.5</v>
      </c>
      <c r="G339" s="36"/>
      <c r="H339" s="38" cm="1">
        <f t="array" ref="H339">SUMPRODUCT(Tracking[Amount],--(Tracking[Date]&lt;=Tracking[[#This Row],[Date]]),(Tracking[Type]&lt;&gt;"Income")*(-1)+(Tracking[Type]="Income"))</f>
        <v>9077.170000000011</v>
      </c>
      <c r="I339" s="42">
        <f>IF(AND(Tracking[[#This Row],[Type]]="Income", shift_late_income_status="Active", DAY(Tracking[[#This Row],[Date]])&gt;=shift_late_income_starting_date), DATE(YEAR(Tracking[[#This Row],[Date]]),MONTH(Tracking[[#This Row],[Date]])+1,1),Tracking[[#This Row],[Date]])</f>
        <v>45962</v>
      </c>
      <c r="J339" s="11">
        <f>MONTH(Tracking[[#This Row],[Date]])</f>
        <v>11</v>
      </c>
      <c r="K339" s="11">
        <f>YEAR(Tracking[[#This Row],[Date]])</f>
        <v>2025</v>
      </c>
    </row>
    <row r="340" spans="3:11" x14ac:dyDescent="0.2">
      <c r="C340" s="34">
        <f>SOURCE!A330</f>
        <v>45962</v>
      </c>
      <c r="D340" s="11" t="str">
        <f>SOURCE!B330</f>
        <v>Expenses</v>
      </c>
      <c r="E340" s="11" t="str">
        <f>SOURCE!C330</f>
        <v>Train</v>
      </c>
      <c r="F340" s="35">
        <f>SOURCE!E330</f>
        <v>11.9</v>
      </c>
      <c r="G340" s="36"/>
      <c r="H340" s="38" cm="1">
        <f t="array" ref="H340">SUMPRODUCT(Tracking[Amount],--(Tracking[Date]&lt;=Tracking[[#This Row],[Date]]),(Tracking[Type]&lt;&gt;"Income")*(-1)+(Tracking[Type]="Income"))</f>
        <v>9077.170000000011</v>
      </c>
      <c r="I340" s="42">
        <f>IF(AND(Tracking[[#This Row],[Type]]="Income", shift_late_income_status="Active", DAY(Tracking[[#This Row],[Date]])&gt;=shift_late_income_starting_date), DATE(YEAR(Tracking[[#This Row],[Date]]),MONTH(Tracking[[#This Row],[Date]])+1,1),Tracking[[#This Row],[Date]])</f>
        <v>45962</v>
      </c>
      <c r="J340" s="11">
        <f>MONTH(Tracking[[#This Row],[Date]])</f>
        <v>11</v>
      </c>
      <c r="K340" s="11">
        <f>YEAR(Tracking[[#This Row],[Date]])</f>
        <v>2025</v>
      </c>
    </row>
    <row r="341" spans="3:11" x14ac:dyDescent="0.2">
      <c r="C341" s="34">
        <f>SOURCE!A331</f>
        <v>45962</v>
      </c>
      <c r="D341" s="11" t="str">
        <f>SOURCE!B331</f>
        <v>Expenses</v>
      </c>
      <c r="E341" s="11" t="str">
        <f>SOURCE!C331</f>
        <v>Digital Goods</v>
      </c>
      <c r="F341" s="35">
        <f>SOURCE!E331</f>
        <v>0.01</v>
      </c>
      <c r="G341" s="36"/>
      <c r="H341" s="38" cm="1">
        <f t="array" ref="H341">SUMPRODUCT(Tracking[Amount],--(Tracking[Date]&lt;=Tracking[[#This Row],[Date]]),(Tracking[Type]&lt;&gt;"Income")*(-1)+(Tracking[Type]="Income"))</f>
        <v>9077.170000000011</v>
      </c>
      <c r="I341" s="42">
        <f>IF(AND(Tracking[[#This Row],[Type]]="Income", shift_late_income_status="Active", DAY(Tracking[[#This Row],[Date]])&gt;=shift_late_income_starting_date), DATE(YEAR(Tracking[[#This Row],[Date]]),MONTH(Tracking[[#This Row],[Date]])+1,1),Tracking[[#This Row],[Date]])</f>
        <v>45962</v>
      </c>
      <c r="J341" s="11">
        <f>MONTH(Tracking[[#This Row],[Date]])</f>
        <v>11</v>
      </c>
      <c r="K341" s="11">
        <f>YEAR(Tracking[[#This Row],[Date]])</f>
        <v>2025</v>
      </c>
    </row>
    <row r="342" spans="3:11" x14ac:dyDescent="0.2">
      <c r="C342" s="34">
        <f>SOURCE!A332</f>
        <v>45963</v>
      </c>
      <c r="D342" s="11" t="str">
        <f>SOURCE!B332</f>
        <v>Expenses</v>
      </c>
      <c r="E342" s="11" t="str">
        <f>SOURCE!C332</f>
        <v>Train</v>
      </c>
      <c r="F342" s="35">
        <f>SOURCE!E332</f>
        <v>4.7</v>
      </c>
      <c r="G342" s="36"/>
      <c r="H342" s="38" cm="1">
        <f t="array" ref="H342">SUMPRODUCT(Tracking[Amount],--(Tracking[Date]&lt;=Tracking[[#This Row],[Date]]),(Tracking[Type]&lt;&gt;"Income")*(-1)+(Tracking[Type]="Income"))</f>
        <v>9067.7700000000095</v>
      </c>
      <c r="I342" s="42">
        <f>IF(AND(Tracking[[#This Row],[Type]]="Income", shift_late_income_status="Active", DAY(Tracking[[#This Row],[Date]])&gt;=shift_late_income_starting_date), DATE(YEAR(Tracking[[#This Row],[Date]]),MONTH(Tracking[[#This Row],[Date]])+1,1),Tracking[[#This Row],[Date]])</f>
        <v>45963</v>
      </c>
      <c r="J342" s="11">
        <f>MONTH(Tracking[[#This Row],[Date]])</f>
        <v>11</v>
      </c>
      <c r="K342" s="11">
        <f>YEAR(Tracking[[#This Row],[Date]])</f>
        <v>2025</v>
      </c>
    </row>
    <row r="343" spans="3:11" x14ac:dyDescent="0.2">
      <c r="C343" s="34">
        <f>SOURCE!A333</f>
        <v>45963</v>
      </c>
      <c r="D343" s="11" t="str">
        <f>SOURCE!B333</f>
        <v>Expenses</v>
      </c>
      <c r="E343" s="11" t="str">
        <f>SOURCE!C333</f>
        <v>Train</v>
      </c>
      <c r="F343" s="35">
        <f>SOURCE!E333</f>
        <v>4.7</v>
      </c>
      <c r="G343" s="36"/>
      <c r="H343" s="38" cm="1">
        <f t="array" ref="H343">SUMPRODUCT(Tracking[Amount],--(Tracking[Date]&lt;=Tracking[[#This Row],[Date]]),(Tracking[Type]&lt;&gt;"Income")*(-1)+(Tracking[Type]="Income"))</f>
        <v>9067.7700000000095</v>
      </c>
      <c r="I343" s="42">
        <f>IF(AND(Tracking[[#This Row],[Type]]="Income", shift_late_income_status="Active", DAY(Tracking[[#This Row],[Date]])&gt;=shift_late_income_starting_date), DATE(YEAR(Tracking[[#This Row],[Date]]),MONTH(Tracking[[#This Row],[Date]])+1,1),Tracking[[#This Row],[Date]])</f>
        <v>45963</v>
      </c>
      <c r="J343" s="11">
        <f>MONTH(Tracking[[#This Row],[Date]])</f>
        <v>11</v>
      </c>
      <c r="K343" s="11">
        <f>YEAR(Tracking[[#This Row],[Date]])</f>
        <v>2025</v>
      </c>
    </row>
    <row r="344" spans="3:11" x14ac:dyDescent="0.2">
      <c r="C344" s="34">
        <f>SOURCE!A334</f>
        <v>45964</v>
      </c>
      <c r="D344" s="11" t="str">
        <f>SOURCE!B334</f>
        <v>Expenses</v>
      </c>
      <c r="E344" s="11" t="str">
        <f>SOURCE!C334</f>
        <v>Withdraw</v>
      </c>
      <c r="F344" s="35">
        <f>SOURCE!E334</f>
        <v>50</v>
      </c>
      <c r="G344" s="36"/>
      <c r="H344" s="38" cm="1">
        <f t="array" ref="H344">SUMPRODUCT(Tracking[Amount],--(Tracking[Date]&lt;=Tracking[[#This Row],[Date]]),(Tracking[Type]&lt;&gt;"Income")*(-1)+(Tracking[Type]="Income"))</f>
        <v>9017.7700000000095</v>
      </c>
      <c r="I344" s="42">
        <f>IF(AND(Tracking[[#This Row],[Type]]="Income", shift_late_income_status="Active", DAY(Tracking[[#This Row],[Date]])&gt;=shift_late_income_starting_date), DATE(YEAR(Tracking[[#This Row],[Date]]),MONTH(Tracking[[#This Row],[Date]])+1,1),Tracking[[#This Row],[Date]])</f>
        <v>45964</v>
      </c>
      <c r="J344" s="11">
        <f>MONTH(Tracking[[#This Row],[Date]])</f>
        <v>11</v>
      </c>
      <c r="K344" s="11">
        <f>YEAR(Tracking[[#This Row],[Date]])</f>
        <v>2025</v>
      </c>
    </row>
    <row r="345" spans="3:11" x14ac:dyDescent="0.2">
      <c r="C345" s="34">
        <f>SOURCE!A335</f>
        <v>45965</v>
      </c>
      <c r="D345" s="11" t="str">
        <f>SOURCE!B335</f>
        <v>Expenses</v>
      </c>
      <c r="E345" s="11" t="str">
        <f>SOURCE!C335</f>
        <v>Restaurants</v>
      </c>
      <c r="F345" s="35">
        <f>SOURCE!E335</f>
        <v>40</v>
      </c>
      <c r="G345" s="36"/>
      <c r="H345" s="38" cm="1">
        <f t="array" ref="H345">SUMPRODUCT(Tracking[Amount],--(Tracking[Date]&lt;=Tracking[[#This Row],[Date]]),(Tracking[Type]&lt;&gt;"Income")*(-1)+(Tracking[Type]="Income"))</f>
        <v>8900.7700000000095</v>
      </c>
      <c r="I345" s="42">
        <f>IF(AND(Tracking[[#This Row],[Type]]="Income", shift_late_income_status="Active", DAY(Tracking[[#This Row],[Date]])&gt;=shift_late_income_starting_date), DATE(YEAR(Tracking[[#This Row],[Date]]),MONTH(Tracking[[#This Row],[Date]])+1,1),Tracking[[#This Row],[Date]])</f>
        <v>45965</v>
      </c>
      <c r="J345" s="11">
        <f>MONTH(Tracking[[#This Row],[Date]])</f>
        <v>11</v>
      </c>
      <c r="K345" s="11">
        <f>YEAR(Tracking[[#This Row],[Date]])</f>
        <v>2025</v>
      </c>
    </row>
    <row r="346" spans="3:11" x14ac:dyDescent="0.2">
      <c r="C346" s="34">
        <f>SOURCE!A336</f>
        <v>45965</v>
      </c>
      <c r="D346" s="11" t="str">
        <f>SOURCE!B336</f>
        <v>Expenses</v>
      </c>
      <c r="E346" s="11" t="str">
        <f>SOURCE!C336</f>
        <v>Train</v>
      </c>
      <c r="F346" s="35">
        <f>SOURCE!E336</f>
        <v>11.9</v>
      </c>
      <c r="G346" s="36"/>
      <c r="H346" s="38" cm="1">
        <f t="array" ref="H346">SUMPRODUCT(Tracking[Amount],--(Tracking[Date]&lt;=Tracking[[#This Row],[Date]]),(Tracking[Type]&lt;&gt;"Income")*(-1)+(Tracking[Type]="Income"))</f>
        <v>8900.7700000000095</v>
      </c>
      <c r="I346" s="42">
        <f>IF(AND(Tracking[[#This Row],[Type]]="Income", shift_late_income_status="Active", DAY(Tracking[[#This Row],[Date]])&gt;=shift_late_income_starting_date), DATE(YEAR(Tracking[[#This Row],[Date]]),MONTH(Tracking[[#This Row],[Date]])+1,1),Tracking[[#This Row],[Date]])</f>
        <v>45965</v>
      </c>
      <c r="J346" s="11">
        <f>MONTH(Tracking[[#This Row],[Date]])</f>
        <v>11</v>
      </c>
      <c r="K346" s="11">
        <f>YEAR(Tracking[[#This Row],[Date]])</f>
        <v>2025</v>
      </c>
    </row>
    <row r="347" spans="3:11" x14ac:dyDescent="0.2">
      <c r="C347" s="34">
        <f>SOURCE!A337</f>
        <v>45965</v>
      </c>
      <c r="D347" s="11" t="str">
        <f>SOURCE!B337</f>
        <v>Expenses</v>
      </c>
      <c r="E347" s="11" t="str">
        <f>SOURCE!C337</f>
        <v>Train</v>
      </c>
      <c r="F347" s="35">
        <f>SOURCE!E337</f>
        <v>9.6</v>
      </c>
      <c r="G347" s="36"/>
      <c r="H347" s="38" cm="1">
        <f t="array" ref="H347">SUMPRODUCT(Tracking[Amount],--(Tracking[Date]&lt;=Tracking[[#This Row],[Date]]),(Tracking[Type]&lt;&gt;"Income")*(-1)+(Tracking[Type]="Income"))</f>
        <v>8900.7700000000095</v>
      </c>
      <c r="I347" s="42">
        <f>IF(AND(Tracking[[#This Row],[Type]]="Income", shift_late_income_status="Active", DAY(Tracking[[#This Row],[Date]])&gt;=shift_late_income_starting_date), DATE(YEAR(Tracking[[#This Row],[Date]]),MONTH(Tracking[[#This Row],[Date]])+1,1),Tracking[[#This Row],[Date]])</f>
        <v>45965</v>
      </c>
      <c r="J347" s="11">
        <f>MONTH(Tracking[[#This Row],[Date]])</f>
        <v>11</v>
      </c>
      <c r="K347" s="11">
        <f>YEAR(Tracking[[#This Row],[Date]])</f>
        <v>2025</v>
      </c>
    </row>
    <row r="348" spans="3:11" x14ac:dyDescent="0.2">
      <c r="C348" s="34">
        <f>SOURCE!A338</f>
        <v>45965</v>
      </c>
      <c r="D348" s="11" t="str">
        <f>SOURCE!B338</f>
        <v>Expenses</v>
      </c>
      <c r="E348" s="11" t="str">
        <f>SOURCE!C338</f>
        <v>Train</v>
      </c>
      <c r="F348" s="35">
        <f>SOURCE!E338</f>
        <v>4.7</v>
      </c>
      <c r="G348" s="36"/>
      <c r="H348" s="38" cm="1">
        <f t="array" ref="H348">SUMPRODUCT(Tracking[Amount],--(Tracking[Date]&lt;=Tracking[[#This Row],[Date]]),(Tracking[Type]&lt;&gt;"Income")*(-1)+(Tracking[Type]="Income"))</f>
        <v>8900.7700000000095</v>
      </c>
      <c r="I348" s="42">
        <f>IF(AND(Tracking[[#This Row],[Type]]="Income", shift_late_income_status="Active", DAY(Tracking[[#This Row],[Date]])&gt;=shift_late_income_starting_date), DATE(YEAR(Tracking[[#This Row],[Date]]),MONTH(Tracking[[#This Row],[Date]])+1,1),Tracking[[#This Row],[Date]])</f>
        <v>45965</v>
      </c>
      <c r="J348" s="11">
        <f>MONTH(Tracking[[#This Row],[Date]])</f>
        <v>11</v>
      </c>
      <c r="K348" s="11">
        <f>YEAR(Tracking[[#This Row],[Date]])</f>
        <v>2025</v>
      </c>
    </row>
    <row r="349" spans="3:11" x14ac:dyDescent="0.2">
      <c r="C349" s="34">
        <f>SOURCE!A339</f>
        <v>45965</v>
      </c>
      <c r="D349" s="11" t="str">
        <f>SOURCE!B339</f>
        <v>Expenses</v>
      </c>
      <c r="E349" s="11" t="str">
        <f>SOURCE!C339</f>
        <v>Groceries</v>
      </c>
      <c r="F349" s="35">
        <f>SOURCE!E339</f>
        <v>5.9</v>
      </c>
      <c r="G349" s="36"/>
      <c r="H349" s="38" cm="1">
        <f t="array" ref="H349">SUMPRODUCT(Tracking[Amount],--(Tracking[Date]&lt;=Tracking[[#This Row],[Date]]),(Tracking[Type]&lt;&gt;"Income")*(-1)+(Tracking[Type]="Income"))</f>
        <v>8900.7700000000095</v>
      </c>
      <c r="I349" s="42">
        <f>IF(AND(Tracking[[#This Row],[Type]]="Income", shift_late_income_status="Active", DAY(Tracking[[#This Row],[Date]])&gt;=shift_late_income_starting_date), DATE(YEAR(Tracking[[#This Row],[Date]]),MONTH(Tracking[[#This Row],[Date]])+1,1),Tracking[[#This Row],[Date]])</f>
        <v>45965</v>
      </c>
      <c r="J349" s="11">
        <f>MONTH(Tracking[[#This Row],[Date]])</f>
        <v>11</v>
      </c>
      <c r="K349" s="11">
        <f>YEAR(Tracking[[#This Row],[Date]])</f>
        <v>2025</v>
      </c>
    </row>
    <row r="350" spans="3:11" x14ac:dyDescent="0.2">
      <c r="C350" s="34">
        <f>SOURCE!A340</f>
        <v>45965</v>
      </c>
      <c r="D350" s="11" t="str">
        <f>SOURCE!B340</f>
        <v>Expenses</v>
      </c>
      <c r="E350" s="11" t="str">
        <f>SOURCE!C340</f>
        <v>Sport</v>
      </c>
      <c r="F350" s="35">
        <f>SOURCE!E340</f>
        <v>18</v>
      </c>
      <c r="G350" s="36"/>
      <c r="H350" s="38" cm="1">
        <f t="array" ref="H350">SUMPRODUCT(Tracking[Amount],--(Tracking[Date]&lt;=Tracking[[#This Row],[Date]]),(Tracking[Type]&lt;&gt;"Income")*(-1)+(Tracking[Type]="Income"))</f>
        <v>8900.7700000000095</v>
      </c>
      <c r="I350" s="42">
        <f>IF(AND(Tracking[[#This Row],[Type]]="Income", shift_late_income_status="Active", DAY(Tracking[[#This Row],[Date]])&gt;=shift_late_income_starting_date), DATE(YEAR(Tracking[[#This Row],[Date]]),MONTH(Tracking[[#This Row],[Date]])+1,1),Tracking[[#This Row],[Date]])</f>
        <v>45965</v>
      </c>
      <c r="J350" s="11">
        <f>MONTH(Tracking[[#This Row],[Date]])</f>
        <v>11</v>
      </c>
      <c r="K350" s="11">
        <f>YEAR(Tracking[[#This Row],[Date]])</f>
        <v>2025</v>
      </c>
    </row>
    <row r="351" spans="3:11" x14ac:dyDescent="0.2">
      <c r="C351" s="34">
        <f>SOURCE!A341</f>
        <v>45965</v>
      </c>
      <c r="D351" s="11" t="str">
        <f>SOURCE!B341</f>
        <v>Expenses</v>
      </c>
      <c r="E351" s="11" t="str">
        <f>SOURCE!C341</f>
        <v>Train</v>
      </c>
      <c r="F351" s="35">
        <f>SOURCE!E341</f>
        <v>20</v>
      </c>
      <c r="G351" s="36"/>
      <c r="H351" s="38" cm="1">
        <f t="array" ref="H351">SUMPRODUCT(Tracking[Amount],--(Tracking[Date]&lt;=Tracking[[#This Row],[Date]]),(Tracking[Type]&lt;&gt;"Income")*(-1)+(Tracking[Type]="Income"))</f>
        <v>8900.7700000000095</v>
      </c>
      <c r="I351" s="42">
        <f>IF(AND(Tracking[[#This Row],[Type]]="Income", shift_late_income_status="Active", DAY(Tracking[[#This Row],[Date]])&gt;=shift_late_income_starting_date), DATE(YEAR(Tracking[[#This Row],[Date]]),MONTH(Tracking[[#This Row],[Date]])+1,1),Tracking[[#This Row],[Date]])</f>
        <v>45965</v>
      </c>
      <c r="J351" s="11">
        <f>MONTH(Tracking[[#This Row],[Date]])</f>
        <v>11</v>
      </c>
      <c r="K351" s="11">
        <f>YEAR(Tracking[[#This Row],[Date]])</f>
        <v>2025</v>
      </c>
    </row>
    <row r="352" spans="3:11" x14ac:dyDescent="0.2">
      <c r="C352" s="34">
        <f>SOURCE!A342</f>
        <v>45965</v>
      </c>
      <c r="D352" s="11" t="str">
        <f>SOURCE!B342</f>
        <v>Expenses</v>
      </c>
      <c r="E352" s="11" t="str">
        <f>SOURCE!C342</f>
        <v>Groceries</v>
      </c>
      <c r="F352" s="35">
        <f>SOURCE!E342</f>
        <v>6.9</v>
      </c>
      <c r="G352" s="36"/>
      <c r="H352" s="38" cm="1">
        <f t="array" ref="H352">SUMPRODUCT(Tracking[Amount],--(Tracking[Date]&lt;=Tracking[[#This Row],[Date]]),(Tracking[Type]&lt;&gt;"Income")*(-1)+(Tracking[Type]="Income"))</f>
        <v>8900.7700000000095</v>
      </c>
      <c r="I352" s="42">
        <f>IF(AND(Tracking[[#This Row],[Type]]="Income", shift_late_income_status="Active", DAY(Tracking[[#This Row],[Date]])&gt;=shift_late_income_starting_date), DATE(YEAR(Tracking[[#This Row],[Date]]),MONTH(Tracking[[#This Row],[Date]])+1,1),Tracking[[#This Row],[Date]])</f>
        <v>45965</v>
      </c>
      <c r="J352" s="11">
        <f>MONTH(Tracking[[#This Row],[Date]])</f>
        <v>11</v>
      </c>
      <c r="K352" s="11">
        <f>YEAR(Tracking[[#This Row],[Date]])</f>
        <v>2025</v>
      </c>
    </row>
    <row r="353" spans="3:11" x14ac:dyDescent="0.2">
      <c r="C353" s="34">
        <f>SOURCE!A343</f>
        <v>45966</v>
      </c>
      <c r="D353" s="11" t="str">
        <f>SOURCE!B343</f>
        <v>Expenses</v>
      </c>
      <c r="E353" s="11" t="str">
        <f>SOURCE!C343</f>
        <v>Groceries</v>
      </c>
      <c r="F353" s="35">
        <f>SOURCE!E343</f>
        <v>3.3</v>
      </c>
      <c r="G353" s="36"/>
      <c r="H353" s="38" cm="1">
        <f t="array" ref="H353">SUMPRODUCT(Tracking[Amount],--(Tracking[Date]&lt;=Tracking[[#This Row],[Date]]),(Tracking[Type]&lt;&gt;"Income")*(-1)+(Tracking[Type]="Income"))</f>
        <v>8820.5200000000095</v>
      </c>
      <c r="I353" s="42">
        <f>IF(AND(Tracking[[#This Row],[Type]]="Income", shift_late_income_status="Active", DAY(Tracking[[#This Row],[Date]])&gt;=shift_late_income_starting_date), DATE(YEAR(Tracking[[#This Row],[Date]]),MONTH(Tracking[[#This Row],[Date]])+1,1),Tracking[[#This Row],[Date]])</f>
        <v>45966</v>
      </c>
      <c r="J353" s="11">
        <f>MONTH(Tracking[[#This Row],[Date]])</f>
        <v>11</v>
      </c>
      <c r="K353" s="11">
        <f>YEAR(Tracking[[#This Row],[Date]])</f>
        <v>2025</v>
      </c>
    </row>
    <row r="354" spans="3:11" x14ac:dyDescent="0.2">
      <c r="C354" s="34">
        <f>SOURCE!A344</f>
        <v>45966</v>
      </c>
      <c r="D354" s="11" t="str">
        <f>SOURCE!B344</f>
        <v>Expenses</v>
      </c>
      <c r="E354" s="11" t="str">
        <f>SOURCE!C344</f>
        <v>Internet + Mobile</v>
      </c>
      <c r="F354" s="35">
        <f>SOURCE!E344</f>
        <v>27.95</v>
      </c>
      <c r="G354" s="36"/>
      <c r="H354" s="38" cm="1">
        <f t="array" ref="H354">SUMPRODUCT(Tracking[Amount],--(Tracking[Date]&lt;=Tracking[[#This Row],[Date]]),(Tracking[Type]&lt;&gt;"Income")*(-1)+(Tracking[Type]="Income"))</f>
        <v>8820.5200000000095</v>
      </c>
      <c r="I354" s="42">
        <f>IF(AND(Tracking[[#This Row],[Type]]="Income", shift_late_income_status="Active", DAY(Tracking[[#This Row],[Date]])&gt;=shift_late_income_starting_date), DATE(YEAR(Tracking[[#This Row],[Date]]),MONTH(Tracking[[#This Row],[Date]])+1,1),Tracking[[#This Row],[Date]])</f>
        <v>45966</v>
      </c>
      <c r="J354" s="11">
        <f>MONTH(Tracking[[#This Row],[Date]])</f>
        <v>11</v>
      </c>
      <c r="K354" s="11">
        <f>YEAR(Tracking[[#This Row],[Date]])</f>
        <v>2025</v>
      </c>
    </row>
    <row r="355" spans="3:11" x14ac:dyDescent="0.2">
      <c r="C355" s="34">
        <f>SOURCE!A345</f>
        <v>45966</v>
      </c>
      <c r="D355" s="11" t="str">
        <f>SOURCE!B345</f>
        <v>Expenses</v>
      </c>
      <c r="E355" s="11" t="str">
        <f>SOURCE!C345</f>
        <v>Internet + Mobile</v>
      </c>
      <c r="F355" s="35">
        <f>SOURCE!E345</f>
        <v>49</v>
      </c>
      <c r="G355" s="36"/>
      <c r="H355" s="38" cm="1">
        <f t="array" ref="H355">SUMPRODUCT(Tracking[Amount],--(Tracking[Date]&lt;=Tracking[[#This Row],[Date]]),(Tracking[Type]&lt;&gt;"Income")*(-1)+(Tracking[Type]="Income"))</f>
        <v>8820.5200000000095</v>
      </c>
      <c r="I355" s="42">
        <f>IF(AND(Tracking[[#This Row],[Type]]="Income", shift_late_income_status="Active", DAY(Tracking[[#This Row],[Date]])&gt;=shift_late_income_starting_date), DATE(YEAR(Tracking[[#This Row],[Date]]),MONTH(Tracking[[#This Row],[Date]])+1,1),Tracking[[#This Row],[Date]])</f>
        <v>45966</v>
      </c>
      <c r="J355" s="11">
        <f>MONTH(Tracking[[#This Row],[Date]])</f>
        <v>11</v>
      </c>
      <c r="K355" s="11">
        <f>YEAR(Tracking[[#This Row],[Date]])</f>
        <v>2025</v>
      </c>
    </row>
    <row r="356" spans="3:11" x14ac:dyDescent="0.2">
      <c r="C356" s="34">
        <f>SOURCE!A346</f>
        <v>45967</v>
      </c>
      <c r="D356" s="11" t="str">
        <f>SOURCE!B346</f>
        <v>Expenses</v>
      </c>
      <c r="E356" s="11" t="str">
        <f>SOURCE!C346</f>
        <v>Restaurants</v>
      </c>
      <c r="F356" s="35">
        <f>SOURCE!E346</f>
        <v>12.5</v>
      </c>
      <c r="G356" s="36"/>
      <c r="H356" s="38" cm="1">
        <f t="array" ref="H356">SUMPRODUCT(Tracking[Amount],--(Tracking[Date]&lt;=Tracking[[#This Row],[Date]]),(Tracking[Type]&lt;&gt;"Income")*(-1)+(Tracking[Type]="Income"))</f>
        <v>8681.6200000000081</v>
      </c>
      <c r="I356" s="42">
        <f>IF(AND(Tracking[[#This Row],[Type]]="Income", shift_late_income_status="Active", DAY(Tracking[[#This Row],[Date]])&gt;=shift_late_income_starting_date), DATE(YEAR(Tracking[[#This Row],[Date]]),MONTH(Tracking[[#This Row],[Date]])+1,1),Tracking[[#This Row],[Date]])</f>
        <v>45967</v>
      </c>
      <c r="J356" s="11">
        <f>MONTH(Tracking[[#This Row],[Date]])</f>
        <v>11</v>
      </c>
      <c r="K356" s="11">
        <f>YEAR(Tracking[[#This Row],[Date]])</f>
        <v>2025</v>
      </c>
    </row>
    <row r="357" spans="3:11" x14ac:dyDescent="0.2">
      <c r="C357" s="34">
        <f>SOURCE!A347</f>
        <v>45967</v>
      </c>
      <c r="D357" s="11" t="str">
        <f>SOURCE!B347</f>
        <v>Expenses</v>
      </c>
      <c r="E357" s="11" t="str">
        <f>SOURCE!C347</f>
        <v>Extras</v>
      </c>
      <c r="F357" s="35">
        <f>SOURCE!E347</f>
        <v>34</v>
      </c>
      <c r="G357" s="36"/>
      <c r="H357" s="38" cm="1">
        <f t="array" ref="H357">SUMPRODUCT(Tracking[Amount],--(Tracking[Date]&lt;=Tracking[[#This Row],[Date]]),(Tracking[Type]&lt;&gt;"Income")*(-1)+(Tracking[Type]="Income"))</f>
        <v>8681.6200000000081</v>
      </c>
      <c r="I357" s="42">
        <f>IF(AND(Tracking[[#This Row],[Type]]="Income", shift_late_income_status="Active", DAY(Tracking[[#This Row],[Date]])&gt;=shift_late_income_starting_date), DATE(YEAR(Tracking[[#This Row],[Date]]),MONTH(Tracking[[#This Row],[Date]])+1,1),Tracking[[#This Row],[Date]])</f>
        <v>45967</v>
      </c>
      <c r="J357" s="11">
        <f>MONTH(Tracking[[#This Row],[Date]])</f>
        <v>11</v>
      </c>
      <c r="K357" s="11">
        <f>YEAR(Tracking[[#This Row],[Date]])</f>
        <v>2025</v>
      </c>
    </row>
    <row r="358" spans="3:11" x14ac:dyDescent="0.2">
      <c r="C358" s="34">
        <f>SOURCE!A348</f>
        <v>45967</v>
      </c>
      <c r="D358" s="11" t="str">
        <f>SOURCE!B348</f>
        <v>Expenses</v>
      </c>
      <c r="E358" s="11" t="str">
        <f>SOURCE!C348</f>
        <v>Restaurants</v>
      </c>
      <c r="F358" s="35">
        <f>SOURCE!E348</f>
        <v>83</v>
      </c>
      <c r="G358" s="36"/>
      <c r="H358" s="38" cm="1">
        <f t="array" ref="H358">SUMPRODUCT(Tracking[Amount],--(Tracking[Date]&lt;=Tracking[[#This Row],[Date]]),(Tracking[Type]&lt;&gt;"Income")*(-1)+(Tracking[Type]="Income"))</f>
        <v>8681.6200000000081</v>
      </c>
      <c r="I358" s="42">
        <f>IF(AND(Tracking[[#This Row],[Type]]="Income", shift_late_income_status="Active", DAY(Tracking[[#This Row],[Date]])&gt;=shift_late_income_starting_date), DATE(YEAR(Tracking[[#This Row],[Date]]),MONTH(Tracking[[#This Row],[Date]])+1,1),Tracking[[#This Row],[Date]])</f>
        <v>45967</v>
      </c>
      <c r="J358" s="11">
        <f>MONTH(Tracking[[#This Row],[Date]])</f>
        <v>11</v>
      </c>
      <c r="K358" s="11">
        <f>YEAR(Tracking[[#This Row],[Date]])</f>
        <v>2025</v>
      </c>
    </row>
    <row r="359" spans="3:11" x14ac:dyDescent="0.2">
      <c r="C359" s="34">
        <f>SOURCE!A349</f>
        <v>45967</v>
      </c>
      <c r="D359" s="11" t="str">
        <f>SOURCE!B349</f>
        <v>Expenses</v>
      </c>
      <c r="E359" s="11" t="str">
        <f>SOURCE!C349</f>
        <v>Train</v>
      </c>
      <c r="F359" s="35">
        <f>SOURCE!E349</f>
        <v>4.7</v>
      </c>
      <c r="G359" s="36"/>
      <c r="H359" s="38" cm="1">
        <f t="array" ref="H359">SUMPRODUCT(Tracking[Amount],--(Tracking[Date]&lt;=Tracking[[#This Row],[Date]]),(Tracking[Type]&lt;&gt;"Income")*(-1)+(Tracking[Type]="Income"))</f>
        <v>8681.6200000000081</v>
      </c>
      <c r="I359" s="42">
        <f>IF(AND(Tracking[[#This Row],[Type]]="Income", shift_late_income_status="Active", DAY(Tracking[[#This Row],[Date]])&gt;=shift_late_income_starting_date), DATE(YEAR(Tracking[[#This Row],[Date]]),MONTH(Tracking[[#This Row],[Date]])+1,1),Tracking[[#This Row],[Date]])</f>
        <v>45967</v>
      </c>
      <c r="J359" s="11">
        <f>MONTH(Tracking[[#This Row],[Date]])</f>
        <v>11</v>
      </c>
      <c r="K359" s="11">
        <f>YEAR(Tracking[[#This Row],[Date]])</f>
        <v>2025</v>
      </c>
    </row>
    <row r="360" spans="3:11" x14ac:dyDescent="0.2">
      <c r="C360" s="34">
        <f>SOURCE!A350</f>
        <v>45967</v>
      </c>
      <c r="D360" s="11" t="str">
        <f>SOURCE!B350</f>
        <v>Expenses</v>
      </c>
      <c r="E360" s="11" t="str">
        <f>SOURCE!C350</f>
        <v>Train</v>
      </c>
      <c r="F360" s="35">
        <f>SOURCE!E350</f>
        <v>4.7</v>
      </c>
      <c r="G360" s="36"/>
      <c r="H360" s="38" cm="1">
        <f t="array" ref="H360">SUMPRODUCT(Tracking[Amount],--(Tracking[Date]&lt;=Tracking[[#This Row],[Date]]),(Tracking[Type]&lt;&gt;"Income")*(-1)+(Tracking[Type]="Income"))</f>
        <v>8681.6200000000081</v>
      </c>
      <c r="I360" s="42">
        <f>IF(AND(Tracking[[#This Row],[Type]]="Income", shift_late_income_status="Active", DAY(Tracking[[#This Row],[Date]])&gt;=shift_late_income_starting_date), DATE(YEAR(Tracking[[#This Row],[Date]]),MONTH(Tracking[[#This Row],[Date]])+1,1),Tracking[[#This Row],[Date]])</f>
        <v>45967</v>
      </c>
      <c r="J360" s="11">
        <f>MONTH(Tracking[[#This Row],[Date]])</f>
        <v>11</v>
      </c>
      <c r="K360" s="11">
        <f>YEAR(Tracking[[#This Row],[Date]])</f>
        <v>2025</v>
      </c>
    </row>
    <row r="361" spans="3:11" x14ac:dyDescent="0.2">
      <c r="C361" s="34">
        <f>SOURCE!A351</f>
        <v>45968</v>
      </c>
      <c r="D361" s="11" t="str">
        <f>SOURCE!B351</f>
        <v>Expenses</v>
      </c>
      <c r="E361" s="11" t="str">
        <f>SOURCE!C351</f>
        <v>Train</v>
      </c>
      <c r="F361" s="35">
        <f>SOURCE!E351</f>
        <v>4.7</v>
      </c>
      <c r="G361" s="36"/>
      <c r="H361" s="38" cm="1">
        <f t="array" ref="H361">SUMPRODUCT(Tracking[Amount],--(Tracking[Date]&lt;=Tracking[[#This Row],[Date]]),(Tracking[Type]&lt;&gt;"Income")*(-1)+(Tracking[Type]="Income"))</f>
        <v>8036.2200000000066</v>
      </c>
      <c r="I361" s="42">
        <f>IF(AND(Tracking[[#This Row],[Type]]="Income", shift_late_income_status="Active", DAY(Tracking[[#This Row],[Date]])&gt;=shift_late_income_starting_date), DATE(YEAR(Tracking[[#This Row],[Date]]),MONTH(Tracking[[#This Row],[Date]])+1,1),Tracking[[#This Row],[Date]])</f>
        <v>45968</v>
      </c>
      <c r="J361" s="11">
        <f>MONTH(Tracking[[#This Row],[Date]])</f>
        <v>11</v>
      </c>
      <c r="K361" s="11">
        <f>YEAR(Tracking[[#This Row],[Date]])</f>
        <v>2025</v>
      </c>
    </row>
    <row r="362" spans="3:11" x14ac:dyDescent="0.2">
      <c r="C362" s="34">
        <f>SOURCE!A352</f>
        <v>45968</v>
      </c>
      <c r="D362" s="11" t="str">
        <f>SOURCE!B352</f>
        <v>Expenses</v>
      </c>
      <c r="E362" s="11" t="str">
        <f>SOURCE!C352</f>
        <v>Train</v>
      </c>
      <c r="F362" s="35">
        <f>SOURCE!E352</f>
        <v>4.7</v>
      </c>
      <c r="G362" s="36"/>
      <c r="H362" s="38" cm="1">
        <f t="array" ref="H362">SUMPRODUCT(Tracking[Amount],--(Tracking[Date]&lt;=Tracking[[#This Row],[Date]]),(Tracking[Type]&lt;&gt;"Income")*(-1)+(Tracking[Type]="Income"))</f>
        <v>8036.2200000000066</v>
      </c>
      <c r="I362" s="42">
        <f>IF(AND(Tracking[[#This Row],[Type]]="Income", shift_late_income_status="Active", DAY(Tracking[[#This Row],[Date]])&gt;=shift_late_income_starting_date), DATE(YEAR(Tracking[[#This Row],[Date]]),MONTH(Tracking[[#This Row],[Date]])+1,1),Tracking[[#This Row],[Date]])</f>
        <v>45968</v>
      </c>
      <c r="J362" s="11">
        <f>MONTH(Tracking[[#This Row],[Date]])</f>
        <v>11</v>
      </c>
      <c r="K362" s="11">
        <f>YEAR(Tracking[[#This Row],[Date]])</f>
        <v>2025</v>
      </c>
    </row>
    <row r="363" spans="3:11" x14ac:dyDescent="0.2">
      <c r="C363" s="34">
        <f>SOURCE!A353</f>
        <v>45968</v>
      </c>
      <c r="D363" s="11" t="str">
        <f>SOURCE!B353</f>
        <v>Expenses</v>
      </c>
      <c r="E363" s="11" t="str">
        <f>SOURCE!C353</f>
        <v>Health Other</v>
      </c>
      <c r="F363" s="35">
        <f>SOURCE!E353</f>
        <v>18.75</v>
      </c>
      <c r="G363" s="36"/>
      <c r="H363" s="38" cm="1">
        <f t="array" ref="H363">SUMPRODUCT(Tracking[Amount],--(Tracking[Date]&lt;=Tracking[[#This Row],[Date]]),(Tracking[Type]&lt;&gt;"Income")*(-1)+(Tracking[Type]="Income"))</f>
        <v>8036.2200000000066</v>
      </c>
      <c r="I363" s="42">
        <f>IF(AND(Tracking[[#This Row],[Type]]="Income", shift_late_income_status="Active", DAY(Tracking[[#This Row],[Date]])&gt;=shift_late_income_starting_date), DATE(YEAR(Tracking[[#This Row],[Date]]),MONTH(Tracking[[#This Row],[Date]])+1,1),Tracking[[#This Row],[Date]])</f>
        <v>45968</v>
      </c>
      <c r="J363" s="11">
        <f>MONTH(Tracking[[#This Row],[Date]])</f>
        <v>11</v>
      </c>
      <c r="K363" s="11">
        <f>YEAR(Tracking[[#This Row],[Date]])</f>
        <v>2025</v>
      </c>
    </row>
    <row r="364" spans="3:11" x14ac:dyDescent="0.2">
      <c r="C364" s="34">
        <f>SOURCE!A354</f>
        <v>45968</v>
      </c>
      <c r="D364" s="11" t="str">
        <f>SOURCE!B354</f>
        <v>Expenses</v>
      </c>
      <c r="E364" s="11" t="str">
        <f>SOURCE!C354</f>
        <v>Groceries</v>
      </c>
      <c r="F364" s="35">
        <f>SOURCE!E354</f>
        <v>5.9</v>
      </c>
      <c r="G364" s="36"/>
      <c r="H364" s="38" cm="1">
        <f t="array" ref="H364">SUMPRODUCT(Tracking[Amount],--(Tracking[Date]&lt;=Tracking[[#This Row],[Date]]),(Tracking[Type]&lt;&gt;"Income")*(-1)+(Tracking[Type]="Income"))</f>
        <v>8036.2200000000066</v>
      </c>
      <c r="I364" s="42">
        <f>IF(AND(Tracking[[#This Row],[Type]]="Income", shift_late_income_status="Active", DAY(Tracking[[#This Row],[Date]])&gt;=shift_late_income_starting_date), DATE(YEAR(Tracking[[#This Row],[Date]]),MONTH(Tracking[[#This Row],[Date]])+1,1),Tracking[[#This Row],[Date]])</f>
        <v>45968</v>
      </c>
      <c r="J364" s="11">
        <f>MONTH(Tracking[[#This Row],[Date]])</f>
        <v>11</v>
      </c>
      <c r="K364" s="11">
        <f>YEAR(Tracking[[#This Row],[Date]])</f>
        <v>2025</v>
      </c>
    </row>
    <row r="365" spans="3:11" x14ac:dyDescent="0.2">
      <c r="C365" s="34">
        <f>SOURCE!A355</f>
        <v>45968</v>
      </c>
      <c r="D365" s="11" t="str">
        <f>SOURCE!B355</f>
        <v>Expenses</v>
      </c>
      <c r="E365" s="11" t="str">
        <f>SOURCE!C355</f>
        <v>Health Other</v>
      </c>
      <c r="F365" s="35">
        <f>SOURCE!E355</f>
        <v>80.099999999999994</v>
      </c>
      <c r="G365" s="36" t="s">
        <v>202</v>
      </c>
      <c r="H365" s="38" cm="1">
        <f t="array" ref="H365">SUMPRODUCT(Tracking[Amount],--(Tracking[Date]&lt;=Tracking[[#This Row],[Date]]),(Tracking[Type]&lt;&gt;"Income")*(-1)+(Tracking[Type]="Income"))</f>
        <v>8036.2200000000066</v>
      </c>
      <c r="I365" s="42">
        <f>IF(AND(Tracking[[#This Row],[Type]]="Income", shift_late_income_status="Active", DAY(Tracking[[#This Row],[Date]])&gt;=shift_late_income_starting_date), DATE(YEAR(Tracking[[#This Row],[Date]]),MONTH(Tracking[[#This Row],[Date]])+1,1),Tracking[[#This Row],[Date]])</f>
        <v>45968</v>
      </c>
      <c r="J365" s="11">
        <f>MONTH(Tracking[[#This Row],[Date]])</f>
        <v>11</v>
      </c>
      <c r="K365" s="11">
        <f>YEAR(Tracking[[#This Row],[Date]])</f>
        <v>2025</v>
      </c>
    </row>
    <row r="366" spans="3:11" x14ac:dyDescent="0.2">
      <c r="C366" s="34">
        <f>SOURCE!A356</f>
        <v>45968</v>
      </c>
      <c r="D366" s="11" t="str">
        <f>SOURCE!B356</f>
        <v>Expenses</v>
      </c>
      <c r="E366" s="11" t="str">
        <f>SOURCE!C356</f>
        <v>Restaurants</v>
      </c>
      <c r="F366" s="35">
        <f>SOURCE!E356</f>
        <v>22.4</v>
      </c>
      <c r="G366" s="36"/>
      <c r="H366" s="38" cm="1">
        <f t="array" ref="H366">SUMPRODUCT(Tracking[Amount],--(Tracking[Date]&lt;=Tracking[[#This Row],[Date]]),(Tracking[Type]&lt;&gt;"Income")*(-1)+(Tracking[Type]="Income"))</f>
        <v>8036.2200000000066</v>
      </c>
      <c r="I366" s="42">
        <f>IF(AND(Tracking[[#This Row],[Type]]="Income", shift_late_income_status="Active", DAY(Tracking[[#This Row],[Date]])&gt;=shift_late_income_starting_date), DATE(YEAR(Tracking[[#This Row],[Date]]),MONTH(Tracking[[#This Row],[Date]])+1,1),Tracking[[#This Row],[Date]])</f>
        <v>45968</v>
      </c>
      <c r="J366" s="11">
        <f>MONTH(Tracking[[#This Row],[Date]])</f>
        <v>11</v>
      </c>
      <c r="K366" s="11">
        <f>YEAR(Tracking[[#This Row],[Date]])</f>
        <v>2025</v>
      </c>
    </row>
    <row r="367" spans="3:11" x14ac:dyDescent="0.2">
      <c r="C367" s="34">
        <f>SOURCE!A357</f>
        <v>45968</v>
      </c>
      <c r="D367" s="11" t="str">
        <f>SOURCE!B357</f>
        <v>Expenses</v>
      </c>
      <c r="E367" s="11" t="str">
        <f>SOURCE!C357</f>
        <v>Health Insurance</v>
      </c>
      <c r="F367" s="35">
        <f>SOURCE!E357</f>
        <v>501.35</v>
      </c>
      <c r="G367" s="36"/>
      <c r="H367" s="38" cm="1">
        <f t="array" ref="H367">SUMPRODUCT(Tracking[Amount],--(Tracking[Date]&lt;=Tracking[[#This Row],[Date]]),(Tracking[Type]&lt;&gt;"Income")*(-1)+(Tracking[Type]="Income"))</f>
        <v>8036.2200000000066</v>
      </c>
      <c r="I367" s="42">
        <f>IF(AND(Tracking[[#This Row],[Type]]="Income", shift_late_income_status="Active", DAY(Tracking[[#This Row],[Date]])&gt;=shift_late_income_starting_date), DATE(YEAR(Tracking[[#This Row],[Date]]),MONTH(Tracking[[#This Row],[Date]])+1,1),Tracking[[#This Row],[Date]])</f>
        <v>45968</v>
      </c>
      <c r="J367" s="11">
        <f>MONTH(Tracking[[#This Row],[Date]])</f>
        <v>11</v>
      </c>
      <c r="K367" s="11">
        <f>YEAR(Tracking[[#This Row],[Date]])</f>
        <v>2025</v>
      </c>
    </row>
    <row r="368" spans="3:11" x14ac:dyDescent="0.2">
      <c r="C368" s="34">
        <f>SOURCE!A358</f>
        <v>45968</v>
      </c>
      <c r="D368" s="11" t="str">
        <f>SOURCE!B358</f>
        <v>Expenses</v>
      </c>
      <c r="E368" s="11" t="str">
        <f>SOURCE!C358</f>
        <v>Restaurants</v>
      </c>
      <c r="F368" s="35">
        <f>SOURCE!E358</f>
        <v>7.5</v>
      </c>
      <c r="G368" s="36"/>
      <c r="H368" s="38" cm="1">
        <f t="array" ref="H368">SUMPRODUCT(Tracking[Amount],--(Tracking[Date]&lt;=Tracking[[#This Row],[Date]]),(Tracking[Type]&lt;&gt;"Income")*(-1)+(Tracking[Type]="Income"))</f>
        <v>8036.2200000000066</v>
      </c>
      <c r="I368" s="42">
        <f>IF(AND(Tracking[[#This Row],[Type]]="Income", shift_late_income_status="Active", DAY(Tracking[[#This Row],[Date]])&gt;=shift_late_income_starting_date), DATE(YEAR(Tracking[[#This Row],[Date]]),MONTH(Tracking[[#This Row],[Date]])+1,1),Tracking[[#This Row],[Date]])</f>
        <v>45968</v>
      </c>
      <c r="J368" s="11">
        <f>MONTH(Tracking[[#This Row],[Date]])</f>
        <v>11</v>
      </c>
      <c r="K368" s="11">
        <f>YEAR(Tracking[[#This Row],[Date]])</f>
        <v>2025</v>
      </c>
    </row>
    <row r="369" spans="3:11" x14ac:dyDescent="0.2">
      <c r="C369" s="34">
        <f>SOURCE!A359</f>
        <v>45969</v>
      </c>
      <c r="D369" s="11" t="str">
        <f>SOURCE!B359</f>
        <v>Income</v>
      </c>
      <c r="E369" s="11" t="str">
        <f>SOURCE!C359</f>
        <v>Extras / Twint Chargeback</v>
      </c>
      <c r="F369" s="35">
        <f>SOURCE!E359</f>
        <v>17</v>
      </c>
      <c r="G369" s="36"/>
      <c r="H369" s="38" cm="1">
        <f t="array" ref="H369">SUMPRODUCT(Tracking[Amount],--(Tracking[Date]&lt;=Tracking[[#This Row],[Date]]),(Tracking[Type]&lt;&gt;"Income")*(-1)+(Tracking[Type]="Income"))</f>
        <v>7956.6700000000064</v>
      </c>
      <c r="I369" s="42">
        <f>IF(AND(Tracking[[#This Row],[Type]]="Income", shift_late_income_status="Active", DAY(Tracking[[#This Row],[Date]])&gt;=shift_late_income_starting_date), DATE(YEAR(Tracking[[#This Row],[Date]]),MONTH(Tracking[[#This Row],[Date]])+1,1),Tracking[[#This Row],[Date]])</f>
        <v>45969</v>
      </c>
      <c r="J369" s="11">
        <f>MONTH(Tracking[[#This Row],[Date]])</f>
        <v>11</v>
      </c>
      <c r="K369" s="11">
        <f>YEAR(Tracking[[#This Row],[Date]])</f>
        <v>2025</v>
      </c>
    </row>
    <row r="370" spans="3:11" x14ac:dyDescent="0.2">
      <c r="C370" s="34">
        <f>SOURCE!A360</f>
        <v>45969</v>
      </c>
      <c r="D370" s="11" t="str">
        <f>SOURCE!B360</f>
        <v>Expenses</v>
      </c>
      <c r="E370" s="11" t="str">
        <f>SOURCE!C360</f>
        <v>Restaurants</v>
      </c>
      <c r="F370" s="35">
        <f>SOURCE!E360</f>
        <v>51</v>
      </c>
      <c r="G370" s="36"/>
      <c r="H370" s="38" cm="1">
        <f t="array" ref="H370">SUMPRODUCT(Tracking[Amount],--(Tracking[Date]&lt;=Tracking[[#This Row],[Date]]),(Tracking[Type]&lt;&gt;"Income")*(-1)+(Tracking[Type]="Income"))</f>
        <v>7956.6700000000064</v>
      </c>
      <c r="I370" s="42">
        <f>IF(AND(Tracking[[#This Row],[Type]]="Income", shift_late_income_status="Active", DAY(Tracking[[#This Row],[Date]])&gt;=shift_late_income_starting_date), DATE(YEAR(Tracking[[#This Row],[Date]]),MONTH(Tracking[[#This Row],[Date]])+1,1),Tracking[[#This Row],[Date]])</f>
        <v>45969</v>
      </c>
      <c r="J370" s="11">
        <f>MONTH(Tracking[[#This Row],[Date]])</f>
        <v>11</v>
      </c>
      <c r="K370" s="11">
        <f>YEAR(Tracking[[#This Row],[Date]])</f>
        <v>2025</v>
      </c>
    </row>
    <row r="371" spans="3:11" x14ac:dyDescent="0.2">
      <c r="C371" s="34">
        <f>SOURCE!A361</f>
        <v>45969</v>
      </c>
      <c r="D371" s="11" t="str">
        <f>SOURCE!B361</f>
        <v>Income</v>
      </c>
      <c r="E371" s="11" t="str">
        <f>SOURCE!C361</f>
        <v>Extras / Twint Chargeback</v>
      </c>
      <c r="F371" s="35">
        <f>SOURCE!E361</f>
        <v>18</v>
      </c>
      <c r="G371" s="36"/>
      <c r="H371" s="38" cm="1">
        <f t="array" ref="H371">SUMPRODUCT(Tracking[Amount],--(Tracking[Date]&lt;=Tracking[[#This Row],[Date]]),(Tracking[Type]&lt;&gt;"Income")*(-1)+(Tracking[Type]="Income"))</f>
        <v>7956.6700000000064</v>
      </c>
      <c r="I371" s="42">
        <f>IF(AND(Tracking[[#This Row],[Type]]="Income", shift_late_income_status="Active", DAY(Tracking[[#This Row],[Date]])&gt;=shift_late_income_starting_date), DATE(YEAR(Tracking[[#This Row],[Date]]),MONTH(Tracking[[#This Row],[Date]])+1,1),Tracking[[#This Row],[Date]])</f>
        <v>45969</v>
      </c>
      <c r="J371" s="11">
        <f>MONTH(Tracking[[#This Row],[Date]])</f>
        <v>11</v>
      </c>
      <c r="K371" s="11">
        <f>YEAR(Tracking[[#This Row],[Date]])</f>
        <v>2025</v>
      </c>
    </row>
    <row r="372" spans="3:11" x14ac:dyDescent="0.2">
      <c r="C372" s="34">
        <f>SOURCE!A362</f>
        <v>45969</v>
      </c>
      <c r="D372" s="11" t="str">
        <f>SOURCE!B362</f>
        <v>Expenses</v>
      </c>
      <c r="E372" s="11" t="str">
        <f>SOURCE!C362</f>
        <v>Groceries</v>
      </c>
      <c r="F372" s="35">
        <f>SOURCE!E362</f>
        <v>36.35</v>
      </c>
      <c r="G372" s="36"/>
      <c r="H372" s="38" cm="1">
        <f t="array" ref="H372">SUMPRODUCT(Tracking[Amount],--(Tracking[Date]&lt;=Tracking[[#This Row],[Date]]),(Tracking[Type]&lt;&gt;"Income")*(-1)+(Tracking[Type]="Income"))</f>
        <v>7956.6700000000064</v>
      </c>
      <c r="I372" s="42">
        <f>IF(AND(Tracking[[#This Row],[Type]]="Income", shift_late_income_status="Active", DAY(Tracking[[#This Row],[Date]])&gt;=shift_late_income_starting_date), DATE(YEAR(Tracking[[#This Row],[Date]]),MONTH(Tracking[[#This Row],[Date]])+1,1),Tracking[[#This Row],[Date]])</f>
        <v>45969</v>
      </c>
      <c r="J372" s="11">
        <f>MONTH(Tracking[[#This Row],[Date]])</f>
        <v>11</v>
      </c>
      <c r="K372" s="11">
        <f>YEAR(Tracking[[#This Row],[Date]])</f>
        <v>2025</v>
      </c>
    </row>
    <row r="373" spans="3:11" x14ac:dyDescent="0.2">
      <c r="C373" s="34">
        <f>SOURCE!A363</f>
        <v>45969</v>
      </c>
      <c r="D373" s="11" t="str">
        <f>SOURCE!B363</f>
        <v>Expenses</v>
      </c>
      <c r="E373" s="11" t="str">
        <f>SOURCE!C363</f>
        <v>Groceries</v>
      </c>
      <c r="F373" s="35">
        <f>SOURCE!E363</f>
        <v>2.2000000000000002</v>
      </c>
      <c r="G373" s="36"/>
      <c r="H373" s="38" cm="1">
        <f t="array" ref="H373">SUMPRODUCT(Tracking[Amount],--(Tracking[Date]&lt;=Tracking[[#This Row],[Date]]),(Tracking[Type]&lt;&gt;"Income")*(-1)+(Tracking[Type]="Income"))</f>
        <v>7956.6700000000064</v>
      </c>
      <c r="I373" s="42">
        <f>IF(AND(Tracking[[#This Row],[Type]]="Income", shift_late_income_status="Active", DAY(Tracking[[#This Row],[Date]])&gt;=shift_late_income_starting_date), DATE(YEAR(Tracking[[#This Row],[Date]]),MONTH(Tracking[[#This Row],[Date]])+1,1),Tracking[[#This Row],[Date]])</f>
        <v>45969</v>
      </c>
      <c r="J373" s="11">
        <f>MONTH(Tracking[[#This Row],[Date]])</f>
        <v>11</v>
      </c>
      <c r="K373" s="11">
        <f>YEAR(Tracking[[#This Row],[Date]])</f>
        <v>2025</v>
      </c>
    </row>
    <row r="374" spans="3:11" x14ac:dyDescent="0.2">
      <c r="C374" s="34">
        <f>SOURCE!A364</f>
        <v>45969</v>
      </c>
      <c r="D374" s="11" t="str">
        <f>SOURCE!B364</f>
        <v>Expenses</v>
      </c>
      <c r="E374" s="11" t="str">
        <f>SOURCE!C364</f>
        <v>Wellbeing</v>
      </c>
      <c r="F374" s="35">
        <f>SOURCE!E364</f>
        <v>25</v>
      </c>
      <c r="G374" s="36"/>
      <c r="H374" s="38" cm="1">
        <f t="array" ref="H374">SUMPRODUCT(Tracking[Amount],--(Tracking[Date]&lt;=Tracking[[#This Row],[Date]]),(Tracking[Type]&lt;&gt;"Income")*(-1)+(Tracking[Type]="Income"))</f>
        <v>7956.6700000000064</v>
      </c>
      <c r="I374" s="42">
        <f>IF(AND(Tracking[[#This Row],[Type]]="Income", shift_late_income_status="Active", DAY(Tracking[[#This Row],[Date]])&gt;=shift_late_income_starting_date), DATE(YEAR(Tracking[[#This Row],[Date]]),MONTH(Tracking[[#This Row],[Date]])+1,1),Tracking[[#This Row],[Date]])</f>
        <v>45969</v>
      </c>
      <c r="J374" s="11">
        <f>MONTH(Tracking[[#This Row],[Date]])</f>
        <v>11</v>
      </c>
      <c r="K374" s="11">
        <f>YEAR(Tracking[[#This Row],[Date]])</f>
        <v>2025</v>
      </c>
    </row>
    <row r="375" spans="3:11" x14ac:dyDescent="0.2">
      <c r="C375" s="34">
        <f>SOURCE!A365</f>
        <v>45970</v>
      </c>
      <c r="D375" s="11" t="str">
        <f>SOURCE!B365</f>
        <v>Expenses</v>
      </c>
      <c r="E375" s="11" t="str">
        <f>SOURCE!C365</f>
        <v>Restaurants</v>
      </c>
      <c r="F375" s="35">
        <f>SOURCE!E365</f>
        <v>8</v>
      </c>
      <c r="G375" s="36"/>
      <c r="H375" s="38" cm="1">
        <f t="array" ref="H375">SUMPRODUCT(Tracking[Amount],--(Tracking[Date]&lt;=Tracking[[#This Row],[Date]]),(Tracking[Type]&lt;&gt;"Income")*(-1)+(Tracking[Type]="Income"))</f>
        <v>7965.6700000000064</v>
      </c>
      <c r="I375" s="42">
        <f>IF(AND(Tracking[[#This Row],[Type]]="Income", shift_late_income_status="Active", DAY(Tracking[[#This Row],[Date]])&gt;=shift_late_income_starting_date), DATE(YEAR(Tracking[[#This Row],[Date]]),MONTH(Tracking[[#This Row],[Date]])+1,1),Tracking[[#This Row],[Date]])</f>
        <v>45970</v>
      </c>
      <c r="J375" s="11">
        <f>MONTH(Tracking[[#This Row],[Date]])</f>
        <v>11</v>
      </c>
      <c r="K375" s="11">
        <f>YEAR(Tracking[[#This Row],[Date]])</f>
        <v>2025</v>
      </c>
    </row>
    <row r="376" spans="3:11" x14ac:dyDescent="0.2">
      <c r="C376" s="34">
        <f>SOURCE!A366</f>
        <v>45970</v>
      </c>
      <c r="D376" s="11" t="str">
        <f>SOURCE!B366</f>
        <v>Income</v>
      </c>
      <c r="E376" s="11" t="str">
        <f>SOURCE!C366</f>
        <v>Extras / Twint Chargeback</v>
      </c>
      <c r="F376" s="35">
        <f>SOURCE!E366</f>
        <v>17</v>
      </c>
      <c r="G376" s="36"/>
      <c r="H376" s="38" cm="1">
        <f t="array" ref="H376">SUMPRODUCT(Tracking[Amount],--(Tracking[Date]&lt;=Tracking[[#This Row],[Date]]),(Tracking[Type]&lt;&gt;"Income")*(-1)+(Tracking[Type]="Income"))</f>
        <v>7965.6700000000064</v>
      </c>
      <c r="I376" s="42">
        <f>IF(AND(Tracking[[#This Row],[Type]]="Income", shift_late_income_status="Active", DAY(Tracking[[#This Row],[Date]])&gt;=shift_late_income_starting_date), DATE(YEAR(Tracking[[#This Row],[Date]]),MONTH(Tracking[[#This Row],[Date]])+1,1),Tracking[[#This Row],[Date]])</f>
        <v>45970</v>
      </c>
      <c r="J376" s="11">
        <f>MONTH(Tracking[[#This Row],[Date]])</f>
        <v>11</v>
      </c>
      <c r="K376" s="11">
        <f>YEAR(Tracking[[#This Row],[Date]])</f>
        <v>2025</v>
      </c>
    </row>
    <row r="377" spans="3:11" x14ac:dyDescent="0.2">
      <c r="C377" s="34">
        <f>SOURCE!A367</f>
        <v>45971</v>
      </c>
      <c r="D377" s="11" t="str">
        <f>SOURCE!B367</f>
        <v>Expenses</v>
      </c>
      <c r="E377" s="11" t="str">
        <f>SOURCE!C367</f>
        <v>Train</v>
      </c>
      <c r="F377" s="35">
        <f>SOURCE!E367</f>
        <v>4.7</v>
      </c>
      <c r="G377" s="36"/>
      <c r="H377" s="38" cm="1">
        <f t="array" ref="H377">SUMPRODUCT(Tracking[Amount],--(Tracking[Date]&lt;=Tracking[[#This Row],[Date]]),(Tracking[Type]&lt;&gt;"Income")*(-1)+(Tracking[Type]="Income"))</f>
        <v>7960.4700000000066</v>
      </c>
      <c r="I377" s="42">
        <f>IF(AND(Tracking[[#This Row],[Type]]="Income", shift_late_income_status="Active", DAY(Tracking[[#This Row],[Date]])&gt;=shift_late_income_starting_date), DATE(YEAR(Tracking[[#This Row],[Date]]),MONTH(Tracking[[#This Row],[Date]])+1,1),Tracking[[#This Row],[Date]])</f>
        <v>45971</v>
      </c>
      <c r="J377" s="11">
        <f>MONTH(Tracking[[#This Row],[Date]])</f>
        <v>11</v>
      </c>
      <c r="K377" s="11">
        <f>YEAR(Tracking[[#This Row],[Date]])</f>
        <v>2025</v>
      </c>
    </row>
    <row r="378" spans="3:11" x14ac:dyDescent="0.2">
      <c r="C378" s="34">
        <f>SOURCE!A368</f>
        <v>45971</v>
      </c>
      <c r="D378" s="11" t="str">
        <f>SOURCE!B368</f>
        <v>Expenses</v>
      </c>
      <c r="E378" s="11" t="str">
        <f>SOURCE!C368</f>
        <v>Digital Goods</v>
      </c>
      <c r="F378" s="35">
        <f>SOURCE!E368</f>
        <v>0.5</v>
      </c>
      <c r="G378" s="36"/>
      <c r="H378" s="38" cm="1">
        <f t="array" ref="H378">SUMPRODUCT(Tracking[Amount],--(Tracking[Date]&lt;=Tracking[[#This Row],[Date]]),(Tracking[Type]&lt;&gt;"Income")*(-1)+(Tracking[Type]="Income"))</f>
        <v>7960.4700000000066</v>
      </c>
      <c r="I378" s="42">
        <f>IF(AND(Tracking[[#This Row],[Type]]="Income", shift_late_income_status="Active", DAY(Tracking[[#This Row],[Date]])&gt;=shift_late_income_starting_date), DATE(YEAR(Tracking[[#This Row],[Date]]),MONTH(Tracking[[#This Row],[Date]])+1,1),Tracking[[#This Row],[Date]])</f>
        <v>45971</v>
      </c>
      <c r="J378" s="11">
        <f>MONTH(Tracking[[#This Row],[Date]])</f>
        <v>11</v>
      </c>
      <c r="K378" s="11">
        <f>YEAR(Tracking[[#This Row],[Date]])</f>
        <v>2025</v>
      </c>
    </row>
    <row r="379" spans="3:11" x14ac:dyDescent="0.2">
      <c r="C379" s="34">
        <f>SOURCE!A369</f>
        <v>45972</v>
      </c>
      <c r="D379" s="11" t="str">
        <f>SOURCE!B369</f>
        <v>Expenses</v>
      </c>
      <c r="E379" s="11" t="str">
        <f>SOURCE!C369</f>
        <v>Train</v>
      </c>
      <c r="F379" s="35">
        <f>SOURCE!E369</f>
        <v>4.7</v>
      </c>
      <c r="G379" s="36"/>
      <c r="H379" s="38" cm="1">
        <f t="array" ref="H379">SUMPRODUCT(Tracking[Amount],--(Tracking[Date]&lt;=Tracking[[#This Row],[Date]]),(Tracking[Type]&lt;&gt;"Income")*(-1)+(Tracking[Type]="Income"))</f>
        <v>7951.070000000007</v>
      </c>
      <c r="I379" s="42">
        <f>IF(AND(Tracking[[#This Row],[Type]]="Income", shift_late_income_status="Active", DAY(Tracking[[#This Row],[Date]])&gt;=shift_late_income_starting_date), DATE(YEAR(Tracking[[#This Row],[Date]]),MONTH(Tracking[[#This Row],[Date]])+1,1),Tracking[[#This Row],[Date]])</f>
        <v>45972</v>
      </c>
      <c r="J379" s="11">
        <f>MONTH(Tracking[[#This Row],[Date]])</f>
        <v>11</v>
      </c>
      <c r="K379" s="11">
        <f>YEAR(Tracking[[#This Row],[Date]])</f>
        <v>2025</v>
      </c>
    </row>
    <row r="380" spans="3:11" x14ac:dyDescent="0.2">
      <c r="C380" s="34">
        <f>SOURCE!A370</f>
        <v>45972</v>
      </c>
      <c r="D380" s="11" t="str">
        <f>SOURCE!B370</f>
        <v>Expenses</v>
      </c>
      <c r="E380" s="11" t="str">
        <f>SOURCE!C370</f>
        <v>Train</v>
      </c>
      <c r="F380" s="35">
        <f>SOURCE!E370</f>
        <v>4.7</v>
      </c>
      <c r="G380" s="36"/>
      <c r="H380" s="38" cm="1">
        <f t="array" ref="H380">SUMPRODUCT(Tracking[Amount],--(Tracking[Date]&lt;=Tracking[[#This Row],[Date]]),(Tracking[Type]&lt;&gt;"Income")*(-1)+(Tracking[Type]="Income"))</f>
        <v>7951.070000000007</v>
      </c>
      <c r="I380" s="42">
        <f>IF(AND(Tracking[[#This Row],[Type]]="Income", shift_late_income_status="Active", DAY(Tracking[[#This Row],[Date]])&gt;=shift_late_income_starting_date), DATE(YEAR(Tracking[[#This Row],[Date]]),MONTH(Tracking[[#This Row],[Date]])+1,1),Tracking[[#This Row],[Date]])</f>
        <v>45972</v>
      </c>
      <c r="J380" s="11">
        <f>MONTH(Tracking[[#This Row],[Date]])</f>
        <v>11</v>
      </c>
      <c r="K380" s="11">
        <f>YEAR(Tracking[[#This Row],[Date]])</f>
        <v>2025</v>
      </c>
    </row>
    <row r="381" spans="3:11" x14ac:dyDescent="0.2">
      <c r="C381" s="34">
        <f>SOURCE!A371</f>
        <v>45973</v>
      </c>
      <c r="D381" s="11" t="str">
        <f>SOURCE!B371</f>
        <v>Expenses</v>
      </c>
      <c r="E381" s="11" t="str">
        <f>SOURCE!C371</f>
        <v>Restaurants</v>
      </c>
      <c r="F381" s="35">
        <f>SOURCE!E371</f>
        <v>15</v>
      </c>
      <c r="G381" s="36"/>
      <c r="H381" s="38" cm="1">
        <f t="array" ref="H381">SUMPRODUCT(Tracking[Amount],--(Tracking[Date]&lt;=Tracking[[#This Row],[Date]]),(Tracking[Type]&lt;&gt;"Income")*(-1)+(Tracking[Type]="Income"))</f>
        <v>7915.570000000007</v>
      </c>
      <c r="I381" s="42">
        <f>IF(AND(Tracking[[#This Row],[Type]]="Income", shift_late_income_status="Active", DAY(Tracking[[#This Row],[Date]])&gt;=shift_late_income_starting_date), DATE(YEAR(Tracking[[#This Row],[Date]]),MONTH(Tracking[[#This Row],[Date]])+1,1),Tracking[[#This Row],[Date]])</f>
        <v>45973</v>
      </c>
      <c r="J381" s="11">
        <f>MONTH(Tracking[[#This Row],[Date]])</f>
        <v>11</v>
      </c>
      <c r="K381" s="11">
        <f>YEAR(Tracking[[#This Row],[Date]])</f>
        <v>2025</v>
      </c>
    </row>
    <row r="382" spans="3:11" x14ac:dyDescent="0.2">
      <c r="C382" s="34">
        <f>SOURCE!A372</f>
        <v>45973</v>
      </c>
      <c r="D382" s="11" t="str">
        <f>SOURCE!B372</f>
        <v>Expenses</v>
      </c>
      <c r="E382" s="11" t="str">
        <f>SOURCE!C372</f>
        <v>Restaurants</v>
      </c>
      <c r="F382" s="35">
        <f>SOURCE!E372</f>
        <v>5</v>
      </c>
      <c r="G382" s="36"/>
      <c r="H382" s="38" cm="1">
        <f t="array" ref="H382">SUMPRODUCT(Tracking[Amount],--(Tracking[Date]&lt;=Tracking[[#This Row],[Date]]),(Tracking[Type]&lt;&gt;"Income")*(-1)+(Tracking[Type]="Income"))</f>
        <v>7915.570000000007</v>
      </c>
      <c r="I382" s="42">
        <f>IF(AND(Tracking[[#This Row],[Type]]="Income", shift_late_income_status="Active", DAY(Tracking[[#This Row],[Date]])&gt;=shift_late_income_starting_date), DATE(YEAR(Tracking[[#This Row],[Date]]),MONTH(Tracking[[#This Row],[Date]])+1,1),Tracking[[#This Row],[Date]])</f>
        <v>45973</v>
      </c>
      <c r="J382" s="11">
        <f>MONTH(Tracking[[#This Row],[Date]])</f>
        <v>11</v>
      </c>
      <c r="K382" s="11">
        <f>YEAR(Tracking[[#This Row],[Date]])</f>
        <v>2025</v>
      </c>
    </row>
    <row r="383" spans="3:11" x14ac:dyDescent="0.2">
      <c r="C383" s="34">
        <f>SOURCE!A373</f>
        <v>45973</v>
      </c>
      <c r="D383" s="11" t="str">
        <f>SOURCE!B373</f>
        <v>Expenses</v>
      </c>
      <c r="E383" s="11" t="str">
        <f>SOURCE!C373</f>
        <v>Restaurants</v>
      </c>
      <c r="F383" s="35">
        <f>SOURCE!E373</f>
        <v>15.5</v>
      </c>
      <c r="G383" s="36"/>
      <c r="H383" s="38" cm="1">
        <f t="array" ref="H383">SUMPRODUCT(Tracking[Amount],--(Tracking[Date]&lt;=Tracking[[#This Row],[Date]]),(Tracking[Type]&lt;&gt;"Income")*(-1)+(Tracking[Type]="Income"))</f>
        <v>7915.570000000007</v>
      </c>
      <c r="I383" s="42">
        <f>IF(AND(Tracking[[#This Row],[Type]]="Income", shift_late_income_status="Active", DAY(Tracking[[#This Row],[Date]])&gt;=shift_late_income_starting_date), DATE(YEAR(Tracking[[#This Row],[Date]]),MONTH(Tracking[[#This Row],[Date]])+1,1),Tracking[[#This Row],[Date]])</f>
        <v>45973</v>
      </c>
      <c r="J383" s="11">
        <f>MONTH(Tracking[[#This Row],[Date]])</f>
        <v>11</v>
      </c>
      <c r="K383" s="11">
        <f>YEAR(Tracking[[#This Row],[Date]])</f>
        <v>2025</v>
      </c>
    </row>
    <row r="384" spans="3:11" x14ac:dyDescent="0.2">
      <c r="C384" s="34">
        <f>SOURCE!A374</f>
        <v>45974</v>
      </c>
      <c r="D384" s="11" t="str">
        <f>SOURCE!B374</f>
        <v>Expenses</v>
      </c>
      <c r="E384" s="11" t="str">
        <f>SOURCE!C374</f>
        <v>Groceries</v>
      </c>
      <c r="F384" s="35">
        <f>SOURCE!E374</f>
        <v>2.2000000000000002</v>
      </c>
      <c r="G384" s="36"/>
      <c r="H384" s="38" cm="1">
        <f t="array" ref="H384">SUMPRODUCT(Tracking[Amount],--(Tracking[Date]&lt;=Tracking[[#This Row],[Date]]),(Tracking[Type]&lt;&gt;"Income")*(-1)+(Tracking[Type]="Income"))</f>
        <v>7869.7700000000068</v>
      </c>
      <c r="I384" s="42">
        <f>IF(AND(Tracking[[#This Row],[Type]]="Income", shift_late_income_status="Active", DAY(Tracking[[#This Row],[Date]])&gt;=shift_late_income_starting_date), DATE(YEAR(Tracking[[#This Row],[Date]]),MONTH(Tracking[[#This Row],[Date]])+1,1),Tracking[[#This Row],[Date]])</f>
        <v>45974</v>
      </c>
      <c r="J384" s="11">
        <f>MONTH(Tracking[[#This Row],[Date]])</f>
        <v>11</v>
      </c>
      <c r="K384" s="11">
        <f>YEAR(Tracking[[#This Row],[Date]])</f>
        <v>2025</v>
      </c>
    </row>
    <row r="385" spans="3:11" x14ac:dyDescent="0.2">
      <c r="C385" s="34">
        <f>SOURCE!A375</f>
        <v>45974</v>
      </c>
      <c r="D385" s="11" t="str">
        <f>SOURCE!B375</f>
        <v>Expenses</v>
      </c>
      <c r="E385" s="11" t="str">
        <f>SOURCE!C375</f>
        <v>Groceries</v>
      </c>
      <c r="F385" s="35">
        <f>SOURCE!E375</f>
        <v>8.6</v>
      </c>
      <c r="G385" s="36"/>
      <c r="H385" s="38" cm="1">
        <f t="array" ref="H385">SUMPRODUCT(Tracking[Amount],--(Tracking[Date]&lt;=Tracking[[#This Row],[Date]]),(Tracking[Type]&lt;&gt;"Income")*(-1)+(Tracking[Type]="Income"))</f>
        <v>7869.7700000000068</v>
      </c>
      <c r="I385" s="42">
        <f>IF(AND(Tracking[[#This Row],[Type]]="Income", shift_late_income_status="Active", DAY(Tracking[[#This Row],[Date]])&gt;=shift_late_income_starting_date), DATE(YEAR(Tracking[[#This Row],[Date]]),MONTH(Tracking[[#This Row],[Date]])+1,1),Tracking[[#This Row],[Date]])</f>
        <v>45974</v>
      </c>
      <c r="J385" s="11">
        <f>MONTH(Tracking[[#This Row],[Date]])</f>
        <v>11</v>
      </c>
      <c r="K385" s="11">
        <f>YEAR(Tracking[[#This Row],[Date]])</f>
        <v>2025</v>
      </c>
    </row>
    <row r="386" spans="3:11" x14ac:dyDescent="0.2">
      <c r="C386" s="34">
        <f>SOURCE!A376</f>
        <v>45974</v>
      </c>
      <c r="D386" s="11" t="str">
        <f>SOURCE!B376</f>
        <v>Expenses</v>
      </c>
      <c r="E386" s="11" t="str">
        <f>SOURCE!C376</f>
        <v>Sport</v>
      </c>
      <c r="F386" s="35">
        <f>SOURCE!E376</f>
        <v>20</v>
      </c>
      <c r="G386" s="36"/>
      <c r="H386" s="38" cm="1">
        <f t="array" ref="H386">SUMPRODUCT(Tracking[Amount],--(Tracking[Date]&lt;=Tracking[[#This Row],[Date]]),(Tracking[Type]&lt;&gt;"Income")*(-1)+(Tracking[Type]="Income"))</f>
        <v>7869.7700000000068</v>
      </c>
      <c r="I386" s="42">
        <f>IF(AND(Tracking[[#This Row],[Type]]="Income", shift_late_income_status="Active", DAY(Tracking[[#This Row],[Date]])&gt;=shift_late_income_starting_date), DATE(YEAR(Tracking[[#This Row],[Date]]),MONTH(Tracking[[#This Row],[Date]])+1,1),Tracking[[#This Row],[Date]])</f>
        <v>45974</v>
      </c>
      <c r="J386" s="11">
        <f>MONTH(Tracking[[#This Row],[Date]])</f>
        <v>11</v>
      </c>
      <c r="K386" s="11">
        <f>YEAR(Tracking[[#This Row],[Date]])</f>
        <v>2025</v>
      </c>
    </row>
    <row r="387" spans="3:11" x14ac:dyDescent="0.2">
      <c r="C387" s="34">
        <f>SOURCE!A377</f>
        <v>45974</v>
      </c>
      <c r="D387" s="11" t="str">
        <f>SOURCE!B377</f>
        <v>Expenses</v>
      </c>
      <c r="E387" s="11" t="str">
        <f>SOURCE!C377</f>
        <v>Restaurants</v>
      </c>
      <c r="F387" s="35">
        <f>SOURCE!E377</f>
        <v>15</v>
      </c>
      <c r="G387" s="36"/>
      <c r="H387" s="38" cm="1">
        <f t="array" ref="H387">SUMPRODUCT(Tracking[Amount],--(Tracking[Date]&lt;=Tracking[[#This Row],[Date]]),(Tracking[Type]&lt;&gt;"Income")*(-1)+(Tracking[Type]="Income"))</f>
        <v>7869.7700000000068</v>
      </c>
      <c r="I387" s="42">
        <f>IF(AND(Tracking[[#This Row],[Type]]="Income", shift_late_income_status="Active", DAY(Tracking[[#This Row],[Date]])&gt;=shift_late_income_starting_date), DATE(YEAR(Tracking[[#This Row],[Date]]),MONTH(Tracking[[#This Row],[Date]])+1,1),Tracking[[#This Row],[Date]])</f>
        <v>45974</v>
      </c>
      <c r="J387" s="11">
        <f>MONTH(Tracking[[#This Row],[Date]])</f>
        <v>11</v>
      </c>
      <c r="K387" s="11">
        <f>YEAR(Tracking[[#This Row],[Date]])</f>
        <v>2025</v>
      </c>
    </row>
    <row r="388" spans="3:11" x14ac:dyDescent="0.2">
      <c r="C388" s="34">
        <f>SOURCE!A378</f>
        <v>45975</v>
      </c>
      <c r="D388" s="11" t="str">
        <f>SOURCE!B378</f>
        <v>Expenses</v>
      </c>
      <c r="E388" s="11" t="str">
        <f>SOURCE!C378</f>
        <v>Train</v>
      </c>
      <c r="F388" s="35">
        <f>SOURCE!E378</f>
        <v>4.7</v>
      </c>
      <c r="G388" s="36"/>
      <c r="H388" s="38" cm="1">
        <f t="array" ref="H388">SUMPRODUCT(Tracking[Amount],--(Tracking[Date]&lt;=Tracking[[#This Row],[Date]]),(Tracking[Type]&lt;&gt;"Income")*(-1)+(Tracking[Type]="Income"))</f>
        <v>7600.3700000000072</v>
      </c>
      <c r="I388" s="42">
        <f>IF(AND(Tracking[[#This Row],[Type]]="Income", shift_late_income_status="Active", DAY(Tracking[[#This Row],[Date]])&gt;=shift_late_income_starting_date), DATE(YEAR(Tracking[[#This Row],[Date]]),MONTH(Tracking[[#This Row],[Date]])+1,1),Tracking[[#This Row],[Date]])</f>
        <v>45975</v>
      </c>
      <c r="J388" s="11">
        <f>MONTH(Tracking[[#This Row],[Date]])</f>
        <v>11</v>
      </c>
      <c r="K388" s="11">
        <f>YEAR(Tracking[[#This Row],[Date]])</f>
        <v>2025</v>
      </c>
    </row>
    <row r="389" spans="3:11" x14ac:dyDescent="0.2">
      <c r="C389" s="34">
        <f>SOURCE!A379</f>
        <v>45975</v>
      </c>
      <c r="D389" s="11" t="str">
        <f>SOURCE!B379</f>
        <v>Expenses</v>
      </c>
      <c r="E389" s="11" t="str">
        <f>SOURCE!C379</f>
        <v>Groceries</v>
      </c>
      <c r="F389" s="35">
        <f>SOURCE!E379</f>
        <v>24</v>
      </c>
      <c r="G389" s="36"/>
      <c r="H389" s="38" cm="1">
        <f t="array" ref="H389">SUMPRODUCT(Tracking[Amount],--(Tracking[Date]&lt;=Tracking[[#This Row],[Date]]),(Tracking[Type]&lt;&gt;"Income")*(-1)+(Tracking[Type]="Income"))</f>
        <v>7600.3700000000072</v>
      </c>
      <c r="I389" s="42">
        <f>IF(AND(Tracking[[#This Row],[Type]]="Income", shift_late_income_status="Active", DAY(Tracking[[#This Row],[Date]])&gt;=shift_late_income_starting_date), DATE(YEAR(Tracking[[#This Row],[Date]]),MONTH(Tracking[[#This Row],[Date]])+1,1),Tracking[[#This Row],[Date]])</f>
        <v>45975</v>
      </c>
      <c r="J389" s="11">
        <f>MONTH(Tracking[[#This Row],[Date]])</f>
        <v>11</v>
      </c>
      <c r="K389" s="11">
        <f>YEAR(Tracking[[#This Row],[Date]])</f>
        <v>2025</v>
      </c>
    </row>
    <row r="390" spans="3:11" x14ac:dyDescent="0.2">
      <c r="C390" s="34">
        <f>SOURCE!A380</f>
        <v>45975</v>
      </c>
      <c r="D390" s="11" t="str">
        <f>SOURCE!B380</f>
        <v>Expenses</v>
      </c>
      <c r="E390" s="11" t="str">
        <f>SOURCE!C380</f>
        <v>Home utils</v>
      </c>
      <c r="F390" s="35">
        <f>SOURCE!E380</f>
        <v>472</v>
      </c>
      <c r="G390" s="36"/>
      <c r="H390" s="38" cm="1">
        <f t="array" ref="H390">SUMPRODUCT(Tracking[Amount],--(Tracking[Date]&lt;=Tracking[[#This Row],[Date]]),(Tracking[Type]&lt;&gt;"Income")*(-1)+(Tracking[Type]="Income"))</f>
        <v>7600.3700000000072</v>
      </c>
      <c r="I390" s="42">
        <f>IF(AND(Tracking[[#This Row],[Type]]="Income", shift_late_income_status="Active", DAY(Tracking[[#This Row],[Date]])&gt;=shift_late_income_starting_date), DATE(YEAR(Tracking[[#This Row],[Date]]),MONTH(Tracking[[#This Row],[Date]])+1,1),Tracking[[#This Row],[Date]])</f>
        <v>45975</v>
      </c>
      <c r="J390" s="11">
        <f>MONTH(Tracking[[#This Row],[Date]])</f>
        <v>11</v>
      </c>
      <c r="K390" s="11">
        <f>YEAR(Tracking[[#This Row],[Date]])</f>
        <v>2025</v>
      </c>
    </row>
    <row r="391" spans="3:11" x14ac:dyDescent="0.2">
      <c r="C391" s="34">
        <f>SOURCE!A381</f>
        <v>45975</v>
      </c>
      <c r="D391" s="11" t="str">
        <f>SOURCE!B381</f>
        <v>Income</v>
      </c>
      <c r="E391" s="11" t="str">
        <f>SOURCE!C381</f>
        <v>Extras / Twint Chargeback</v>
      </c>
      <c r="F391" s="35">
        <f>SOURCE!E381</f>
        <v>236</v>
      </c>
      <c r="G391" s="36"/>
      <c r="H391" s="38" cm="1">
        <f t="array" ref="H391">SUMPRODUCT(Tracking[Amount],--(Tracking[Date]&lt;=Tracking[[#This Row],[Date]]),(Tracking[Type]&lt;&gt;"Income")*(-1)+(Tracking[Type]="Income"))</f>
        <v>7600.3700000000072</v>
      </c>
      <c r="I391" s="42">
        <f>IF(AND(Tracking[[#This Row],[Type]]="Income", shift_late_income_status="Active", DAY(Tracking[[#This Row],[Date]])&gt;=shift_late_income_starting_date), DATE(YEAR(Tracking[[#This Row],[Date]]),MONTH(Tracking[[#This Row],[Date]])+1,1),Tracking[[#This Row],[Date]])</f>
        <v>45975</v>
      </c>
      <c r="J391" s="11">
        <f>MONTH(Tracking[[#This Row],[Date]])</f>
        <v>11</v>
      </c>
      <c r="K391" s="11">
        <f>YEAR(Tracking[[#This Row],[Date]])</f>
        <v>2025</v>
      </c>
    </row>
    <row r="392" spans="3:11" x14ac:dyDescent="0.2">
      <c r="C392" s="34">
        <f>SOURCE!A382</f>
        <v>45975</v>
      </c>
      <c r="D392" s="11" t="str">
        <f>SOURCE!B382</f>
        <v>Expenses</v>
      </c>
      <c r="E392" s="11" t="str">
        <f>SOURCE!C382</f>
        <v>Train</v>
      </c>
      <c r="F392" s="35">
        <f>SOURCE!E382</f>
        <v>4.7</v>
      </c>
      <c r="G392" s="36"/>
      <c r="H392" s="38" cm="1">
        <f t="array" ref="H392">SUMPRODUCT(Tracking[Amount],--(Tracking[Date]&lt;=Tracking[[#This Row],[Date]]),(Tracking[Type]&lt;&gt;"Income")*(-1)+(Tracking[Type]="Income"))</f>
        <v>7600.3700000000072</v>
      </c>
      <c r="I392" s="42">
        <f>IF(AND(Tracking[[#This Row],[Type]]="Income", shift_late_income_status="Active", DAY(Tracking[[#This Row],[Date]])&gt;=shift_late_income_starting_date), DATE(YEAR(Tracking[[#This Row],[Date]]),MONTH(Tracking[[#This Row],[Date]])+1,1),Tracking[[#This Row],[Date]])</f>
        <v>45975</v>
      </c>
      <c r="J392" s="11">
        <f>MONTH(Tracking[[#This Row],[Date]])</f>
        <v>11</v>
      </c>
      <c r="K392" s="11">
        <f>YEAR(Tracking[[#This Row],[Date]])</f>
        <v>2025</v>
      </c>
    </row>
    <row r="393" spans="3:11" x14ac:dyDescent="0.2">
      <c r="C393" s="34">
        <f>SOURCE!A383</f>
        <v>45976</v>
      </c>
      <c r="D393" s="11" t="str">
        <f>SOURCE!B383</f>
        <v>Expenses</v>
      </c>
      <c r="E393" s="11" t="str">
        <f>SOURCE!C383</f>
        <v>Train</v>
      </c>
      <c r="F393" s="35">
        <f>SOURCE!E383</f>
        <v>4.7</v>
      </c>
      <c r="G393" s="36"/>
      <c r="H393" s="38" cm="1">
        <f t="array" ref="H393">SUMPRODUCT(Tracking[Amount],--(Tracking[Date]&lt;=Tracking[[#This Row],[Date]]),(Tracking[Type]&lt;&gt;"Income")*(-1)+(Tracking[Type]="Income"))</f>
        <v>7545.1700000000073</v>
      </c>
      <c r="I393" s="42">
        <f>IF(AND(Tracking[[#This Row],[Type]]="Income", shift_late_income_status="Active", DAY(Tracking[[#This Row],[Date]])&gt;=shift_late_income_starting_date), DATE(YEAR(Tracking[[#This Row],[Date]]),MONTH(Tracking[[#This Row],[Date]])+1,1),Tracking[[#This Row],[Date]])</f>
        <v>45976</v>
      </c>
      <c r="J393" s="11">
        <f>MONTH(Tracking[[#This Row],[Date]])</f>
        <v>11</v>
      </c>
      <c r="K393" s="11">
        <f>YEAR(Tracking[[#This Row],[Date]])</f>
        <v>2025</v>
      </c>
    </row>
    <row r="394" spans="3:11" x14ac:dyDescent="0.2">
      <c r="C394" s="34">
        <f>SOURCE!A384</f>
        <v>45976</v>
      </c>
      <c r="D394" s="11" t="str">
        <f>SOURCE!B384</f>
        <v>Income</v>
      </c>
      <c r="E394" s="11" t="str">
        <f>SOURCE!C384</f>
        <v>Extras / Twint Chargeback</v>
      </c>
      <c r="F394" s="35">
        <f>SOURCE!E384</f>
        <v>20</v>
      </c>
      <c r="G394" s="36"/>
      <c r="H394" s="38" cm="1">
        <f t="array" ref="H394">SUMPRODUCT(Tracking[Amount],--(Tracking[Date]&lt;=Tracking[[#This Row],[Date]]),(Tracking[Type]&lt;&gt;"Income")*(-1)+(Tracking[Type]="Income"))</f>
        <v>7545.1700000000073</v>
      </c>
      <c r="I394" s="42">
        <f>IF(AND(Tracking[[#This Row],[Type]]="Income", shift_late_income_status="Active", DAY(Tracking[[#This Row],[Date]])&gt;=shift_late_income_starting_date), DATE(YEAR(Tracking[[#This Row],[Date]]),MONTH(Tracking[[#This Row],[Date]])+1,1),Tracking[[#This Row],[Date]])</f>
        <v>45976</v>
      </c>
      <c r="J394" s="11">
        <f>MONTH(Tracking[[#This Row],[Date]])</f>
        <v>11</v>
      </c>
      <c r="K394" s="11">
        <f>YEAR(Tracking[[#This Row],[Date]])</f>
        <v>2025</v>
      </c>
    </row>
    <row r="395" spans="3:11" x14ac:dyDescent="0.2">
      <c r="C395" s="34">
        <f>SOURCE!A385</f>
        <v>45976</v>
      </c>
      <c r="D395" s="11" t="str">
        <f>SOURCE!B385</f>
        <v>Expenses</v>
      </c>
      <c r="E395" s="11" t="str">
        <f>SOURCE!C385</f>
        <v>Restaurants</v>
      </c>
      <c r="F395" s="35">
        <f>SOURCE!E385</f>
        <v>38</v>
      </c>
      <c r="G395" s="36"/>
      <c r="H395" s="38" cm="1">
        <f t="array" ref="H395">SUMPRODUCT(Tracking[Amount],--(Tracking[Date]&lt;=Tracking[[#This Row],[Date]]),(Tracking[Type]&lt;&gt;"Income")*(-1)+(Tracking[Type]="Income"))</f>
        <v>7545.1700000000073</v>
      </c>
      <c r="I395" s="42">
        <f>IF(AND(Tracking[[#This Row],[Type]]="Income", shift_late_income_status="Active", DAY(Tracking[[#This Row],[Date]])&gt;=shift_late_income_starting_date), DATE(YEAR(Tracking[[#This Row],[Date]]),MONTH(Tracking[[#This Row],[Date]])+1,1),Tracking[[#This Row],[Date]])</f>
        <v>45976</v>
      </c>
      <c r="J395" s="11">
        <f>MONTH(Tracking[[#This Row],[Date]])</f>
        <v>11</v>
      </c>
      <c r="K395" s="11">
        <f>YEAR(Tracking[[#This Row],[Date]])</f>
        <v>2025</v>
      </c>
    </row>
    <row r="396" spans="3:11" x14ac:dyDescent="0.2">
      <c r="C396" s="34">
        <f>SOURCE!A386</f>
        <v>45976</v>
      </c>
      <c r="D396" s="11" t="str">
        <f>SOURCE!B386</f>
        <v>Expenses</v>
      </c>
      <c r="E396" s="11" t="str">
        <f>SOURCE!C386</f>
        <v>Restaurants</v>
      </c>
      <c r="F396" s="35">
        <f>SOURCE!E386</f>
        <v>14</v>
      </c>
      <c r="G396" s="36"/>
      <c r="H396" s="38" cm="1">
        <f t="array" ref="H396">SUMPRODUCT(Tracking[Amount],--(Tracking[Date]&lt;=Tracking[[#This Row],[Date]]),(Tracking[Type]&lt;&gt;"Income")*(-1)+(Tracking[Type]="Income"))</f>
        <v>7545.1700000000073</v>
      </c>
      <c r="I396" s="42">
        <f>IF(AND(Tracking[[#This Row],[Type]]="Income", shift_late_income_status="Active", DAY(Tracking[[#This Row],[Date]])&gt;=shift_late_income_starting_date), DATE(YEAR(Tracking[[#This Row],[Date]]),MONTH(Tracking[[#This Row],[Date]])+1,1),Tracking[[#This Row],[Date]])</f>
        <v>45976</v>
      </c>
      <c r="J396" s="11">
        <f>MONTH(Tracking[[#This Row],[Date]])</f>
        <v>11</v>
      </c>
      <c r="K396" s="11">
        <f>YEAR(Tracking[[#This Row],[Date]])</f>
        <v>2025</v>
      </c>
    </row>
    <row r="397" spans="3:11" x14ac:dyDescent="0.2">
      <c r="C397" s="34">
        <f>SOURCE!A387</f>
        <v>45976</v>
      </c>
      <c r="D397" s="11" t="str">
        <f>SOURCE!B387</f>
        <v>Expenses</v>
      </c>
      <c r="E397" s="11" t="str">
        <f>SOURCE!C387</f>
        <v>Restaurants</v>
      </c>
      <c r="F397" s="35">
        <f>SOURCE!E387</f>
        <v>10</v>
      </c>
      <c r="G397" s="36"/>
      <c r="H397" s="38" cm="1">
        <f t="array" ref="H397">SUMPRODUCT(Tracking[Amount],--(Tracking[Date]&lt;=Tracking[[#This Row],[Date]]),(Tracking[Type]&lt;&gt;"Income")*(-1)+(Tracking[Type]="Income"))</f>
        <v>7545.1700000000073</v>
      </c>
      <c r="I397" s="42">
        <f>IF(AND(Tracking[[#This Row],[Type]]="Income", shift_late_income_status="Active", DAY(Tracking[[#This Row],[Date]])&gt;=shift_late_income_starting_date), DATE(YEAR(Tracking[[#This Row],[Date]]),MONTH(Tracking[[#This Row],[Date]])+1,1),Tracking[[#This Row],[Date]])</f>
        <v>45976</v>
      </c>
      <c r="J397" s="11">
        <f>MONTH(Tracking[[#This Row],[Date]])</f>
        <v>11</v>
      </c>
      <c r="K397" s="11">
        <f>YEAR(Tracking[[#This Row],[Date]])</f>
        <v>2025</v>
      </c>
    </row>
    <row r="398" spans="3:11" x14ac:dyDescent="0.2">
      <c r="C398" s="34">
        <f>SOURCE!A388</f>
        <v>45976</v>
      </c>
      <c r="D398" s="11" t="str">
        <f>SOURCE!B388</f>
        <v>Expenses</v>
      </c>
      <c r="E398" s="11" t="str">
        <f>SOURCE!C388</f>
        <v>Restaurants</v>
      </c>
      <c r="F398" s="35">
        <f>SOURCE!E388</f>
        <v>8.5</v>
      </c>
      <c r="G398" s="36"/>
      <c r="H398" s="38" cm="1">
        <f t="array" ref="H398">SUMPRODUCT(Tracking[Amount],--(Tracking[Date]&lt;=Tracking[[#This Row],[Date]]),(Tracking[Type]&lt;&gt;"Income")*(-1)+(Tracking[Type]="Income"))</f>
        <v>7545.1700000000073</v>
      </c>
      <c r="I398" s="42">
        <f>IF(AND(Tracking[[#This Row],[Type]]="Income", shift_late_income_status="Active", DAY(Tracking[[#This Row],[Date]])&gt;=shift_late_income_starting_date), DATE(YEAR(Tracking[[#This Row],[Date]]),MONTH(Tracking[[#This Row],[Date]])+1,1),Tracking[[#This Row],[Date]])</f>
        <v>45976</v>
      </c>
      <c r="J398" s="11">
        <f>MONTH(Tracking[[#This Row],[Date]])</f>
        <v>11</v>
      </c>
      <c r="K398" s="11">
        <f>YEAR(Tracking[[#This Row],[Date]])</f>
        <v>2025</v>
      </c>
    </row>
    <row r="399" spans="3:11" x14ac:dyDescent="0.2">
      <c r="C399" s="34">
        <f>SOURCE!A389</f>
        <v>45977</v>
      </c>
      <c r="D399" s="11" t="str">
        <f>SOURCE!B389</f>
        <v>Expenses</v>
      </c>
      <c r="E399" s="11" t="str">
        <f>SOURCE!C389</f>
        <v>Train</v>
      </c>
      <c r="F399" s="35">
        <f>SOURCE!E389</f>
        <v>4.7</v>
      </c>
      <c r="G399" s="36"/>
      <c r="H399" s="38" cm="1">
        <f t="array" ref="H399">SUMPRODUCT(Tracking[Amount],--(Tracking[Date]&lt;=Tracking[[#This Row],[Date]]),(Tracking[Type]&lt;&gt;"Income")*(-1)+(Tracking[Type]="Income"))</f>
        <v>7540.4700000000075</v>
      </c>
      <c r="I399" s="42">
        <f>IF(AND(Tracking[[#This Row],[Type]]="Income", shift_late_income_status="Active", DAY(Tracking[[#This Row],[Date]])&gt;=shift_late_income_starting_date), DATE(YEAR(Tracking[[#This Row],[Date]]),MONTH(Tracking[[#This Row],[Date]])+1,1),Tracking[[#This Row],[Date]])</f>
        <v>45977</v>
      </c>
      <c r="J399" s="11">
        <f>MONTH(Tracking[[#This Row],[Date]])</f>
        <v>11</v>
      </c>
      <c r="K399" s="11">
        <f>YEAR(Tracking[[#This Row],[Date]])</f>
        <v>2025</v>
      </c>
    </row>
    <row r="400" spans="3:11" x14ac:dyDescent="0.2">
      <c r="C400" s="34">
        <f>SOURCE!A390</f>
        <v>45978</v>
      </c>
      <c r="D400" s="11" t="str">
        <f>SOURCE!B390</f>
        <v>Expenses</v>
      </c>
      <c r="E400" s="11" t="str">
        <f>SOURCE!C390</f>
        <v>Groceries</v>
      </c>
      <c r="F400" s="35">
        <f>SOURCE!E390</f>
        <v>8.9</v>
      </c>
      <c r="G400" s="36"/>
      <c r="H400" s="38" cm="1">
        <f t="array" ref="H400">SUMPRODUCT(Tracking[Amount],--(Tracking[Date]&lt;=Tracking[[#This Row],[Date]]),(Tracking[Type]&lt;&gt;"Income")*(-1)+(Tracking[Type]="Income"))</f>
        <v>7531.5700000000079</v>
      </c>
      <c r="I400" s="42">
        <f>IF(AND(Tracking[[#This Row],[Type]]="Income", shift_late_income_status="Active", DAY(Tracking[[#This Row],[Date]])&gt;=shift_late_income_starting_date), DATE(YEAR(Tracking[[#This Row],[Date]]),MONTH(Tracking[[#This Row],[Date]])+1,1),Tracking[[#This Row],[Date]])</f>
        <v>45978</v>
      </c>
      <c r="J400" s="11">
        <f>MONTH(Tracking[[#This Row],[Date]])</f>
        <v>11</v>
      </c>
      <c r="K400" s="11">
        <f>YEAR(Tracking[[#This Row],[Date]])</f>
        <v>2025</v>
      </c>
    </row>
    <row r="401" spans="3:11" x14ac:dyDescent="0.2">
      <c r="C401" s="34">
        <f>SOURCE!A391</f>
        <v>45979</v>
      </c>
      <c r="D401" s="11" t="str">
        <f>SOURCE!B391</f>
        <v>Expenses</v>
      </c>
      <c r="E401" s="11" t="str">
        <f>SOURCE!C391</f>
        <v>Train</v>
      </c>
      <c r="F401" s="35">
        <f>SOURCE!E391</f>
        <v>11</v>
      </c>
      <c r="G401" s="36"/>
      <c r="H401" s="38" cm="1">
        <f t="array" ref="H401">SUMPRODUCT(Tracking[Amount],--(Tracking[Date]&lt;=Tracking[[#This Row],[Date]]),(Tracking[Type]&lt;&gt;"Income")*(-1)+(Tracking[Type]="Income"))</f>
        <v>7443.3700000000081</v>
      </c>
      <c r="I401" s="42">
        <f>IF(AND(Tracking[[#This Row],[Type]]="Income", shift_late_income_status="Active", DAY(Tracking[[#This Row],[Date]])&gt;=shift_late_income_starting_date), DATE(YEAR(Tracking[[#This Row],[Date]]),MONTH(Tracking[[#This Row],[Date]])+1,1),Tracking[[#This Row],[Date]])</f>
        <v>45979</v>
      </c>
      <c r="J401" s="11">
        <f>MONTH(Tracking[[#This Row],[Date]])</f>
        <v>11</v>
      </c>
      <c r="K401" s="11">
        <f>YEAR(Tracking[[#This Row],[Date]])</f>
        <v>2025</v>
      </c>
    </row>
    <row r="402" spans="3:11" x14ac:dyDescent="0.2">
      <c r="C402" s="34">
        <f>SOURCE!A392</f>
        <v>45979</v>
      </c>
      <c r="D402" s="11" t="str">
        <f>SOURCE!B392</f>
        <v>Expenses</v>
      </c>
      <c r="E402" s="11" t="str">
        <f>SOURCE!C392</f>
        <v>Train</v>
      </c>
      <c r="F402" s="35">
        <f>SOURCE!E392</f>
        <v>8.6999999999999993</v>
      </c>
      <c r="G402" s="36"/>
      <c r="H402" s="38" cm="1">
        <f t="array" ref="H402">SUMPRODUCT(Tracking[Amount],--(Tracking[Date]&lt;=Tracking[[#This Row],[Date]]),(Tracking[Type]&lt;&gt;"Income")*(-1)+(Tracking[Type]="Income"))</f>
        <v>7443.3700000000081</v>
      </c>
      <c r="I402" s="42">
        <f>IF(AND(Tracking[[#This Row],[Type]]="Income", shift_late_income_status="Active", DAY(Tracking[[#This Row],[Date]])&gt;=shift_late_income_starting_date), DATE(YEAR(Tracking[[#This Row],[Date]]),MONTH(Tracking[[#This Row],[Date]])+1,1),Tracking[[#This Row],[Date]])</f>
        <v>45979</v>
      </c>
      <c r="J402" s="11">
        <f>MONTH(Tracking[[#This Row],[Date]])</f>
        <v>11</v>
      </c>
      <c r="K402" s="11">
        <f>YEAR(Tracking[[#This Row],[Date]])</f>
        <v>2025</v>
      </c>
    </row>
    <row r="403" spans="3:11" x14ac:dyDescent="0.2">
      <c r="C403" s="34">
        <f>SOURCE!A393</f>
        <v>45979</v>
      </c>
      <c r="D403" s="11" t="str">
        <f>SOURCE!B393</f>
        <v>Expenses</v>
      </c>
      <c r="E403" s="11" t="str">
        <f>SOURCE!C393</f>
        <v>Train</v>
      </c>
      <c r="F403" s="35">
        <f>SOURCE!E393</f>
        <v>4.7</v>
      </c>
      <c r="G403" s="36"/>
      <c r="H403" s="38" cm="1">
        <f t="array" ref="H403">SUMPRODUCT(Tracking[Amount],--(Tracking[Date]&lt;=Tracking[[#This Row],[Date]]),(Tracking[Type]&lt;&gt;"Income")*(-1)+(Tracking[Type]="Income"))</f>
        <v>7443.3700000000081</v>
      </c>
      <c r="I403" s="42">
        <f>IF(AND(Tracking[[#This Row],[Type]]="Income", shift_late_income_status="Active", DAY(Tracking[[#This Row],[Date]])&gt;=shift_late_income_starting_date), DATE(YEAR(Tracking[[#This Row],[Date]]),MONTH(Tracking[[#This Row],[Date]])+1,1),Tracking[[#This Row],[Date]])</f>
        <v>45979</v>
      </c>
      <c r="J403" s="11">
        <f>MONTH(Tracking[[#This Row],[Date]])</f>
        <v>11</v>
      </c>
      <c r="K403" s="11">
        <f>YEAR(Tracking[[#This Row],[Date]])</f>
        <v>2025</v>
      </c>
    </row>
    <row r="404" spans="3:11" x14ac:dyDescent="0.2">
      <c r="C404" s="34">
        <f>SOURCE!A394</f>
        <v>45979</v>
      </c>
      <c r="D404" s="11" t="str">
        <f>SOURCE!B394</f>
        <v>Expenses</v>
      </c>
      <c r="E404" s="11" t="str">
        <f>SOURCE!C394</f>
        <v>Wellbeing</v>
      </c>
      <c r="F404" s="35">
        <f>SOURCE!E394</f>
        <v>40</v>
      </c>
      <c r="G404" s="36"/>
      <c r="H404" s="38" cm="1">
        <f t="array" ref="H404">SUMPRODUCT(Tracking[Amount],--(Tracking[Date]&lt;=Tracking[[#This Row],[Date]]),(Tracking[Type]&lt;&gt;"Income")*(-1)+(Tracking[Type]="Income"))</f>
        <v>7443.3700000000081</v>
      </c>
      <c r="I404" s="42">
        <f>IF(AND(Tracking[[#This Row],[Type]]="Income", shift_late_income_status="Active", DAY(Tracking[[#This Row],[Date]])&gt;=shift_late_income_starting_date), DATE(YEAR(Tracking[[#This Row],[Date]]),MONTH(Tracking[[#This Row],[Date]])+1,1),Tracking[[#This Row],[Date]])</f>
        <v>45979</v>
      </c>
      <c r="J404" s="11">
        <f>MONTH(Tracking[[#This Row],[Date]])</f>
        <v>11</v>
      </c>
      <c r="K404" s="11">
        <f>YEAR(Tracking[[#This Row],[Date]])</f>
        <v>2025</v>
      </c>
    </row>
    <row r="405" spans="3:11" x14ac:dyDescent="0.2">
      <c r="C405" s="34">
        <f>SOURCE!A395</f>
        <v>45979</v>
      </c>
      <c r="D405" s="11" t="str">
        <f>SOURCE!B395</f>
        <v>Expenses</v>
      </c>
      <c r="E405" s="11" t="str">
        <f>SOURCE!C395</f>
        <v>Restaurants</v>
      </c>
      <c r="F405" s="35">
        <f>SOURCE!E395</f>
        <v>6.3</v>
      </c>
      <c r="G405" s="36"/>
      <c r="H405" s="38" cm="1">
        <f t="array" ref="H405">SUMPRODUCT(Tracking[Amount],--(Tracking[Date]&lt;=Tracking[[#This Row],[Date]]),(Tracking[Type]&lt;&gt;"Income")*(-1)+(Tracking[Type]="Income"))</f>
        <v>7443.3700000000081</v>
      </c>
      <c r="I405" s="42">
        <f>IF(AND(Tracking[[#This Row],[Type]]="Income", shift_late_income_status="Active", DAY(Tracking[[#This Row],[Date]])&gt;=shift_late_income_starting_date), DATE(YEAR(Tracking[[#This Row],[Date]]),MONTH(Tracking[[#This Row],[Date]])+1,1),Tracking[[#This Row],[Date]])</f>
        <v>45979</v>
      </c>
      <c r="J405" s="11">
        <f>MONTH(Tracking[[#This Row],[Date]])</f>
        <v>11</v>
      </c>
      <c r="K405" s="11">
        <f>YEAR(Tracking[[#This Row],[Date]])</f>
        <v>2025</v>
      </c>
    </row>
    <row r="406" spans="3:11" x14ac:dyDescent="0.2">
      <c r="C406" s="34">
        <f>SOURCE!A396</f>
        <v>45979</v>
      </c>
      <c r="D406" s="11" t="str">
        <f>SOURCE!B396</f>
        <v>Expenses</v>
      </c>
      <c r="E406" s="11" t="str">
        <f>SOURCE!C396</f>
        <v>Restaurants</v>
      </c>
      <c r="F406" s="35">
        <f>SOURCE!E396</f>
        <v>16</v>
      </c>
      <c r="G406" s="36"/>
      <c r="H406" s="38" cm="1">
        <f t="array" ref="H406">SUMPRODUCT(Tracking[Amount],--(Tracking[Date]&lt;=Tracking[[#This Row],[Date]]),(Tracking[Type]&lt;&gt;"Income")*(-1)+(Tracking[Type]="Income"))</f>
        <v>7443.3700000000081</v>
      </c>
      <c r="I406" s="42">
        <f>IF(AND(Tracking[[#This Row],[Type]]="Income", shift_late_income_status="Active", DAY(Tracking[[#This Row],[Date]])&gt;=shift_late_income_starting_date), DATE(YEAR(Tracking[[#This Row],[Date]]),MONTH(Tracking[[#This Row],[Date]])+1,1),Tracking[[#This Row],[Date]])</f>
        <v>45979</v>
      </c>
      <c r="J406" s="11">
        <f>MONTH(Tracking[[#This Row],[Date]])</f>
        <v>11</v>
      </c>
      <c r="K406" s="11">
        <f>YEAR(Tracking[[#This Row],[Date]])</f>
        <v>2025</v>
      </c>
    </row>
    <row r="407" spans="3:11" x14ac:dyDescent="0.2">
      <c r="C407" s="34">
        <f>SOURCE!A397</f>
        <v>45979</v>
      </c>
      <c r="D407" s="11" t="str">
        <f>SOURCE!B397</f>
        <v>Expenses</v>
      </c>
      <c r="E407" s="11" t="str">
        <f>SOURCE!C397</f>
        <v>Car</v>
      </c>
      <c r="F407" s="35">
        <f>SOURCE!E397</f>
        <v>1.5</v>
      </c>
      <c r="G407" s="36"/>
      <c r="H407" s="38" cm="1">
        <f t="array" ref="H407">SUMPRODUCT(Tracking[Amount],--(Tracking[Date]&lt;=Tracking[[#This Row],[Date]]),(Tracking[Type]&lt;&gt;"Income")*(-1)+(Tracking[Type]="Income"))</f>
        <v>7443.3700000000081</v>
      </c>
      <c r="I407" s="42">
        <f>IF(AND(Tracking[[#This Row],[Type]]="Income", shift_late_income_status="Active", DAY(Tracking[[#This Row],[Date]])&gt;=shift_late_income_starting_date), DATE(YEAR(Tracking[[#This Row],[Date]]),MONTH(Tracking[[#This Row],[Date]])+1,1),Tracking[[#This Row],[Date]])</f>
        <v>45979</v>
      </c>
      <c r="J407" s="11">
        <f>MONTH(Tracking[[#This Row],[Date]])</f>
        <v>11</v>
      </c>
      <c r="K407" s="11">
        <f>YEAR(Tracking[[#This Row],[Date]])</f>
        <v>2025</v>
      </c>
    </row>
    <row r="408" spans="3:11" x14ac:dyDescent="0.2">
      <c r="C408" s="34">
        <f>SOURCE!A398</f>
        <v>45980</v>
      </c>
      <c r="D408" s="11" t="str">
        <f>SOURCE!B398</f>
        <v>Expenses</v>
      </c>
      <c r="E408" s="11" t="str">
        <f>SOURCE!C398</f>
        <v>Travel</v>
      </c>
      <c r="F408" s="35">
        <f>SOURCE!E398</f>
        <v>500</v>
      </c>
      <c r="G408" s="36"/>
      <c r="H408" s="38" cm="1">
        <f t="array" ref="H408">SUMPRODUCT(Tracking[Amount],--(Tracking[Date]&lt;=Tracking[[#This Row],[Date]]),(Tracking[Type]&lt;&gt;"Income")*(-1)+(Tracking[Type]="Income"))</f>
        <v>6919.1200000000081</v>
      </c>
      <c r="I408" s="42">
        <f>IF(AND(Tracking[[#This Row],[Type]]="Income", shift_late_income_status="Active", DAY(Tracking[[#This Row],[Date]])&gt;=shift_late_income_starting_date), DATE(YEAR(Tracking[[#This Row],[Date]]),MONTH(Tracking[[#This Row],[Date]])+1,1),Tracking[[#This Row],[Date]])</f>
        <v>45980</v>
      </c>
      <c r="J408" s="11">
        <f>MONTH(Tracking[[#This Row],[Date]])</f>
        <v>11</v>
      </c>
      <c r="K408" s="11">
        <f>YEAR(Tracking[[#This Row],[Date]])</f>
        <v>2025</v>
      </c>
    </row>
    <row r="409" spans="3:11" x14ac:dyDescent="0.2">
      <c r="C409" s="34">
        <f>SOURCE!A399</f>
        <v>45980</v>
      </c>
      <c r="D409" s="11" t="str">
        <f>SOURCE!B399</f>
        <v>Expenses</v>
      </c>
      <c r="E409" s="11" t="str">
        <f>SOURCE!C399</f>
        <v>Groceries</v>
      </c>
      <c r="F409" s="35">
        <f>SOURCE!E399</f>
        <v>12.05</v>
      </c>
      <c r="G409" s="36"/>
      <c r="H409" s="38" cm="1">
        <f t="array" ref="H409">SUMPRODUCT(Tracking[Amount],--(Tracking[Date]&lt;=Tracking[[#This Row],[Date]]),(Tracking[Type]&lt;&gt;"Income")*(-1)+(Tracking[Type]="Income"))</f>
        <v>6919.1200000000081</v>
      </c>
      <c r="I409" s="42">
        <f>IF(AND(Tracking[[#This Row],[Type]]="Income", shift_late_income_status="Active", DAY(Tracking[[#This Row],[Date]])&gt;=shift_late_income_starting_date), DATE(YEAR(Tracking[[#This Row],[Date]]),MONTH(Tracking[[#This Row],[Date]])+1,1),Tracking[[#This Row],[Date]])</f>
        <v>45980</v>
      </c>
      <c r="J409" s="11">
        <f>MONTH(Tracking[[#This Row],[Date]])</f>
        <v>11</v>
      </c>
      <c r="K409" s="11">
        <f>YEAR(Tracking[[#This Row],[Date]])</f>
        <v>2025</v>
      </c>
    </row>
    <row r="410" spans="3:11" x14ac:dyDescent="0.2">
      <c r="C410" s="34">
        <f>SOURCE!A400</f>
        <v>45980</v>
      </c>
      <c r="D410" s="11" t="str">
        <f>SOURCE!B400</f>
        <v>Expenses</v>
      </c>
      <c r="E410" s="11" t="str">
        <f>SOURCE!C400</f>
        <v>Train</v>
      </c>
      <c r="F410" s="35">
        <f>SOURCE!E400</f>
        <v>2</v>
      </c>
      <c r="G410" s="36"/>
      <c r="H410" s="38" cm="1">
        <f t="array" ref="H410">SUMPRODUCT(Tracking[Amount],--(Tracking[Date]&lt;=Tracking[[#This Row],[Date]]),(Tracking[Type]&lt;&gt;"Income")*(-1)+(Tracking[Type]="Income"))</f>
        <v>6919.1200000000081</v>
      </c>
      <c r="I410" s="42">
        <f>IF(AND(Tracking[[#This Row],[Type]]="Income", shift_late_income_status="Active", DAY(Tracking[[#This Row],[Date]])&gt;=shift_late_income_starting_date), DATE(YEAR(Tracking[[#This Row],[Date]]),MONTH(Tracking[[#This Row],[Date]])+1,1),Tracking[[#This Row],[Date]])</f>
        <v>45980</v>
      </c>
      <c r="J410" s="11">
        <f>MONTH(Tracking[[#This Row],[Date]])</f>
        <v>11</v>
      </c>
      <c r="K410" s="11">
        <f>YEAR(Tracking[[#This Row],[Date]])</f>
        <v>2025</v>
      </c>
    </row>
    <row r="411" spans="3:11" x14ac:dyDescent="0.2">
      <c r="C411" s="34">
        <f>SOURCE!A401</f>
        <v>45980</v>
      </c>
      <c r="D411" s="11" t="str">
        <f>SOURCE!B401</f>
        <v>Expenses</v>
      </c>
      <c r="E411" s="11" t="str">
        <f>SOURCE!C401</f>
        <v>Groceries</v>
      </c>
      <c r="F411" s="35">
        <f>SOURCE!E401</f>
        <v>4.3</v>
      </c>
      <c r="G411" s="36"/>
      <c r="H411" s="38" cm="1">
        <f t="array" ref="H411">SUMPRODUCT(Tracking[Amount],--(Tracking[Date]&lt;=Tracking[[#This Row],[Date]]),(Tracking[Type]&lt;&gt;"Income")*(-1)+(Tracking[Type]="Income"))</f>
        <v>6919.1200000000081</v>
      </c>
      <c r="I411" s="42">
        <f>IF(AND(Tracking[[#This Row],[Type]]="Income", shift_late_income_status="Active", DAY(Tracking[[#This Row],[Date]])&gt;=shift_late_income_starting_date), DATE(YEAR(Tracking[[#This Row],[Date]]),MONTH(Tracking[[#This Row],[Date]])+1,1),Tracking[[#This Row],[Date]])</f>
        <v>45980</v>
      </c>
      <c r="J411" s="11">
        <f>MONTH(Tracking[[#This Row],[Date]])</f>
        <v>11</v>
      </c>
      <c r="K411" s="11">
        <f>YEAR(Tracking[[#This Row],[Date]])</f>
        <v>2025</v>
      </c>
    </row>
    <row r="412" spans="3:11" x14ac:dyDescent="0.2">
      <c r="C412" s="34">
        <f>SOURCE!A402</f>
        <v>45980</v>
      </c>
      <c r="D412" s="11" t="str">
        <f>SOURCE!B402</f>
        <v>Expenses</v>
      </c>
      <c r="E412" s="11" t="str">
        <f>SOURCE!C402</f>
        <v>Restaurants</v>
      </c>
      <c r="F412" s="35">
        <f>SOURCE!E402</f>
        <v>5.9</v>
      </c>
      <c r="G412" s="36"/>
      <c r="H412" s="38" cm="1">
        <f t="array" ref="H412">SUMPRODUCT(Tracking[Amount],--(Tracking[Date]&lt;=Tracking[[#This Row],[Date]]),(Tracking[Type]&lt;&gt;"Income")*(-1)+(Tracking[Type]="Income"))</f>
        <v>6919.1200000000081</v>
      </c>
      <c r="I412" s="42">
        <f>IF(AND(Tracking[[#This Row],[Type]]="Income", shift_late_income_status="Active", DAY(Tracking[[#This Row],[Date]])&gt;=shift_late_income_starting_date), DATE(YEAR(Tracking[[#This Row],[Date]]),MONTH(Tracking[[#This Row],[Date]])+1,1),Tracking[[#This Row],[Date]])</f>
        <v>45980</v>
      </c>
      <c r="J412" s="11">
        <f>MONTH(Tracking[[#This Row],[Date]])</f>
        <v>11</v>
      </c>
      <c r="K412" s="11">
        <f>YEAR(Tracking[[#This Row],[Date]])</f>
        <v>2025</v>
      </c>
    </row>
    <row r="413" spans="3:11" x14ac:dyDescent="0.2">
      <c r="C413" s="34">
        <f>SOURCE!A403</f>
        <v>45982</v>
      </c>
      <c r="D413" s="11" t="str">
        <f>SOURCE!B403</f>
        <v>Expenses</v>
      </c>
      <c r="E413" s="11" t="str">
        <f>SOURCE!C403</f>
        <v>Travel</v>
      </c>
      <c r="F413" s="35">
        <f>SOURCE!E403</f>
        <v>78</v>
      </c>
      <c r="G413" s="36"/>
      <c r="H413" s="38" cm="1">
        <f t="array" ref="H413">SUMPRODUCT(Tracking[Amount],--(Tracking[Date]&lt;=Tracking[[#This Row],[Date]]),(Tracking[Type]&lt;&gt;"Income")*(-1)+(Tracking[Type]="Income"))</f>
        <v>6841.1200000000081</v>
      </c>
      <c r="I413" s="42">
        <f>IF(AND(Tracking[[#This Row],[Type]]="Income", shift_late_income_status="Active", DAY(Tracking[[#This Row],[Date]])&gt;=shift_late_income_starting_date), DATE(YEAR(Tracking[[#This Row],[Date]]),MONTH(Tracking[[#This Row],[Date]])+1,1),Tracking[[#This Row],[Date]])</f>
        <v>45982</v>
      </c>
      <c r="J413" s="11">
        <f>MONTH(Tracking[[#This Row],[Date]])</f>
        <v>11</v>
      </c>
      <c r="K413" s="11">
        <f>YEAR(Tracking[[#This Row],[Date]])</f>
        <v>2025</v>
      </c>
    </row>
    <row r="414" spans="3:11" x14ac:dyDescent="0.2">
      <c r="C414" s="34">
        <f>SOURCE!A404</f>
        <v>45983</v>
      </c>
      <c r="D414" s="11" t="str">
        <f>SOURCE!B404</f>
        <v>Expenses</v>
      </c>
      <c r="E414" s="11" t="str">
        <f>SOURCE!C404</f>
        <v>Clothing</v>
      </c>
      <c r="F414" s="35">
        <f>SOURCE!E404</f>
        <v>280</v>
      </c>
      <c r="G414" s="36"/>
      <c r="H414" s="38" cm="1">
        <f t="array" ref="H414">SUMPRODUCT(Tracking[Amount],--(Tracking[Date]&lt;=Tracking[[#This Row],[Date]]),(Tracking[Type]&lt;&gt;"Income")*(-1)+(Tracking[Type]="Income"))</f>
        <v>6561.1200000000081</v>
      </c>
      <c r="I414" s="42">
        <f>IF(AND(Tracking[[#This Row],[Type]]="Income", shift_late_income_status="Active", DAY(Tracking[[#This Row],[Date]])&gt;=shift_late_income_starting_date), DATE(YEAR(Tracking[[#This Row],[Date]]),MONTH(Tracking[[#This Row],[Date]])+1,1),Tracking[[#This Row],[Date]])</f>
        <v>45983</v>
      </c>
      <c r="J414" s="11">
        <f>MONTH(Tracking[[#This Row],[Date]])</f>
        <v>11</v>
      </c>
      <c r="K414" s="11">
        <f>YEAR(Tracking[[#This Row],[Date]])</f>
        <v>2025</v>
      </c>
    </row>
    <row r="415" spans="3:11" x14ac:dyDescent="0.2">
      <c r="C415" s="34">
        <f>SOURCE!A405</f>
        <v>45984</v>
      </c>
      <c r="D415" s="11" t="str">
        <f>SOURCE!B405</f>
        <v>Expenses</v>
      </c>
      <c r="E415" s="11" t="str">
        <f>SOURCE!C405</f>
        <v>Travel</v>
      </c>
      <c r="F415" s="35">
        <f>SOURCE!E405</f>
        <v>15.93</v>
      </c>
      <c r="G415" s="36"/>
      <c r="H415" s="38" cm="1">
        <f t="array" ref="H415">SUMPRODUCT(Tracking[Amount],--(Tracking[Date]&lt;=Tracking[[#This Row],[Date]]),(Tracking[Type]&lt;&gt;"Income")*(-1)+(Tracking[Type]="Income"))</f>
        <v>6522.950000000008</v>
      </c>
      <c r="I415" s="42">
        <f>IF(AND(Tracking[[#This Row],[Type]]="Income", shift_late_income_status="Active", DAY(Tracking[[#This Row],[Date]])&gt;=shift_late_income_starting_date), DATE(YEAR(Tracking[[#This Row],[Date]]),MONTH(Tracking[[#This Row],[Date]])+1,1),Tracking[[#This Row],[Date]])</f>
        <v>45984</v>
      </c>
      <c r="J415" s="11">
        <f>MONTH(Tracking[[#This Row],[Date]])</f>
        <v>11</v>
      </c>
      <c r="K415" s="11">
        <f>YEAR(Tracking[[#This Row],[Date]])</f>
        <v>2025</v>
      </c>
    </row>
    <row r="416" spans="3:11" x14ac:dyDescent="0.2">
      <c r="C416" s="34">
        <f>SOURCE!A406</f>
        <v>45984</v>
      </c>
      <c r="D416" s="11" t="str">
        <f>SOURCE!B406</f>
        <v>Expenses</v>
      </c>
      <c r="E416" s="11" t="str">
        <f>SOURCE!C406</f>
        <v>Travel</v>
      </c>
      <c r="F416" s="35">
        <f>SOURCE!E406</f>
        <v>22.24</v>
      </c>
      <c r="G416" s="36"/>
      <c r="H416" s="38" cm="1">
        <f t="array" ref="H416">SUMPRODUCT(Tracking[Amount],--(Tracking[Date]&lt;=Tracking[[#This Row],[Date]]),(Tracking[Type]&lt;&gt;"Income")*(-1)+(Tracking[Type]="Income"))</f>
        <v>6522.950000000008</v>
      </c>
      <c r="I416" s="42">
        <f>IF(AND(Tracking[[#This Row],[Type]]="Income", shift_late_income_status="Active", DAY(Tracking[[#This Row],[Date]])&gt;=shift_late_income_starting_date), DATE(YEAR(Tracking[[#This Row],[Date]]),MONTH(Tracking[[#This Row],[Date]])+1,1),Tracking[[#This Row],[Date]])</f>
        <v>45984</v>
      </c>
      <c r="J416" s="11">
        <f>MONTH(Tracking[[#This Row],[Date]])</f>
        <v>11</v>
      </c>
      <c r="K416" s="11">
        <f>YEAR(Tracking[[#This Row],[Date]])</f>
        <v>2025</v>
      </c>
    </row>
    <row r="417" spans="3:11" x14ac:dyDescent="0.2">
      <c r="C417" s="34">
        <f>SOURCE!A407</f>
        <v>45985</v>
      </c>
      <c r="D417" s="11" t="str">
        <f>SOURCE!B407</f>
        <v>Expenses</v>
      </c>
      <c r="E417" s="11" t="str">
        <f>SOURCE!C407</f>
        <v>Extras</v>
      </c>
      <c r="F417" s="35">
        <f>SOURCE!E407</f>
        <v>122</v>
      </c>
      <c r="G417" s="36"/>
      <c r="H417" s="38" cm="1">
        <f t="array" ref="H417">SUMPRODUCT(Tracking[Amount],--(Tracking[Date]&lt;=Tracking[[#This Row],[Date]]),(Tracking[Type]&lt;&gt;"Income")*(-1)+(Tracking[Type]="Income"))</f>
        <v>6391.5500000000084</v>
      </c>
      <c r="I417" s="42">
        <f>IF(AND(Tracking[[#This Row],[Type]]="Income", shift_late_income_status="Active", DAY(Tracking[[#This Row],[Date]])&gt;=shift_late_income_starting_date), DATE(YEAR(Tracking[[#This Row],[Date]]),MONTH(Tracking[[#This Row],[Date]])+1,1),Tracking[[#This Row],[Date]])</f>
        <v>45985</v>
      </c>
      <c r="J417" s="11">
        <f>MONTH(Tracking[[#This Row],[Date]])</f>
        <v>11</v>
      </c>
      <c r="K417" s="11">
        <f>YEAR(Tracking[[#This Row],[Date]])</f>
        <v>2025</v>
      </c>
    </row>
    <row r="418" spans="3:11" x14ac:dyDescent="0.2">
      <c r="C418" s="34">
        <f>SOURCE!A408</f>
        <v>45985</v>
      </c>
      <c r="D418" s="11" t="str">
        <f>SOURCE!B408</f>
        <v>Expenses</v>
      </c>
      <c r="E418" s="11" t="str">
        <f>SOURCE!C408</f>
        <v>Train</v>
      </c>
      <c r="F418" s="35">
        <f>SOURCE!E408</f>
        <v>4.7</v>
      </c>
      <c r="G418" s="36"/>
      <c r="H418" s="38" cm="1">
        <f t="array" ref="H418">SUMPRODUCT(Tracking[Amount],--(Tracking[Date]&lt;=Tracking[[#This Row],[Date]]),(Tracking[Type]&lt;&gt;"Income")*(-1)+(Tracking[Type]="Income"))</f>
        <v>6391.5500000000084</v>
      </c>
      <c r="I418" s="42">
        <f>IF(AND(Tracking[[#This Row],[Type]]="Income", shift_late_income_status="Active", DAY(Tracking[[#This Row],[Date]])&gt;=shift_late_income_starting_date), DATE(YEAR(Tracking[[#This Row],[Date]]),MONTH(Tracking[[#This Row],[Date]])+1,1),Tracking[[#This Row],[Date]])</f>
        <v>45985</v>
      </c>
      <c r="J418" s="11">
        <f>MONTH(Tracking[[#This Row],[Date]])</f>
        <v>11</v>
      </c>
      <c r="K418" s="11">
        <f>YEAR(Tracking[[#This Row],[Date]])</f>
        <v>2025</v>
      </c>
    </row>
    <row r="419" spans="3:11" x14ac:dyDescent="0.2">
      <c r="C419" s="34">
        <f>SOURCE!A409</f>
        <v>45985</v>
      </c>
      <c r="D419" s="11" t="str">
        <f>SOURCE!B409</f>
        <v>Expenses</v>
      </c>
      <c r="E419" s="11" t="str">
        <f>SOURCE!C409</f>
        <v>Train</v>
      </c>
      <c r="F419" s="35">
        <f>SOURCE!E409</f>
        <v>4.7</v>
      </c>
      <c r="G419" s="36"/>
      <c r="H419" s="38" cm="1">
        <f t="array" ref="H419">SUMPRODUCT(Tracking[Amount],--(Tracking[Date]&lt;=Tracking[[#This Row],[Date]]),(Tracking[Type]&lt;&gt;"Income")*(-1)+(Tracking[Type]="Income"))</f>
        <v>6391.5500000000084</v>
      </c>
      <c r="I419" s="42">
        <f>IF(AND(Tracking[[#This Row],[Type]]="Income", shift_late_income_status="Active", DAY(Tracking[[#This Row],[Date]])&gt;=shift_late_income_starting_date), DATE(YEAR(Tracking[[#This Row],[Date]]),MONTH(Tracking[[#This Row],[Date]])+1,1),Tracking[[#This Row],[Date]])</f>
        <v>45985</v>
      </c>
      <c r="J419" s="11">
        <f>MONTH(Tracking[[#This Row],[Date]])</f>
        <v>11</v>
      </c>
      <c r="K419" s="11">
        <f>YEAR(Tracking[[#This Row],[Date]])</f>
        <v>2025</v>
      </c>
    </row>
    <row r="420" spans="3:11" x14ac:dyDescent="0.2">
      <c r="C420" s="34">
        <f>SOURCE!A410</f>
        <v>45986</v>
      </c>
      <c r="D420" s="11" t="str">
        <f>SOURCE!B410</f>
        <v>Income</v>
      </c>
      <c r="E420" s="11" t="str">
        <f>SOURCE!C410</f>
        <v>Grant Payment</v>
      </c>
      <c r="F420" s="35">
        <f>SOURCE!E410</f>
        <v>4000</v>
      </c>
      <c r="G420" s="36" t="s">
        <v>203</v>
      </c>
      <c r="H420" s="38" cm="1">
        <f t="array" ref="H420">SUMPRODUCT(Tracking[Amount],--(Tracking[Date]&lt;=Tracking[[#This Row],[Date]]),(Tracking[Type]&lt;&gt;"Income")*(-1)+(Tracking[Type]="Income"))</f>
        <v>16590.500000000007</v>
      </c>
      <c r="I420" s="42">
        <f>IF(AND(Tracking[[#This Row],[Type]]="Income", shift_late_income_status="Active", DAY(Tracking[[#This Row],[Date]])&gt;=shift_late_income_starting_date), DATE(YEAR(Tracking[[#This Row],[Date]]),MONTH(Tracking[[#This Row],[Date]])+1,1),Tracking[[#This Row],[Date]])</f>
        <v>45986</v>
      </c>
      <c r="J420" s="11">
        <f>MONTH(Tracking[[#This Row],[Date]])</f>
        <v>11</v>
      </c>
      <c r="K420" s="11">
        <f>YEAR(Tracking[[#This Row],[Date]])</f>
        <v>2025</v>
      </c>
    </row>
    <row r="421" spans="3:11" x14ac:dyDescent="0.2">
      <c r="C421" s="34">
        <f>SOURCE!A411</f>
        <v>45986</v>
      </c>
      <c r="D421" s="11" t="str">
        <f>SOURCE!B411</f>
        <v>Expenses</v>
      </c>
      <c r="E421" s="11" t="str">
        <f>SOURCE!C411</f>
        <v>Train</v>
      </c>
      <c r="F421" s="35">
        <f>SOURCE!E411</f>
        <v>4.7</v>
      </c>
      <c r="G421" s="36"/>
      <c r="H421" s="38" cm="1">
        <f t="array" ref="H421">SUMPRODUCT(Tracking[Amount],--(Tracking[Date]&lt;=Tracking[[#This Row],[Date]]),(Tracking[Type]&lt;&gt;"Income")*(-1)+(Tracking[Type]="Income"))</f>
        <v>16590.500000000007</v>
      </c>
      <c r="I421" s="42">
        <f>IF(AND(Tracking[[#This Row],[Type]]="Income", shift_late_income_status="Active", DAY(Tracking[[#This Row],[Date]])&gt;=shift_late_income_starting_date), DATE(YEAR(Tracking[[#This Row],[Date]]),MONTH(Tracking[[#This Row],[Date]])+1,1),Tracking[[#This Row],[Date]])</f>
        <v>45986</v>
      </c>
      <c r="J421" s="11">
        <f>MONTH(Tracking[[#This Row],[Date]])</f>
        <v>11</v>
      </c>
      <c r="K421" s="11">
        <f>YEAR(Tracking[[#This Row],[Date]])</f>
        <v>2025</v>
      </c>
    </row>
    <row r="422" spans="3:11" x14ac:dyDescent="0.2">
      <c r="C422" s="34">
        <f>SOURCE!A412</f>
        <v>45986</v>
      </c>
      <c r="D422" s="11" t="str">
        <f>SOURCE!B412</f>
        <v>Income</v>
      </c>
      <c r="E422" s="11" t="str">
        <f>SOURCE!C412</f>
        <v>Employment</v>
      </c>
      <c r="F422" s="35">
        <f>SOURCE!E412</f>
        <v>8204.85</v>
      </c>
      <c r="G422" s="36"/>
      <c r="H422" s="38" cm="1">
        <f t="array" ref="H422">SUMPRODUCT(Tracking[Amount],--(Tracking[Date]&lt;=Tracking[[#This Row],[Date]]),(Tracking[Type]&lt;&gt;"Income")*(-1)+(Tracking[Type]="Income"))</f>
        <v>16590.500000000007</v>
      </c>
      <c r="I422" s="42">
        <f>IF(AND(Tracking[[#This Row],[Type]]="Income", shift_late_income_status="Active", DAY(Tracking[[#This Row],[Date]])&gt;=shift_late_income_starting_date), DATE(YEAR(Tracking[[#This Row],[Date]]),MONTH(Tracking[[#This Row],[Date]])+1,1),Tracking[[#This Row],[Date]])</f>
        <v>45986</v>
      </c>
      <c r="J422" s="11">
        <f>MONTH(Tracking[[#This Row],[Date]])</f>
        <v>11</v>
      </c>
      <c r="K422" s="11">
        <f>YEAR(Tracking[[#This Row],[Date]])</f>
        <v>2025</v>
      </c>
    </row>
    <row r="423" spans="3:11" x14ac:dyDescent="0.2">
      <c r="C423" s="34">
        <f>SOURCE!A413</f>
        <v>45986</v>
      </c>
      <c r="D423" s="11" t="str">
        <f>SOURCE!B413</f>
        <v>Expenses</v>
      </c>
      <c r="E423" s="11" t="str">
        <f>SOURCE!C413</f>
        <v>Train</v>
      </c>
      <c r="F423" s="35">
        <f>SOURCE!E413</f>
        <v>4.7</v>
      </c>
      <c r="G423" s="36"/>
      <c r="H423" s="38" cm="1">
        <f t="array" ref="H423">SUMPRODUCT(Tracking[Amount],--(Tracking[Date]&lt;=Tracking[[#This Row],[Date]]),(Tracking[Type]&lt;&gt;"Income")*(-1)+(Tracking[Type]="Income"))</f>
        <v>16590.500000000007</v>
      </c>
      <c r="I423" s="42">
        <f>IF(AND(Tracking[[#This Row],[Type]]="Income", shift_late_income_status="Active", DAY(Tracking[[#This Row],[Date]])&gt;=shift_late_income_starting_date), DATE(YEAR(Tracking[[#This Row],[Date]]),MONTH(Tracking[[#This Row],[Date]])+1,1),Tracking[[#This Row],[Date]])</f>
        <v>45986</v>
      </c>
      <c r="J423" s="11">
        <f>MONTH(Tracking[[#This Row],[Date]])</f>
        <v>11</v>
      </c>
      <c r="K423" s="11">
        <f>YEAR(Tracking[[#This Row],[Date]])</f>
        <v>2025</v>
      </c>
    </row>
    <row r="424" spans="3:11" x14ac:dyDescent="0.2">
      <c r="C424" s="34">
        <f>SOURCE!A414</f>
        <v>45986</v>
      </c>
      <c r="D424" s="11" t="str">
        <f>SOURCE!B414</f>
        <v>Expenses</v>
      </c>
      <c r="E424" s="11" t="str">
        <f>SOURCE!C414</f>
        <v>Housing</v>
      </c>
      <c r="F424" s="35">
        <f>SOURCE!E414</f>
        <v>1912</v>
      </c>
      <c r="G424" s="36"/>
      <c r="H424" s="38" cm="1">
        <f t="array" ref="H424">SUMPRODUCT(Tracking[Amount],--(Tracking[Date]&lt;=Tracking[[#This Row],[Date]]),(Tracking[Type]&lt;&gt;"Income")*(-1)+(Tracking[Type]="Income"))</f>
        <v>16590.500000000007</v>
      </c>
      <c r="I424" s="42">
        <f>IF(AND(Tracking[[#This Row],[Type]]="Income", shift_late_income_status="Active", DAY(Tracking[[#This Row],[Date]])&gt;=shift_late_income_starting_date), DATE(YEAR(Tracking[[#This Row],[Date]]),MONTH(Tracking[[#This Row],[Date]])+1,1),Tracking[[#This Row],[Date]])</f>
        <v>45986</v>
      </c>
      <c r="J424" s="11">
        <f>MONTH(Tracking[[#This Row],[Date]])</f>
        <v>11</v>
      </c>
      <c r="K424" s="11">
        <f>YEAR(Tracking[[#This Row],[Date]])</f>
        <v>2025</v>
      </c>
    </row>
    <row r="425" spans="3:11" x14ac:dyDescent="0.2">
      <c r="C425" s="34">
        <f>SOURCE!A415</f>
        <v>45986</v>
      </c>
      <c r="D425" s="11" t="str">
        <f>SOURCE!B415</f>
        <v>Expenses</v>
      </c>
      <c r="E425" s="11" t="str">
        <f>SOURCE!C415</f>
        <v>Restaurants</v>
      </c>
      <c r="F425" s="35">
        <f>SOURCE!E415</f>
        <v>55</v>
      </c>
      <c r="G425" s="36"/>
      <c r="H425" s="38" cm="1">
        <f t="array" ref="H425">SUMPRODUCT(Tracking[Amount],--(Tracking[Date]&lt;=Tracking[[#This Row],[Date]]),(Tracking[Type]&lt;&gt;"Income")*(-1)+(Tracking[Type]="Income"))</f>
        <v>16590.500000000007</v>
      </c>
      <c r="I425" s="42">
        <f>IF(AND(Tracking[[#This Row],[Type]]="Income", shift_late_income_status="Active", DAY(Tracking[[#This Row],[Date]])&gt;=shift_late_income_starting_date), DATE(YEAR(Tracking[[#This Row],[Date]]),MONTH(Tracking[[#This Row],[Date]])+1,1),Tracking[[#This Row],[Date]])</f>
        <v>45986</v>
      </c>
      <c r="J425" s="11">
        <f>MONTH(Tracking[[#This Row],[Date]])</f>
        <v>11</v>
      </c>
      <c r="K425" s="11">
        <f>YEAR(Tracking[[#This Row],[Date]])</f>
        <v>2025</v>
      </c>
    </row>
    <row r="426" spans="3:11" x14ac:dyDescent="0.2">
      <c r="C426" s="34">
        <f>SOURCE!A416</f>
        <v>45986</v>
      </c>
      <c r="D426" s="11" t="str">
        <f>SOURCE!B416</f>
        <v>Expenses</v>
      </c>
      <c r="E426" s="11" t="str">
        <f>SOURCE!C416</f>
        <v>Restaurants</v>
      </c>
      <c r="F426" s="35">
        <f>SOURCE!E416</f>
        <v>24.8</v>
      </c>
      <c r="G426" s="36"/>
      <c r="H426" s="38" cm="1">
        <f t="array" ref="H426">SUMPRODUCT(Tracking[Amount],--(Tracking[Date]&lt;=Tracking[[#This Row],[Date]]),(Tracking[Type]&lt;&gt;"Income")*(-1)+(Tracking[Type]="Income"))</f>
        <v>16590.500000000007</v>
      </c>
      <c r="I426" s="42">
        <f>IF(AND(Tracking[[#This Row],[Type]]="Income", shift_late_income_status="Active", DAY(Tracking[[#This Row],[Date]])&gt;=shift_late_income_starting_date), DATE(YEAR(Tracking[[#This Row],[Date]]),MONTH(Tracking[[#This Row],[Date]])+1,1),Tracking[[#This Row],[Date]])</f>
        <v>45986</v>
      </c>
      <c r="J426" s="11">
        <f>MONTH(Tracking[[#This Row],[Date]])</f>
        <v>11</v>
      </c>
      <c r="K426" s="11">
        <f>YEAR(Tracking[[#This Row],[Date]])</f>
        <v>2025</v>
      </c>
    </row>
    <row r="427" spans="3:11" x14ac:dyDescent="0.2">
      <c r="C427" s="34">
        <f>SOURCE!A417</f>
        <v>45986</v>
      </c>
      <c r="D427" s="11" t="str">
        <f>SOURCE!B417</f>
        <v>Expenses</v>
      </c>
      <c r="E427" s="11" t="str">
        <f>SOURCE!C417</f>
        <v>Train</v>
      </c>
      <c r="F427" s="35">
        <f>SOURCE!E417</f>
        <v>4.7</v>
      </c>
      <c r="G427" s="36"/>
      <c r="H427" s="38" cm="1">
        <f t="array" ref="H427">SUMPRODUCT(Tracking[Amount],--(Tracking[Date]&lt;=Tracking[[#This Row],[Date]]),(Tracking[Type]&lt;&gt;"Income")*(-1)+(Tracking[Type]="Income"))</f>
        <v>16590.500000000007</v>
      </c>
      <c r="I427" s="42">
        <f>IF(AND(Tracking[[#This Row],[Type]]="Income", shift_late_income_status="Active", DAY(Tracking[[#This Row],[Date]])&gt;=shift_late_income_starting_date), DATE(YEAR(Tracking[[#This Row],[Date]]),MONTH(Tracking[[#This Row],[Date]])+1,1),Tracking[[#This Row],[Date]])</f>
        <v>45986</v>
      </c>
      <c r="J427" s="11">
        <f>MONTH(Tracking[[#This Row],[Date]])</f>
        <v>11</v>
      </c>
      <c r="K427" s="11">
        <f>YEAR(Tracking[[#This Row],[Date]])</f>
        <v>2025</v>
      </c>
    </row>
    <row r="428" spans="3:11" x14ac:dyDescent="0.2">
      <c r="C428" s="34">
        <f>SOURCE!A418</f>
        <v>45987</v>
      </c>
      <c r="D428" s="11" t="str">
        <f>SOURCE!B418</f>
        <v>Expenses</v>
      </c>
      <c r="E428" s="11" t="str">
        <f>SOURCE!C418</f>
        <v>Restaurants</v>
      </c>
      <c r="F428" s="35">
        <f>SOURCE!E418</f>
        <v>7</v>
      </c>
      <c r="G428" s="36"/>
      <c r="H428" s="38" cm="1">
        <f t="array" ref="H428">SUMPRODUCT(Tracking[Amount],--(Tracking[Date]&lt;=Tracking[[#This Row],[Date]]),(Tracking[Type]&lt;&gt;"Income")*(-1)+(Tracking[Type]="Income"))</f>
        <v>16506.350000000006</v>
      </c>
      <c r="I428" s="42">
        <f>IF(AND(Tracking[[#This Row],[Type]]="Income", shift_late_income_status="Active", DAY(Tracking[[#This Row],[Date]])&gt;=shift_late_income_starting_date), DATE(YEAR(Tracking[[#This Row],[Date]]),MONTH(Tracking[[#This Row],[Date]])+1,1),Tracking[[#This Row],[Date]])</f>
        <v>45987</v>
      </c>
      <c r="J428" s="11">
        <f>MONTH(Tracking[[#This Row],[Date]])</f>
        <v>11</v>
      </c>
      <c r="K428" s="11">
        <f>YEAR(Tracking[[#This Row],[Date]])</f>
        <v>2025</v>
      </c>
    </row>
    <row r="429" spans="3:11" x14ac:dyDescent="0.2">
      <c r="C429" s="34">
        <f>SOURCE!A419</f>
        <v>45987</v>
      </c>
      <c r="D429" s="11" t="str">
        <f>SOURCE!B419</f>
        <v>Expenses</v>
      </c>
      <c r="E429" s="11" t="str">
        <f>SOURCE!C419</f>
        <v>Groceries</v>
      </c>
      <c r="F429" s="35">
        <f>SOURCE!E419</f>
        <v>9.9</v>
      </c>
      <c r="G429" s="36"/>
      <c r="H429" s="38" cm="1">
        <f t="array" ref="H429">SUMPRODUCT(Tracking[Amount],--(Tracking[Date]&lt;=Tracking[[#This Row],[Date]]),(Tracking[Type]&lt;&gt;"Income")*(-1)+(Tracking[Type]="Income"))</f>
        <v>16506.350000000006</v>
      </c>
      <c r="I429" s="42">
        <f>IF(AND(Tracking[[#This Row],[Type]]="Income", shift_late_income_status="Active", DAY(Tracking[[#This Row],[Date]])&gt;=shift_late_income_starting_date), DATE(YEAR(Tracking[[#This Row],[Date]]),MONTH(Tracking[[#This Row],[Date]])+1,1),Tracking[[#This Row],[Date]])</f>
        <v>45987</v>
      </c>
      <c r="J429" s="11">
        <f>MONTH(Tracking[[#This Row],[Date]])</f>
        <v>11</v>
      </c>
      <c r="K429" s="11">
        <f>YEAR(Tracking[[#This Row],[Date]])</f>
        <v>2025</v>
      </c>
    </row>
    <row r="430" spans="3:11" x14ac:dyDescent="0.2">
      <c r="C430" s="34">
        <f>SOURCE!A420</f>
        <v>45987</v>
      </c>
      <c r="D430" s="11" t="str">
        <f>SOURCE!B420</f>
        <v>Expenses</v>
      </c>
      <c r="E430" s="11" t="str">
        <f>SOURCE!C420</f>
        <v>Home utils</v>
      </c>
      <c r="F430" s="35">
        <f>SOURCE!E420</f>
        <v>67.25</v>
      </c>
      <c r="G430" s="36"/>
      <c r="H430" s="38" cm="1">
        <f t="array" ref="H430">SUMPRODUCT(Tracking[Amount],--(Tracking[Date]&lt;=Tracking[[#This Row],[Date]]),(Tracking[Type]&lt;&gt;"Income")*(-1)+(Tracking[Type]="Income"))</f>
        <v>16506.350000000006</v>
      </c>
      <c r="I430" s="42">
        <f>IF(AND(Tracking[[#This Row],[Type]]="Income", shift_late_income_status="Active", DAY(Tracking[[#This Row],[Date]])&gt;=shift_late_income_starting_date), DATE(YEAR(Tracking[[#This Row],[Date]]),MONTH(Tracking[[#This Row],[Date]])+1,1),Tracking[[#This Row],[Date]])</f>
        <v>45987</v>
      </c>
      <c r="J430" s="11">
        <f>MONTH(Tracking[[#This Row],[Date]])</f>
        <v>11</v>
      </c>
      <c r="K430" s="11">
        <f>YEAR(Tracking[[#This Row],[Date]])</f>
        <v>2025</v>
      </c>
    </row>
    <row r="431" spans="3:11" x14ac:dyDescent="0.2">
      <c r="C431" s="34">
        <f>SOURCE!A421</f>
        <v>45988</v>
      </c>
      <c r="D431" s="11" t="str">
        <f>SOURCE!B421</f>
        <v>Expenses</v>
      </c>
      <c r="E431" s="11" t="str">
        <f>SOURCE!C421</f>
        <v>Restaurants</v>
      </c>
      <c r="F431" s="35">
        <f>SOURCE!E421</f>
        <v>8.5</v>
      </c>
      <c r="G431" s="36"/>
      <c r="H431" s="38" cm="1">
        <f t="array" ref="H431">SUMPRODUCT(Tracking[Amount],--(Tracking[Date]&lt;=Tracking[[#This Row],[Date]]),(Tracking[Type]&lt;&gt;"Income")*(-1)+(Tracking[Type]="Income"))</f>
        <v>16462.850000000006</v>
      </c>
      <c r="I431" s="42">
        <f>IF(AND(Tracking[[#This Row],[Type]]="Income", shift_late_income_status="Active", DAY(Tracking[[#This Row],[Date]])&gt;=shift_late_income_starting_date), DATE(YEAR(Tracking[[#This Row],[Date]]),MONTH(Tracking[[#This Row],[Date]])+1,1),Tracking[[#This Row],[Date]])</f>
        <v>45988</v>
      </c>
      <c r="J431" s="11">
        <f>MONTH(Tracking[[#This Row],[Date]])</f>
        <v>11</v>
      </c>
      <c r="K431" s="11">
        <f>YEAR(Tracking[[#This Row],[Date]])</f>
        <v>2025</v>
      </c>
    </row>
    <row r="432" spans="3:11" x14ac:dyDescent="0.2">
      <c r="C432" s="34">
        <f>SOURCE!A422</f>
        <v>45988</v>
      </c>
      <c r="D432" s="11" t="str">
        <f>SOURCE!B422</f>
        <v>Expenses</v>
      </c>
      <c r="E432" s="11" t="str">
        <f>SOURCE!C422</f>
        <v>Restaurants</v>
      </c>
      <c r="F432" s="35">
        <f>SOURCE!E422</f>
        <v>8.6</v>
      </c>
      <c r="G432" s="36"/>
      <c r="H432" s="38" cm="1">
        <f t="array" ref="H432">SUMPRODUCT(Tracking[Amount],--(Tracking[Date]&lt;=Tracking[[#This Row],[Date]]),(Tracking[Type]&lt;&gt;"Income")*(-1)+(Tracking[Type]="Income"))</f>
        <v>16462.850000000006</v>
      </c>
      <c r="I432" s="42">
        <f>IF(AND(Tracking[[#This Row],[Type]]="Income", shift_late_income_status="Active", DAY(Tracking[[#This Row],[Date]])&gt;=shift_late_income_starting_date), DATE(YEAR(Tracking[[#This Row],[Date]]),MONTH(Tracking[[#This Row],[Date]])+1,1),Tracking[[#This Row],[Date]])</f>
        <v>45988</v>
      </c>
      <c r="J432" s="11">
        <f>MONTH(Tracking[[#This Row],[Date]])</f>
        <v>11</v>
      </c>
      <c r="K432" s="11">
        <f>YEAR(Tracking[[#This Row],[Date]])</f>
        <v>2025</v>
      </c>
    </row>
    <row r="433" spans="3:11" x14ac:dyDescent="0.2">
      <c r="C433" s="34">
        <f>SOURCE!A423</f>
        <v>45988</v>
      </c>
      <c r="D433" s="11" t="str">
        <f>SOURCE!B423</f>
        <v>Expenses</v>
      </c>
      <c r="E433" s="11" t="str">
        <f>SOURCE!C423</f>
        <v>Restaurants</v>
      </c>
      <c r="F433" s="35">
        <f>SOURCE!E423</f>
        <v>17</v>
      </c>
      <c r="G433" s="36"/>
      <c r="H433" s="38" cm="1">
        <f t="array" ref="H433">SUMPRODUCT(Tracking[Amount],--(Tracking[Date]&lt;=Tracking[[#This Row],[Date]]),(Tracking[Type]&lt;&gt;"Income")*(-1)+(Tracking[Type]="Income"))</f>
        <v>16462.850000000006</v>
      </c>
      <c r="I433" s="42">
        <f>IF(AND(Tracking[[#This Row],[Type]]="Income", shift_late_income_status="Active", DAY(Tracking[[#This Row],[Date]])&gt;=shift_late_income_starting_date), DATE(YEAR(Tracking[[#This Row],[Date]]),MONTH(Tracking[[#This Row],[Date]])+1,1),Tracking[[#This Row],[Date]])</f>
        <v>45988</v>
      </c>
      <c r="J433" s="11">
        <f>MONTH(Tracking[[#This Row],[Date]])</f>
        <v>11</v>
      </c>
      <c r="K433" s="11">
        <f>YEAR(Tracking[[#This Row],[Date]])</f>
        <v>2025</v>
      </c>
    </row>
    <row r="434" spans="3:11" x14ac:dyDescent="0.2">
      <c r="C434" s="34">
        <f>SOURCE!A424</f>
        <v>45988</v>
      </c>
      <c r="D434" s="11" t="str">
        <f>SOURCE!B424</f>
        <v>Expenses</v>
      </c>
      <c r="E434" s="11" t="str">
        <f>SOURCE!C424</f>
        <v>Train</v>
      </c>
      <c r="F434" s="35">
        <f>SOURCE!E424</f>
        <v>4.7</v>
      </c>
      <c r="G434" s="36"/>
      <c r="H434" s="38" cm="1">
        <f t="array" ref="H434">SUMPRODUCT(Tracking[Amount],--(Tracking[Date]&lt;=Tracking[[#This Row],[Date]]),(Tracking[Type]&lt;&gt;"Income")*(-1)+(Tracking[Type]="Income"))</f>
        <v>16462.850000000006</v>
      </c>
      <c r="I434" s="42">
        <f>IF(AND(Tracking[[#This Row],[Type]]="Income", shift_late_income_status="Active", DAY(Tracking[[#This Row],[Date]])&gt;=shift_late_income_starting_date), DATE(YEAR(Tracking[[#This Row],[Date]]),MONTH(Tracking[[#This Row],[Date]])+1,1),Tracking[[#This Row],[Date]])</f>
        <v>45988</v>
      </c>
      <c r="J434" s="11">
        <f>MONTH(Tracking[[#This Row],[Date]])</f>
        <v>11</v>
      </c>
      <c r="K434" s="11">
        <f>YEAR(Tracking[[#This Row],[Date]])</f>
        <v>2025</v>
      </c>
    </row>
    <row r="435" spans="3:11" x14ac:dyDescent="0.2">
      <c r="C435" s="34">
        <f>SOURCE!A425</f>
        <v>45988</v>
      </c>
      <c r="D435" s="11" t="str">
        <f>SOURCE!B425</f>
        <v>Expenses</v>
      </c>
      <c r="E435" s="11" t="str">
        <f>SOURCE!C425</f>
        <v>Train</v>
      </c>
      <c r="F435" s="35">
        <f>SOURCE!E425</f>
        <v>4.7</v>
      </c>
      <c r="G435" s="36"/>
      <c r="H435" s="38" cm="1">
        <f t="array" ref="H435">SUMPRODUCT(Tracking[Amount],--(Tracking[Date]&lt;=Tracking[[#This Row],[Date]]),(Tracking[Type]&lt;&gt;"Income")*(-1)+(Tracking[Type]="Income"))</f>
        <v>16462.850000000006</v>
      </c>
      <c r="I435" s="42">
        <f>IF(AND(Tracking[[#This Row],[Type]]="Income", shift_late_income_status="Active", DAY(Tracking[[#This Row],[Date]])&gt;=shift_late_income_starting_date), DATE(YEAR(Tracking[[#This Row],[Date]]),MONTH(Tracking[[#This Row],[Date]])+1,1),Tracking[[#This Row],[Date]])</f>
        <v>45988</v>
      </c>
      <c r="J435" s="11">
        <f>MONTH(Tracking[[#This Row],[Date]])</f>
        <v>11</v>
      </c>
      <c r="K435" s="11">
        <f>YEAR(Tracking[[#This Row],[Date]])</f>
        <v>2025</v>
      </c>
    </row>
    <row r="436" spans="3:11" x14ac:dyDescent="0.2">
      <c r="C436" s="34">
        <f>SOURCE!A426</f>
        <v>45989</v>
      </c>
      <c r="D436" s="11" t="str">
        <f>SOURCE!B426</f>
        <v>Expenses</v>
      </c>
      <c r="E436" s="11" t="str">
        <f>SOURCE!C426</f>
        <v>CC fees</v>
      </c>
      <c r="F436" s="35">
        <f>SOURCE!E426</f>
        <v>10</v>
      </c>
      <c r="G436" s="36"/>
      <c r="H436" s="38" cm="1">
        <f t="array" ref="H436">SUMPRODUCT(Tracking[Amount],--(Tracking[Date]&lt;=Tracking[[#This Row],[Date]]),(Tracking[Type]&lt;&gt;"Income")*(-1)+(Tracking[Type]="Income"))</f>
        <v>16437.350000000006</v>
      </c>
      <c r="I436" s="42">
        <f>IF(AND(Tracking[[#This Row],[Type]]="Income", shift_late_income_status="Active", DAY(Tracking[[#This Row],[Date]])&gt;=shift_late_income_starting_date), DATE(YEAR(Tracking[[#This Row],[Date]]),MONTH(Tracking[[#This Row],[Date]])+1,1),Tracking[[#This Row],[Date]])</f>
        <v>45989</v>
      </c>
      <c r="J436" s="11">
        <f>MONTH(Tracking[[#This Row],[Date]])</f>
        <v>11</v>
      </c>
      <c r="K436" s="11">
        <f>YEAR(Tracking[[#This Row],[Date]])</f>
        <v>2025</v>
      </c>
    </row>
    <row r="437" spans="3:11" x14ac:dyDescent="0.2">
      <c r="C437" s="34">
        <f>SOURCE!A427</f>
        <v>45989</v>
      </c>
      <c r="D437" s="11" t="str">
        <f>SOURCE!B427</f>
        <v>Expenses</v>
      </c>
      <c r="E437" s="11" t="str">
        <f>SOURCE!C427</f>
        <v>Restaurants</v>
      </c>
      <c r="F437" s="35">
        <f>SOURCE!E427</f>
        <v>15.5</v>
      </c>
      <c r="G437" s="36"/>
      <c r="H437" s="38" cm="1">
        <f t="array" ref="H437">SUMPRODUCT(Tracking[Amount],--(Tracking[Date]&lt;=Tracking[[#This Row],[Date]]),(Tracking[Type]&lt;&gt;"Income")*(-1)+(Tracking[Type]="Income"))</f>
        <v>16437.350000000006</v>
      </c>
      <c r="I437" s="42">
        <f>IF(AND(Tracking[[#This Row],[Type]]="Income", shift_late_income_status="Active", DAY(Tracking[[#This Row],[Date]])&gt;=shift_late_income_starting_date), DATE(YEAR(Tracking[[#This Row],[Date]]),MONTH(Tracking[[#This Row],[Date]])+1,1),Tracking[[#This Row],[Date]])</f>
        <v>45989</v>
      </c>
      <c r="J437" s="11">
        <f>MONTH(Tracking[[#This Row],[Date]])</f>
        <v>11</v>
      </c>
      <c r="K437" s="11">
        <f>YEAR(Tracking[[#This Row],[Date]])</f>
        <v>2025</v>
      </c>
    </row>
    <row r="438" spans="3:11" x14ac:dyDescent="0.2">
      <c r="C438" s="34">
        <f>SOURCE!A428</f>
        <v>45990</v>
      </c>
      <c r="D438" s="11" t="str">
        <f>SOURCE!B428</f>
        <v>Expenses</v>
      </c>
      <c r="E438" s="11" t="str">
        <f>SOURCE!C428</f>
        <v>Digital Goods</v>
      </c>
      <c r="F438" s="35">
        <f>SOURCE!E428</f>
        <v>25</v>
      </c>
      <c r="G438" s="36"/>
      <c r="H438" s="38" cm="1">
        <f t="array" ref="H438">SUMPRODUCT(Tracking[Amount],--(Tracking[Date]&lt;=Tracking[[#This Row],[Date]]),(Tracking[Type]&lt;&gt;"Income")*(-1)+(Tracking[Type]="Income"))</f>
        <v>16290.150000000005</v>
      </c>
      <c r="I438" s="42">
        <f>IF(AND(Tracking[[#This Row],[Type]]="Income", shift_late_income_status="Active", DAY(Tracking[[#This Row],[Date]])&gt;=shift_late_income_starting_date), DATE(YEAR(Tracking[[#This Row],[Date]]),MONTH(Tracking[[#This Row],[Date]])+1,1),Tracking[[#This Row],[Date]])</f>
        <v>45990</v>
      </c>
      <c r="J438" s="11">
        <f>MONTH(Tracking[[#This Row],[Date]])</f>
        <v>11</v>
      </c>
      <c r="K438" s="11">
        <f>YEAR(Tracking[[#This Row],[Date]])</f>
        <v>2025</v>
      </c>
    </row>
    <row r="439" spans="3:11" x14ac:dyDescent="0.2">
      <c r="C439" s="34">
        <f>SOURCE!A429</f>
        <v>45990</v>
      </c>
      <c r="D439" s="11" t="str">
        <f>SOURCE!B429</f>
        <v>Expenses</v>
      </c>
      <c r="E439" s="11" t="str">
        <f>SOURCE!C429</f>
        <v>Restaurants</v>
      </c>
      <c r="F439" s="35">
        <f>SOURCE!E429</f>
        <v>18.7</v>
      </c>
      <c r="G439" s="36"/>
      <c r="H439" s="38" cm="1">
        <f t="array" ref="H439">SUMPRODUCT(Tracking[Amount],--(Tracking[Date]&lt;=Tracking[[#This Row],[Date]]),(Tracking[Type]&lt;&gt;"Income")*(-1)+(Tracking[Type]="Income"))</f>
        <v>16290.150000000005</v>
      </c>
      <c r="I439" s="42">
        <f>IF(AND(Tracking[[#This Row],[Type]]="Income", shift_late_income_status="Active", DAY(Tracking[[#This Row],[Date]])&gt;=shift_late_income_starting_date), DATE(YEAR(Tracking[[#This Row],[Date]]),MONTH(Tracking[[#This Row],[Date]])+1,1),Tracking[[#This Row],[Date]])</f>
        <v>45990</v>
      </c>
      <c r="J439" s="11">
        <f>MONTH(Tracking[[#This Row],[Date]])</f>
        <v>11</v>
      </c>
      <c r="K439" s="11">
        <f>YEAR(Tracking[[#This Row],[Date]])</f>
        <v>2025</v>
      </c>
    </row>
    <row r="440" spans="3:11" x14ac:dyDescent="0.2">
      <c r="C440" s="34">
        <f>SOURCE!A430</f>
        <v>45990</v>
      </c>
      <c r="D440" s="11" t="str">
        <f>SOURCE!B430</f>
        <v>Expenses</v>
      </c>
      <c r="E440" s="11" t="str">
        <f>SOURCE!C430</f>
        <v>Restaurants</v>
      </c>
      <c r="F440" s="35">
        <f>SOURCE!E430</f>
        <v>63.5</v>
      </c>
      <c r="G440" s="36"/>
      <c r="H440" s="38" cm="1">
        <f t="array" ref="H440">SUMPRODUCT(Tracking[Amount],--(Tracking[Date]&lt;=Tracking[[#This Row],[Date]]),(Tracking[Type]&lt;&gt;"Income")*(-1)+(Tracking[Type]="Income"))</f>
        <v>16290.150000000005</v>
      </c>
      <c r="I440" s="42">
        <f>IF(AND(Tracking[[#This Row],[Type]]="Income", shift_late_income_status="Active", DAY(Tracking[[#This Row],[Date]])&gt;=shift_late_income_starting_date), DATE(YEAR(Tracking[[#This Row],[Date]]),MONTH(Tracking[[#This Row],[Date]])+1,1),Tracking[[#This Row],[Date]])</f>
        <v>45990</v>
      </c>
      <c r="J440" s="11">
        <f>MONTH(Tracking[[#This Row],[Date]])</f>
        <v>11</v>
      </c>
      <c r="K440" s="11">
        <f>YEAR(Tracking[[#This Row],[Date]])</f>
        <v>2025</v>
      </c>
    </row>
    <row r="441" spans="3:11" x14ac:dyDescent="0.2">
      <c r="C441" s="34">
        <f>SOURCE!A431</f>
        <v>45990</v>
      </c>
      <c r="D441" s="11" t="str">
        <f>SOURCE!B431</f>
        <v>Expenses</v>
      </c>
      <c r="E441" s="11" t="str">
        <f>SOURCE!C431</f>
        <v>Withdraw</v>
      </c>
      <c r="F441" s="35">
        <f>SOURCE!E431</f>
        <v>40</v>
      </c>
      <c r="G441" s="36"/>
      <c r="H441" s="38" cm="1">
        <f t="array" ref="H441">SUMPRODUCT(Tracking[Amount],--(Tracking[Date]&lt;=Tracking[[#This Row],[Date]]),(Tracking[Type]&lt;&gt;"Income")*(-1)+(Tracking[Type]="Income"))</f>
        <v>16290.150000000005</v>
      </c>
      <c r="I441" s="42">
        <f>IF(AND(Tracking[[#This Row],[Type]]="Income", shift_late_income_status="Active", DAY(Tracking[[#This Row],[Date]])&gt;=shift_late_income_starting_date), DATE(YEAR(Tracking[[#This Row],[Date]]),MONTH(Tracking[[#This Row],[Date]])+1,1),Tracking[[#This Row],[Date]])</f>
        <v>45990</v>
      </c>
      <c r="J441" s="11">
        <f>MONTH(Tracking[[#This Row],[Date]])</f>
        <v>11</v>
      </c>
      <c r="K441" s="11">
        <f>YEAR(Tracking[[#This Row],[Date]])</f>
        <v>2025</v>
      </c>
    </row>
    <row r="442" spans="3:11" x14ac:dyDescent="0.2">
      <c r="C442" s="34">
        <f>SOURCE!A432</f>
        <v>45992</v>
      </c>
      <c r="D442" s="11" t="str">
        <f>SOURCE!B432</f>
        <v>Expenses</v>
      </c>
      <c r="E442" s="11" t="str">
        <f>SOURCE!C432</f>
        <v>Restaurants</v>
      </c>
      <c r="F442" s="65">
        <f>SOURCE!E432</f>
        <v>15.8</v>
      </c>
      <c r="G442" s="66"/>
      <c r="H442" s="67" cm="1">
        <f t="array" ref="H442">SUMPRODUCT(Tracking[Amount],--(Tracking[Date]&lt;=Tracking[[#This Row],[Date]]),(Tracking[Type]&lt;&gt;"Income")*(-1)+(Tracking[Type]="Income"))</f>
        <v>16245.940000000004</v>
      </c>
      <c r="I442" s="42">
        <f>IF(AND(Tracking[[#This Row],[Type]]="Income", shift_late_income_status="Active", DAY(Tracking[[#This Row],[Date]])&gt;=shift_late_income_starting_date), DATE(YEAR(Tracking[[#This Row],[Date]]),MONTH(Tracking[[#This Row],[Date]])+1,1),Tracking[[#This Row],[Date]])</f>
        <v>45992</v>
      </c>
      <c r="J442" s="64">
        <f>MONTH(Tracking[[#This Row],[Date]])</f>
        <v>12</v>
      </c>
      <c r="K442" s="64">
        <f>YEAR(Tracking[[#This Row],[Date]])</f>
        <v>2025</v>
      </c>
    </row>
    <row r="443" spans="3:11" x14ac:dyDescent="0.2">
      <c r="C443" s="34">
        <f>SOURCE!A433</f>
        <v>45992</v>
      </c>
      <c r="D443" s="11" t="str">
        <f>SOURCE!B433</f>
        <v>Expenses</v>
      </c>
      <c r="E443" s="11" t="str">
        <f>SOURCE!C433</f>
        <v>Digital Goods</v>
      </c>
      <c r="F443" s="35">
        <f>SOURCE!E433</f>
        <v>0.01</v>
      </c>
      <c r="G443" s="36"/>
      <c r="H443" s="38" cm="1">
        <f t="array" ref="H443">SUMPRODUCT(Tracking[Amount],--(Tracking[Date]&lt;=Tracking[[#This Row],[Date]]),(Tracking[Type]&lt;&gt;"Income")*(-1)+(Tracking[Type]="Income"))</f>
        <v>16245.940000000004</v>
      </c>
      <c r="I443" s="42">
        <f>IF(AND(Tracking[[#This Row],[Type]]="Income", shift_late_income_status="Active", DAY(Tracking[[#This Row],[Date]])&gt;=shift_late_income_starting_date), DATE(YEAR(Tracking[[#This Row],[Date]]),MONTH(Tracking[[#This Row],[Date]])+1,1),Tracking[[#This Row],[Date]])</f>
        <v>45992</v>
      </c>
      <c r="J443" s="11">
        <f>MONTH(Tracking[[#This Row],[Date]])</f>
        <v>12</v>
      </c>
      <c r="K443" s="11">
        <f>YEAR(Tracking[[#This Row],[Date]])</f>
        <v>2025</v>
      </c>
    </row>
    <row r="444" spans="3:11" x14ac:dyDescent="0.2">
      <c r="C444" s="34">
        <f>SOURCE!A434</f>
        <v>45992</v>
      </c>
      <c r="D444" s="11" t="str">
        <f>SOURCE!B434</f>
        <v>Expenses</v>
      </c>
      <c r="E444" s="11" t="str">
        <f>SOURCE!C434</f>
        <v>Train</v>
      </c>
      <c r="F444" s="35">
        <f>SOURCE!E434</f>
        <v>4.7</v>
      </c>
      <c r="G444" s="36"/>
      <c r="H444" s="38" cm="1">
        <f t="array" ref="H444">SUMPRODUCT(Tracking[Amount],--(Tracking[Date]&lt;=Tracking[[#This Row],[Date]]),(Tracking[Type]&lt;&gt;"Income")*(-1)+(Tracking[Type]="Income"))</f>
        <v>16245.940000000004</v>
      </c>
      <c r="I444" s="42">
        <f>IF(AND(Tracking[[#This Row],[Type]]="Income", shift_late_income_status="Active", DAY(Tracking[[#This Row],[Date]])&gt;=shift_late_income_starting_date), DATE(YEAR(Tracking[[#This Row],[Date]]),MONTH(Tracking[[#This Row],[Date]])+1,1),Tracking[[#This Row],[Date]])</f>
        <v>45992</v>
      </c>
      <c r="J444" s="11">
        <f>MONTH(Tracking[[#This Row],[Date]])</f>
        <v>12</v>
      </c>
      <c r="K444" s="11">
        <f>YEAR(Tracking[[#This Row],[Date]])</f>
        <v>2025</v>
      </c>
    </row>
    <row r="445" spans="3:11" x14ac:dyDescent="0.2">
      <c r="C445" s="34">
        <f>SOURCE!A435</f>
        <v>45992</v>
      </c>
      <c r="D445" s="11" t="str">
        <f>SOURCE!B435</f>
        <v>Expenses</v>
      </c>
      <c r="E445" s="11" t="str">
        <f>SOURCE!C435</f>
        <v>Train</v>
      </c>
      <c r="F445" s="35">
        <f>SOURCE!E435</f>
        <v>4.7</v>
      </c>
      <c r="G445" s="36"/>
      <c r="H445" s="38" cm="1">
        <f t="array" ref="H445">SUMPRODUCT(Tracking[Amount],--(Tracking[Date]&lt;=Tracking[[#This Row],[Date]]),(Tracking[Type]&lt;&gt;"Income")*(-1)+(Tracking[Type]="Income"))</f>
        <v>16245.940000000004</v>
      </c>
      <c r="I445" s="42">
        <f>IF(AND(Tracking[[#This Row],[Type]]="Income", shift_late_income_status="Active", DAY(Tracking[[#This Row],[Date]])&gt;=shift_late_income_starting_date), DATE(YEAR(Tracking[[#This Row],[Date]]),MONTH(Tracking[[#This Row],[Date]])+1,1),Tracking[[#This Row],[Date]])</f>
        <v>45992</v>
      </c>
      <c r="J445" s="11">
        <f>MONTH(Tracking[[#This Row],[Date]])</f>
        <v>12</v>
      </c>
      <c r="K445" s="11">
        <f>YEAR(Tracking[[#This Row],[Date]])</f>
        <v>2025</v>
      </c>
    </row>
    <row r="446" spans="3:11" x14ac:dyDescent="0.2">
      <c r="C446" s="34">
        <f>SOURCE!A436</f>
        <v>45992</v>
      </c>
      <c r="D446" s="11" t="str">
        <f>SOURCE!B436</f>
        <v>Expenses</v>
      </c>
      <c r="E446" s="11" t="str">
        <f>SOURCE!C436</f>
        <v>Groceries</v>
      </c>
      <c r="F446" s="35">
        <f>SOURCE!E436</f>
        <v>19</v>
      </c>
      <c r="G446" s="36"/>
      <c r="H446" s="38" cm="1">
        <f t="array" ref="H446">SUMPRODUCT(Tracking[Amount],--(Tracking[Date]&lt;=Tracking[[#This Row],[Date]]),(Tracking[Type]&lt;&gt;"Income")*(-1)+(Tracking[Type]="Income"))</f>
        <v>16245.940000000004</v>
      </c>
      <c r="I446" s="42">
        <f>IF(AND(Tracking[[#This Row],[Type]]="Income", shift_late_income_status="Active", DAY(Tracking[[#This Row],[Date]])&gt;=shift_late_income_starting_date), DATE(YEAR(Tracking[[#This Row],[Date]]),MONTH(Tracking[[#This Row],[Date]])+1,1),Tracking[[#This Row],[Date]])</f>
        <v>45992</v>
      </c>
      <c r="J446" s="11">
        <f>MONTH(Tracking[[#This Row],[Date]])</f>
        <v>12</v>
      </c>
      <c r="K446" s="11">
        <f>YEAR(Tracking[[#This Row],[Date]])</f>
        <v>2025</v>
      </c>
    </row>
    <row r="447" spans="3:11" x14ac:dyDescent="0.2">
      <c r="C447" s="34">
        <f>SOURCE!A437</f>
        <v>45993</v>
      </c>
      <c r="D447" s="11" t="str">
        <f>SOURCE!B437</f>
        <v>Expenses</v>
      </c>
      <c r="E447" s="11" t="str">
        <f>SOURCE!C437</f>
        <v>Groceries</v>
      </c>
      <c r="F447" s="35">
        <f>SOURCE!E437</f>
        <v>11.4</v>
      </c>
      <c r="G447" s="36"/>
      <c r="H447" s="38" cm="1">
        <f t="array" ref="H447">SUMPRODUCT(Tracking[Amount],--(Tracking[Date]&lt;=Tracking[[#This Row],[Date]]),(Tracking[Type]&lt;&gt;"Income")*(-1)+(Tracking[Type]="Income"))</f>
        <v>16234.540000000005</v>
      </c>
      <c r="I447" s="42">
        <f>IF(AND(Tracking[[#This Row],[Type]]="Income", shift_late_income_status="Active", DAY(Tracking[[#This Row],[Date]])&gt;=shift_late_income_starting_date), DATE(YEAR(Tracking[[#This Row],[Date]]),MONTH(Tracking[[#This Row],[Date]])+1,1),Tracking[[#This Row],[Date]])</f>
        <v>45993</v>
      </c>
      <c r="J447" s="11">
        <f>MONTH(Tracking[[#This Row],[Date]])</f>
        <v>12</v>
      </c>
      <c r="K447" s="11">
        <f>YEAR(Tracking[[#This Row],[Date]])</f>
        <v>2025</v>
      </c>
    </row>
    <row r="448" spans="3:11" x14ac:dyDescent="0.2">
      <c r="C448" s="34">
        <f>SOURCE!A438</f>
        <v>45994</v>
      </c>
      <c r="D448" s="11" t="str">
        <f>SOURCE!B438</f>
        <v>Expenses</v>
      </c>
      <c r="E448" s="11" t="str">
        <f>SOURCE!C438</f>
        <v>Restaurants</v>
      </c>
      <c r="F448" s="35">
        <f>SOURCE!E438</f>
        <v>70</v>
      </c>
      <c r="G448" s="36"/>
      <c r="H448" s="38" cm="1">
        <f t="array" ref="H448">SUMPRODUCT(Tracking[Amount],--(Tracking[Date]&lt;=Tracking[[#This Row],[Date]]),(Tracking[Type]&lt;&gt;"Income")*(-1)+(Tracking[Type]="Income"))</f>
        <v>9884.5400000000045</v>
      </c>
      <c r="I448" s="42">
        <f>IF(AND(Tracking[[#This Row],[Type]]="Income", shift_late_income_status="Active", DAY(Tracking[[#This Row],[Date]])&gt;=shift_late_income_starting_date), DATE(YEAR(Tracking[[#This Row],[Date]]),MONTH(Tracking[[#This Row],[Date]])+1,1),Tracking[[#This Row],[Date]])</f>
        <v>45994</v>
      </c>
      <c r="J448" s="11">
        <f>MONTH(Tracking[[#This Row],[Date]])</f>
        <v>12</v>
      </c>
      <c r="K448" s="11">
        <f>YEAR(Tracking[[#This Row],[Date]])</f>
        <v>2025</v>
      </c>
    </row>
    <row r="449" spans="3:11" x14ac:dyDescent="0.2">
      <c r="C449" s="34">
        <f>SOURCE!A439</f>
        <v>45994</v>
      </c>
      <c r="D449" s="11" t="str">
        <f>SOURCE!B439</f>
        <v>Expenses</v>
      </c>
      <c r="E449" s="11" t="str">
        <f>SOURCE!C439</f>
        <v>Sport</v>
      </c>
      <c r="F449" s="35">
        <f>SOURCE!E439</f>
        <v>40</v>
      </c>
      <c r="G449" s="36"/>
      <c r="H449" s="38" cm="1">
        <f t="array" ref="H449">SUMPRODUCT(Tracking[Amount],--(Tracking[Date]&lt;=Tracking[[#This Row],[Date]]),(Tracking[Type]&lt;&gt;"Income")*(-1)+(Tracking[Type]="Income"))</f>
        <v>9884.5400000000045</v>
      </c>
      <c r="I449" s="42">
        <f>IF(AND(Tracking[[#This Row],[Type]]="Income", shift_late_income_status="Active", DAY(Tracking[[#This Row],[Date]])&gt;=shift_late_income_starting_date), DATE(YEAR(Tracking[[#This Row],[Date]]),MONTH(Tracking[[#This Row],[Date]])+1,1),Tracking[[#This Row],[Date]])</f>
        <v>45994</v>
      </c>
      <c r="J449" s="11">
        <f>MONTH(Tracking[[#This Row],[Date]])</f>
        <v>12</v>
      </c>
      <c r="K449" s="11">
        <f>YEAR(Tracking[[#This Row],[Date]])</f>
        <v>2025</v>
      </c>
    </row>
    <row r="450" spans="3:11" x14ac:dyDescent="0.2">
      <c r="C450" s="34">
        <f>SOURCE!A440</f>
        <v>45994</v>
      </c>
      <c r="D450" s="11" t="s">
        <v>17</v>
      </c>
      <c r="E450" s="11" t="str">
        <f>SOURCE!C440</f>
        <v>Rent Guarantee</v>
      </c>
      <c r="F450" s="35">
        <f>SOURCE!E440</f>
        <v>6240</v>
      </c>
      <c r="G450" s="36"/>
      <c r="H450" s="38" cm="1">
        <f t="array" ref="H450">SUMPRODUCT(Tracking[Amount],--(Tracking[Date]&lt;=Tracking[[#This Row],[Date]]),(Tracking[Type]&lt;&gt;"Income")*(-1)+(Tracking[Type]="Income"))</f>
        <v>9884.5400000000045</v>
      </c>
      <c r="I450" s="42">
        <f>IF(AND(Tracking[[#This Row],[Type]]="Income", shift_late_income_status="Active", DAY(Tracking[[#This Row],[Date]])&gt;=shift_late_income_starting_date), DATE(YEAR(Tracking[[#This Row],[Date]]),MONTH(Tracking[[#This Row],[Date]])+1,1),Tracking[[#This Row],[Date]])</f>
        <v>45994</v>
      </c>
      <c r="J450" s="11">
        <f>MONTH(Tracking[[#This Row],[Date]])</f>
        <v>12</v>
      </c>
      <c r="K450" s="11">
        <f>YEAR(Tracking[[#This Row],[Date]])</f>
        <v>2025</v>
      </c>
    </row>
    <row r="451" spans="3:11" x14ac:dyDescent="0.2">
      <c r="C451" s="34">
        <f>SOURCE!A441</f>
        <v>45995</v>
      </c>
      <c r="D451" s="11" t="str">
        <f>SOURCE!B441</f>
        <v>Expenses</v>
      </c>
      <c r="E451" s="11" t="str">
        <f>SOURCE!C441</f>
        <v>Train</v>
      </c>
      <c r="F451" s="35">
        <f>SOURCE!E441</f>
        <v>4.7</v>
      </c>
      <c r="G451" s="36"/>
      <c r="H451" s="38" cm="1">
        <f t="array" ref="H451">SUMPRODUCT(Tracking[Amount],--(Tracking[Date]&lt;=Tracking[[#This Row],[Date]]),(Tracking[Type]&lt;&gt;"Income")*(-1)+(Tracking[Type]="Income"))</f>
        <v>10375.140000000003</v>
      </c>
      <c r="I451" s="42">
        <f>IF(AND(Tracking[[#This Row],[Type]]="Income", shift_late_income_status="Active", DAY(Tracking[[#This Row],[Date]])&gt;=shift_late_income_starting_date), DATE(YEAR(Tracking[[#This Row],[Date]]),MONTH(Tracking[[#This Row],[Date]])+1,1),Tracking[[#This Row],[Date]])</f>
        <v>45995</v>
      </c>
      <c r="J451" s="11">
        <f>MONTH(Tracking[[#This Row],[Date]])</f>
        <v>12</v>
      </c>
      <c r="K451" s="11">
        <f>YEAR(Tracking[[#This Row],[Date]])</f>
        <v>2025</v>
      </c>
    </row>
    <row r="452" spans="3:11" x14ac:dyDescent="0.2">
      <c r="C452" s="34">
        <f>SOURCE!A442</f>
        <v>45995</v>
      </c>
      <c r="D452" s="11" t="str">
        <f>SOURCE!B442</f>
        <v>Income</v>
      </c>
      <c r="E452" s="11" t="str">
        <f>SOURCE!C442</f>
        <v>Extras / Twint Chargeback</v>
      </c>
      <c r="F452" s="35">
        <f>SOURCE!E442</f>
        <v>500</v>
      </c>
      <c r="G452" s="36"/>
      <c r="H452" s="38" cm="1">
        <f t="array" ref="H452">SUMPRODUCT(Tracking[Amount],--(Tracking[Date]&lt;=Tracking[[#This Row],[Date]]),(Tracking[Type]&lt;&gt;"Income")*(-1)+(Tracking[Type]="Income"))</f>
        <v>10375.140000000003</v>
      </c>
      <c r="I452" s="42">
        <f>IF(AND(Tracking[[#This Row],[Type]]="Income", shift_late_income_status="Active", DAY(Tracking[[#This Row],[Date]])&gt;=shift_late_income_starting_date), DATE(YEAR(Tracking[[#This Row],[Date]]),MONTH(Tracking[[#This Row],[Date]])+1,1),Tracking[[#This Row],[Date]])</f>
        <v>45995</v>
      </c>
      <c r="J452" s="11">
        <f>MONTH(Tracking[[#This Row],[Date]])</f>
        <v>12</v>
      </c>
      <c r="K452" s="11">
        <f>YEAR(Tracking[[#This Row],[Date]])</f>
        <v>2025</v>
      </c>
    </row>
    <row r="453" spans="3:11" x14ac:dyDescent="0.2">
      <c r="C453" s="34">
        <f>SOURCE!A443</f>
        <v>45995</v>
      </c>
      <c r="D453" s="11" t="str">
        <f>SOURCE!B443</f>
        <v>Expenses</v>
      </c>
      <c r="E453" s="11" t="str">
        <f>SOURCE!C443</f>
        <v>Train</v>
      </c>
      <c r="F453" s="35">
        <f>SOURCE!E443</f>
        <v>4.7</v>
      </c>
      <c r="G453" s="36"/>
      <c r="H453" s="38" cm="1">
        <f t="array" ref="H453">SUMPRODUCT(Tracking[Amount],--(Tracking[Date]&lt;=Tracking[[#This Row],[Date]]),(Tracking[Type]&lt;&gt;"Income")*(-1)+(Tracking[Type]="Income"))</f>
        <v>10375.140000000003</v>
      </c>
      <c r="I453" s="42">
        <f>IF(AND(Tracking[[#This Row],[Type]]="Income", shift_late_income_status="Active", DAY(Tracking[[#This Row],[Date]])&gt;=shift_late_income_starting_date), DATE(YEAR(Tracking[[#This Row],[Date]]),MONTH(Tracking[[#This Row],[Date]])+1,1),Tracking[[#This Row],[Date]])</f>
        <v>45995</v>
      </c>
      <c r="J453" s="11">
        <f>MONTH(Tracking[[#This Row],[Date]])</f>
        <v>12</v>
      </c>
      <c r="K453" s="11">
        <f>YEAR(Tracking[[#This Row],[Date]])</f>
        <v>2025</v>
      </c>
    </row>
    <row r="454" spans="3:11" x14ac:dyDescent="0.2">
      <c r="C454" s="34">
        <f>SOURCE!A444</f>
        <v>45996</v>
      </c>
      <c r="D454" s="11" t="str">
        <f>SOURCE!B444</f>
        <v>Expenses</v>
      </c>
      <c r="E454" s="11" t="str">
        <f>SOURCE!C444</f>
        <v>Restaurants</v>
      </c>
      <c r="F454" s="35">
        <f>SOURCE!E444</f>
        <v>150</v>
      </c>
      <c r="G454" s="36"/>
      <c r="H454" s="38" cm="1">
        <f t="array" ref="H454">SUMPRODUCT(Tracking[Amount],--(Tracking[Date]&lt;=Tracking[[#This Row],[Date]]),(Tracking[Type]&lt;&gt;"Income")*(-1)+(Tracking[Type]="Income"))</f>
        <v>10197.940000000002</v>
      </c>
      <c r="I454" s="42">
        <f>IF(AND(Tracking[[#This Row],[Type]]="Income", shift_late_income_status="Active", DAY(Tracking[[#This Row],[Date]])&gt;=shift_late_income_starting_date), DATE(YEAR(Tracking[[#This Row],[Date]]),MONTH(Tracking[[#This Row],[Date]])+1,1),Tracking[[#This Row],[Date]])</f>
        <v>45996</v>
      </c>
      <c r="J454" s="11">
        <f>MONTH(Tracking[[#This Row],[Date]])</f>
        <v>12</v>
      </c>
      <c r="K454" s="11">
        <f>YEAR(Tracking[[#This Row],[Date]])</f>
        <v>2025</v>
      </c>
    </row>
    <row r="455" spans="3:11" x14ac:dyDescent="0.2">
      <c r="C455" s="34">
        <f>SOURCE!A445</f>
        <v>45996</v>
      </c>
      <c r="D455" s="11" t="str">
        <f>SOURCE!B445</f>
        <v>Expenses</v>
      </c>
      <c r="E455" s="11" t="str">
        <f>SOURCE!C445</f>
        <v>Groceries</v>
      </c>
      <c r="F455" s="35">
        <f>SOURCE!E445</f>
        <v>20.95</v>
      </c>
      <c r="G455" s="36"/>
      <c r="H455" s="38" cm="1">
        <f t="array" ref="H455">SUMPRODUCT(Tracking[Amount],--(Tracking[Date]&lt;=Tracking[[#This Row],[Date]]),(Tracking[Type]&lt;&gt;"Income")*(-1)+(Tracking[Type]="Income"))</f>
        <v>10197.940000000002</v>
      </c>
      <c r="I455" s="42">
        <f>IF(AND(Tracking[[#This Row],[Type]]="Income", shift_late_income_status="Active", DAY(Tracking[[#This Row],[Date]])&gt;=shift_late_income_starting_date), DATE(YEAR(Tracking[[#This Row],[Date]]),MONTH(Tracking[[#This Row],[Date]])+1,1),Tracking[[#This Row],[Date]])</f>
        <v>45996</v>
      </c>
      <c r="J455" s="11">
        <f>MONTH(Tracking[[#This Row],[Date]])</f>
        <v>12</v>
      </c>
      <c r="K455" s="11">
        <f>YEAR(Tracking[[#This Row],[Date]])</f>
        <v>2025</v>
      </c>
    </row>
    <row r="456" spans="3:11" x14ac:dyDescent="0.2">
      <c r="C456" s="34">
        <f>SOURCE!A446</f>
        <v>45996</v>
      </c>
      <c r="D456" s="11" t="str">
        <f>SOURCE!B446</f>
        <v>Expenses</v>
      </c>
      <c r="E456" s="11" t="str">
        <f>SOURCE!C446</f>
        <v>Groceries</v>
      </c>
      <c r="F456" s="35">
        <f>SOURCE!E446</f>
        <v>6.25</v>
      </c>
      <c r="G456" s="36"/>
      <c r="H456" s="38" cm="1">
        <f t="array" ref="H456">SUMPRODUCT(Tracking[Amount],--(Tracking[Date]&lt;=Tracking[[#This Row],[Date]]),(Tracking[Type]&lt;&gt;"Income")*(-1)+(Tracking[Type]="Income"))</f>
        <v>10197.940000000002</v>
      </c>
      <c r="I456" s="42">
        <f>IF(AND(Tracking[[#This Row],[Type]]="Income", shift_late_income_status="Active", DAY(Tracking[[#This Row],[Date]])&gt;=shift_late_income_starting_date), DATE(YEAR(Tracking[[#This Row],[Date]]),MONTH(Tracking[[#This Row],[Date]])+1,1),Tracking[[#This Row],[Date]])</f>
        <v>45996</v>
      </c>
      <c r="J456" s="11">
        <f>MONTH(Tracking[[#This Row],[Date]])</f>
        <v>12</v>
      </c>
      <c r="K456" s="11">
        <f>YEAR(Tracking[[#This Row],[Date]])</f>
        <v>2025</v>
      </c>
    </row>
    <row r="457" spans="3:11" x14ac:dyDescent="0.2">
      <c r="C457" s="34">
        <f>SOURCE!A447</f>
        <v>45997</v>
      </c>
      <c r="D457" s="11" t="str">
        <f>SOURCE!B447</f>
        <v>Expenses</v>
      </c>
      <c r="E457" s="11" t="str">
        <f>SOURCE!C447</f>
        <v>Train</v>
      </c>
      <c r="F457" s="35">
        <f>SOURCE!E447</f>
        <v>4.7</v>
      </c>
      <c r="G457" s="36"/>
      <c r="H457" s="38" cm="1">
        <f t="array" ref="H457">SUMPRODUCT(Tracking[Amount],--(Tracking[Date]&lt;=Tracking[[#This Row],[Date]]),(Tracking[Type]&lt;&gt;"Income")*(-1)+(Tracking[Type]="Income"))</f>
        <v>10188.540000000001</v>
      </c>
      <c r="I457" s="42">
        <f>IF(AND(Tracking[[#This Row],[Type]]="Income", shift_late_income_status="Active", DAY(Tracking[[#This Row],[Date]])&gt;=shift_late_income_starting_date), DATE(YEAR(Tracking[[#This Row],[Date]]),MONTH(Tracking[[#This Row],[Date]])+1,1),Tracking[[#This Row],[Date]])</f>
        <v>45997</v>
      </c>
      <c r="J457" s="11">
        <f>MONTH(Tracking[[#This Row],[Date]])</f>
        <v>12</v>
      </c>
      <c r="K457" s="11">
        <f>YEAR(Tracking[[#This Row],[Date]])</f>
        <v>2025</v>
      </c>
    </row>
    <row r="458" spans="3:11" x14ac:dyDescent="0.2">
      <c r="C458" s="34">
        <f>SOURCE!A448</f>
        <v>45997</v>
      </c>
      <c r="D458" s="11" t="str">
        <f>SOURCE!B448</f>
        <v>Expenses</v>
      </c>
      <c r="E458" s="11" t="str">
        <f>SOURCE!C448</f>
        <v>Train</v>
      </c>
      <c r="F458" s="35">
        <f>SOURCE!E448</f>
        <v>4.7</v>
      </c>
      <c r="G458" s="36"/>
      <c r="H458" s="38" cm="1">
        <f t="array" ref="H458">SUMPRODUCT(Tracking[Amount],--(Tracking[Date]&lt;=Tracking[[#This Row],[Date]]),(Tracking[Type]&lt;&gt;"Income")*(-1)+(Tracking[Type]="Income"))</f>
        <v>10188.540000000001</v>
      </c>
      <c r="I458" s="42">
        <f>IF(AND(Tracking[[#This Row],[Type]]="Income", shift_late_income_status="Active", DAY(Tracking[[#This Row],[Date]])&gt;=shift_late_income_starting_date), DATE(YEAR(Tracking[[#This Row],[Date]]),MONTH(Tracking[[#This Row],[Date]])+1,1),Tracking[[#This Row],[Date]])</f>
        <v>45997</v>
      </c>
      <c r="J458" s="11">
        <f>MONTH(Tracking[[#This Row],[Date]])</f>
        <v>12</v>
      </c>
      <c r="K458" s="11">
        <f>YEAR(Tracking[[#This Row],[Date]])</f>
        <v>2025</v>
      </c>
    </row>
    <row r="459" spans="3:11" x14ac:dyDescent="0.2">
      <c r="C459" s="34">
        <f>SOURCE!A449</f>
        <v>45998</v>
      </c>
      <c r="D459" s="11" t="str">
        <f>SOURCE!B449</f>
        <v>Expenses</v>
      </c>
      <c r="E459" s="11" t="str">
        <f>SOURCE!C449</f>
        <v>Internet + Mobile</v>
      </c>
      <c r="F459" s="35">
        <f>SOURCE!E449</f>
        <v>49</v>
      </c>
      <c r="G459" s="36"/>
      <c r="H459" s="38" cm="1">
        <f t="array" ref="H459">SUMPRODUCT(Tracking[Amount],--(Tracking[Date]&lt;=Tracking[[#This Row],[Date]]),(Tracking[Type]&lt;&gt;"Income")*(-1)+(Tracking[Type]="Income"))</f>
        <v>10111.59</v>
      </c>
      <c r="I459" s="42">
        <f>IF(AND(Tracking[[#This Row],[Type]]="Income", shift_late_income_status="Active", DAY(Tracking[[#This Row],[Date]])&gt;=shift_late_income_starting_date), DATE(YEAR(Tracking[[#This Row],[Date]]),MONTH(Tracking[[#This Row],[Date]])+1,1),Tracking[[#This Row],[Date]])</f>
        <v>45998</v>
      </c>
      <c r="J459" s="11">
        <f>MONTH(Tracking[[#This Row],[Date]])</f>
        <v>12</v>
      </c>
      <c r="K459" s="11">
        <f>YEAR(Tracking[[#This Row],[Date]])</f>
        <v>2025</v>
      </c>
    </row>
    <row r="460" spans="3:11" x14ac:dyDescent="0.2">
      <c r="C460" s="34">
        <f>SOURCE!A450</f>
        <v>45998</v>
      </c>
      <c r="D460" s="11" t="str">
        <f>SOURCE!B450</f>
        <v>Expenses</v>
      </c>
      <c r="E460" s="11" t="str">
        <f>SOURCE!C450</f>
        <v>Internet + Mobile</v>
      </c>
      <c r="F460" s="35">
        <f>SOURCE!E450</f>
        <v>27.95</v>
      </c>
      <c r="G460" s="36"/>
      <c r="H460" s="38" cm="1">
        <f t="array" ref="H460">SUMPRODUCT(Tracking[Amount],--(Tracking[Date]&lt;=Tracking[[#This Row],[Date]]),(Tracking[Type]&lt;&gt;"Income")*(-1)+(Tracking[Type]="Income"))</f>
        <v>10111.59</v>
      </c>
      <c r="I460" s="42">
        <f>IF(AND(Tracking[[#This Row],[Type]]="Income", shift_late_income_status="Active", DAY(Tracking[[#This Row],[Date]])&gt;=shift_late_income_starting_date), DATE(YEAR(Tracking[[#This Row],[Date]]),MONTH(Tracking[[#This Row],[Date]])+1,1),Tracking[[#This Row],[Date]])</f>
        <v>45998</v>
      </c>
      <c r="J460" s="11">
        <f>MONTH(Tracking[[#This Row],[Date]])</f>
        <v>12</v>
      </c>
      <c r="K460" s="11">
        <f>YEAR(Tracking[[#This Row],[Date]])</f>
        <v>2025</v>
      </c>
    </row>
    <row r="461" spans="3:11" x14ac:dyDescent="0.2">
      <c r="C461" s="34">
        <f>SOURCE!A451</f>
        <v>45999</v>
      </c>
      <c r="D461" s="11" t="str">
        <f>SOURCE!B451</f>
        <v>Expenses</v>
      </c>
      <c r="E461" s="11" t="str">
        <f>SOURCE!C451</f>
        <v>Restaurants</v>
      </c>
      <c r="F461" s="35">
        <f>SOURCE!E451</f>
        <v>15.5</v>
      </c>
      <c r="G461" s="36"/>
      <c r="H461" s="38" cm="1">
        <f t="array" ref="H461">SUMPRODUCT(Tracking[Amount],--(Tracking[Date]&lt;=Tracking[[#This Row],[Date]]),(Tracking[Type]&lt;&gt;"Income")*(-1)+(Tracking[Type]="Income"))</f>
        <v>10011.689999999999</v>
      </c>
      <c r="I461" s="42">
        <f>IF(AND(Tracking[[#This Row],[Type]]="Income", shift_late_income_status="Active", DAY(Tracking[[#This Row],[Date]])&gt;=shift_late_income_starting_date), DATE(YEAR(Tracking[[#This Row],[Date]]),MONTH(Tracking[[#This Row],[Date]])+1,1),Tracking[[#This Row],[Date]])</f>
        <v>45999</v>
      </c>
      <c r="J461" s="11">
        <f>MONTH(Tracking[[#This Row],[Date]])</f>
        <v>12</v>
      </c>
      <c r="K461" s="11">
        <f>YEAR(Tracking[[#This Row],[Date]])</f>
        <v>2025</v>
      </c>
    </row>
    <row r="462" spans="3:11" x14ac:dyDescent="0.2">
      <c r="C462" s="34">
        <f>SOURCE!A452</f>
        <v>45999</v>
      </c>
      <c r="D462" s="11" t="str">
        <f>SOURCE!B452</f>
        <v>Expenses</v>
      </c>
      <c r="E462" s="11" t="str">
        <f>SOURCE!C452</f>
        <v>Home Furnitures</v>
      </c>
      <c r="F462" s="35">
        <f>SOURCE!E452</f>
        <v>45.95</v>
      </c>
      <c r="G462" s="36"/>
      <c r="H462" s="38" cm="1">
        <f t="array" ref="H462">SUMPRODUCT(Tracking[Amount],--(Tracking[Date]&lt;=Tracking[[#This Row],[Date]]),(Tracking[Type]&lt;&gt;"Income")*(-1)+(Tracking[Type]="Income"))</f>
        <v>10011.689999999999</v>
      </c>
      <c r="I462" s="42">
        <f>IF(AND(Tracking[[#This Row],[Type]]="Income", shift_late_income_status="Active", DAY(Tracking[[#This Row],[Date]])&gt;=shift_late_income_starting_date), DATE(YEAR(Tracking[[#This Row],[Date]]),MONTH(Tracking[[#This Row],[Date]])+1,1),Tracking[[#This Row],[Date]])</f>
        <v>45999</v>
      </c>
      <c r="J462" s="11">
        <f>MONTH(Tracking[[#This Row],[Date]])</f>
        <v>12</v>
      </c>
      <c r="K462" s="11">
        <f>YEAR(Tracking[[#This Row],[Date]])</f>
        <v>2025</v>
      </c>
    </row>
    <row r="463" spans="3:11" x14ac:dyDescent="0.2">
      <c r="C463" s="34">
        <f>SOURCE!A453</f>
        <v>45999</v>
      </c>
      <c r="D463" s="11" t="str">
        <f>SOURCE!B453</f>
        <v>Expenses</v>
      </c>
      <c r="E463" s="11" t="str">
        <f>SOURCE!C453</f>
        <v>Extras</v>
      </c>
      <c r="F463" s="35">
        <f>SOURCE!E453</f>
        <v>17</v>
      </c>
      <c r="G463" s="36"/>
      <c r="H463" s="38" cm="1">
        <f t="array" ref="H463">SUMPRODUCT(Tracking[Amount],--(Tracking[Date]&lt;=Tracking[[#This Row],[Date]]),(Tracking[Type]&lt;&gt;"Income")*(-1)+(Tracking[Type]="Income"))</f>
        <v>10011.689999999999</v>
      </c>
      <c r="I463" s="42">
        <f>IF(AND(Tracking[[#This Row],[Type]]="Income", shift_late_income_status="Active", DAY(Tracking[[#This Row],[Date]])&gt;=shift_late_income_starting_date), DATE(YEAR(Tracking[[#This Row],[Date]]),MONTH(Tracking[[#This Row],[Date]])+1,1),Tracking[[#This Row],[Date]])</f>
        <v>45999</v>
      </c>
      <c r="J463" s="11">
        <f>MONTH(Tracking[[#This Row],[Date]])</f>
        <v>12</v>
      </c>
      <c r="K463" s="11">
        <f>YEAR(Tracking[[#This Row],[Date]])</f>
        <v>2025</v>
      </c>
    </row>
    <row r="464" spans="3:11" x14ac:dyDescent="0.2">
      <c r="C464" s="34">
        <f>SOURCE!A454</f>
        <v>45999</v>
      </c>
      <c r="D464" s="11" t="str">
        <f>SOURCE!B454</f>
        <v>Expenses</v>
      </c>
      <c r="E464" s="11" t="str">
        <f>SOURCE!C454</f>
        <v>Groceries</v>
      </c>
      <c r="F464" s="35">
        <f>SOURCE!E454</f>
        <v>21.45</v>
      </c>
      <c r="G464" s="36"/>
      <c r="H464" s="38" cm="1">
        <f t="array" ref="H464">SUMPRODUCT(Tracking[Amount],--(Tracking[Date]&lt;=Tracking[[#This Row],[Date]]),(Tracking[Type]&lt;&gt;"Income")*(-1)+(Tracking[Type]="Income"))</f>
        <v>10011.689999999999</v>
      </c>
      <c r="I464" s="42">
        <f>IF(AND(Tracking[[#This Row],[Type]]="Income", shift_late_income_status="Active", DAY(Tracking[[#This Row],[Date]])&gt;=shift_late_income_starting_date), DATE(YEAR(Tracking[[#This Row],[Date]]),MONTH(Tracking[[#This Row],[Date]])+1,1),Tracking[[#This Row],[Date]])</f>
        <v>45999</v>
      </c>
      <c r="J464" s="11">
        <f>MONTH(Tracking[[#This Row],[Date]])</f>
        <v>12</v>
      </c>
      <c r="K464" s="11">
        <f>YEAR(Tracking[[#This Row],[Date]])</f>
        <v>2025</v>
      </c>
    </row>
    <row r="465" spans="3:11" x14ac:dyDescent="0.2">
      <c r="C465" s="34">
        <f>SOURCE!A455</f>
        <v>46000</v>
      </c>
      <c r="D465" s="11" t="str">
        <f>SOURCE!B455</f>
        <v>Expenses</v>
      </c>
      <c r="E465" s="11" t="str">
        <f>SOURCE!C455</f>
        <v>Restaurants</v>
      </c>
      <c r="F465" s="35">
        <f>SOURCE!E455</f>
        <v>36</v>
      </c>
      <c r="G465" s="36"/>
      <c r="H465" s="38" cm="1">
        <f t="array" ref="H465">SUMPRODUCT(Tracking[Amount],--(Tracking[Date]&lt;=Tracking[[#This Row],[Date]]),(Tracking[Type]&lt;&gt;"Income")*(-1)+(Tracking[Type]="Income"))</f>
        <v>9968.1899999999987</v>
      </c>
      <c r="I465" s="42">
        <f>IF(AND(Tracking[[#This Row],[Type]]="Income", shift_late_income_status="Active", DAY(Tracking[[#This Row],[Date]])&gt;=shift_late_income_starting_date), DATE(YEAR(Tracking[[#This Row],[Date]]),MONTH(Tracking[[#This Row],[Date]])+1,1),Tracking[[#This Row],[Date]])</f>
        <v>46000</v>
      </c>
      <c r="J465" s="11">
        <f>MONTH(Tracking[[#This Row],[Date]])</f>
        <v>12</v>
      </c>
      <c r="K465" s="11">
        <f>YEAR(Tracking[[#This Row],[Date]])</f>
        <v>2025</v>
      </c>
    </row>
    <row r="466" spans="3:11" x14ac:dyDescent="0.2">
      <c r="C466" s="34">
        <f>SOURCE!A456</f>
        <v>46000</v>
      </c>
      <c r="D466" s="11" t="str">
        <f>SOURCE!B456</f>
        <v>Expenses</v>
      </c>
      <c r="E466" s="11" t="str">
        <f>SOURCE!C456</f>
        <v>Groceries</v>
      </c>
      <c r="F466" s="35">
        <f>SOURCE!E456</f>
        <v>7.5</v>
      </c>
      <c r="G466" s="36"/>
      <c r="H466" s="38" cm="1">
        <f t="array" ref="H466">SUMPRODUCT(Tracking[Amount],--(Tracking[Date]&lt;=Tracking[[#This Row],[Date]]),(Tracking[Type]&lt;&gt;"Income")*(-1)+(Tracking[Type]="Income"))</f>
        <v>9968.1899999999987</v>
      </c>
      <c r="I466" s="42">
        <f>IF(AND(Tracking[[#This Row],[Type]]="Income", shift_late_income_status="Active", DAY(Tracking[[#This Row],[Date]])&gt;=shift_late_income_starting_date), DATE(YEAR(Tracking[[#This Row],[Date]]),MONTH(Tracking[[#This Row],[Date]])+1,1),Tracking[[#This Row],[Date]])</f>
        <v>46000</v>
      </c>
      <c r="J466" s="11">
        <f>MONTH(Tracking[[#This Row],[Date]])</f>
        <v>12</v>
      </c>
      <c r="K466" s="11">
        <f>YEAR(Tracking[[#This Row],[Date]])</f>
        <v>2025</v>
      </c>
    </row>
    <row r="467" spans="3:11" x14ac:dyDescent="0.2">
      <c r="C467" s="34">
        <f>SOURCE!A457</f>
        <v>46001</v>
      </c>
      <c r="D467" s="11" t="str">
        <f>SOURCE!B457</f>
        <v>Expenses</v>
      </c>
      <c r="E467" s="11" t="str">
        <f>SOURCE!C457</f>
        <v>Restaurants</v>
      </c>
      <c r="F467" s="35">
        <f>SOURCE!E457</f>
        <v>7.8</v>
      </c>
      <c r="G467" s="36"/>
      <c r="H467" s="38" cm="1">
        <f t="array" ref="H467">SUMPRODUCT(Tracking[Amount],--(Tracking[Date]&lt;=Tracking[[#This Row],[Date]]),(Tracking[Type]&lt;&gt;"Income")*(-1)+(Tracking[Type]="Income"))</f>
        <v>9913.89</v>
      </c>
      <c r="I467" s="42">
        <f>IF(AND(Tracking[[#This Row],[Type]]="Income", shift_late_income_status="Active", DAY(Tracking[[#This Row],[Date]])&gt;=shift_late_income_starting_date), DATE(YEAR(Tracking[[#This Row],[Date]]),MONTH(Tracking[[#This Row],[Date]])+1,1),Tracking[[#This Row],[Date]])</f>
        <v>46001</v>
      </c>
      <c r="J467" s="11">
        <f>MONTH(Tracking[[#This Row],[Date]])</f>
        <v>12</v>
      </c>
      <c r="K467" s="11">
        <f>YEAR(Tracking[[#This Row],[Date]])</f>
        <v>2025</v>
      </c>
    </row>
    <row r="468" spans="3:11" x14ac:dyDescent="0.2">
      <c r="C468" s="34">
        <f>SOURCE!A458</f>
        <v>46001</v>
      </c>
      <c r="D468" s="11" t="str">
        <f>SOURCE!B458</f>
        <v>Expenses</v>
      </c>
      <c r="E468" s="11" t="str">
        <f>SOURCE!C458</f>
        <v>Restaurants</v>
      </c>
      <c r="F468" s="35">
        <f>SOURCE!E458</f>
        <v>46</v>
      </c>
      <c r="G468" s="36"/>
      <c r="H468" s="38" cm="1">
        <f t="array" ref="H468">SUMPRODUCT(Tracking[Amount],--(Tracking[Date]&lt;=Tracking[[#This Row],[Date]]),(Tracking[Type]&lt;&gt;"Income")*(-1)+(Tracking[Type]="Income"))</f>
        <v>9913.89</v>
      </c>
      <c r="I468" s="42">
        <f>IF(AND(Tracking[[#This Row],[Type]]="Income", shift_late_income_status="Active", DAY(Tracking[[#This Row],[Date]])&gt;=shift_late_income_starting_date), DATE(YEAR(Tracking[[#This Row],[Date]]),MONTH(Tracking[[#This Row],[Date]])+1,1),Tracking[[#This Row],[Date]])</f>
        <v>46001</v>
      </c>
      <c r="J468" s="11">
        <f>MONTH(Tracking[[#This Row],[Date]])</f>
        <v>12</v>
      </c>
      <c r="K468" s="11">
        <f>YEAR(Tracking[[#This Row],[Date]])</f>
        <v>2025</v>
      </c>
    </row>
    <row r="469" spans="3:11" x14ac:dyDescent="0.2">
      <c r="C469" s="34">
        <f>SOURCE!A459</f>
        <v>46001</v>
      </c>
      <c r="D469" s="11" t="str">
        <f>SOURCE!B459</f>
        <v>Expenses</v>
      </c>
      <c r="E469" s="11" t="str">
        <f>SOURCE!C459</f>
        <v>Digital Goods</v>
      </c>
      <c r="F469" s="35">
        <f>SOURCE!E459</f>
        <v>0.5</v>
      </c>
      <c r="G469" s="36"/>
      <c r="H469" s="38" cm="1">
        <f t="array" ref="H469">SUMPRODUCT(Tracking[Amount],--(Tracking[Date]&lt;=Tracking[[#This Row],[Date]]),(Tracking[Type]&lt;&gt;"Income")*(-1)+(Tracking[Type]="Income"))</f>
        <v>9913.89</v>
      </c>
      <c r="I469" s="42">
        <f>IF(AND(Tracking[[#This Row],[Type]]="Income", shift_late_income_status="Active", DAY(Tracking[[#This Row],[Date]])&gt;=shift_late_income_starting_date), DATE(YEAR(Tracking[[#This Row],[Date]]),MONTH(Tracking[[#This Row],[Date]])+1,1),Tracking[[#This Row],[Date]])</f>
        <v>46001</v>
      </c>
      <c r="J469" s="11">
        <f>MONTH(Tracking[[#This Row],[Date]])</f>
        <v>12</v>
      </c>
      <c r="K469" s="11">
        <f>YEAR(Tracking[[#This Row],[Date]])</f>
        <v>2025</v>
      </c>
    </row>
    <row r="470" spans="3:11" x14ac:dyDescent="0.2">
      <c r="C470" s="34">
        <f>SOURCE!A460</f>
        <v>46002</v>
      </c>
      <c r="D470" s="11" t="str">
        <f>SOURCE!B460</f>
        <v>Expenses</v>
      </c>
      <c r="E470" s="11" t="str">
        <f>SOURCE!C460</f>
        <v>Car</v>
      </c>
      <c r="F470" s="35">
        <f>SOURCE!E460</f>
        <v>4.12</v>
      </c>
      <c r="G470" s="36"/>
      <c r="H470" s="38" cm="1">
        <f t="array" ref="H470">SUMPRODUCT(Tracking[Amount],--(Tracking[Date]&lt;=Tracking[[#This Row],[Date]]),(Tracking[Type]&lt;&gt;"Income")*(-1)+(Tracking[Type]="Income"))</f>
        <v>9884.0699999999979</v>
      </c>
      <c r="I470" s="42">
        <f>IF(AND(Tracking[[#This Row],[Type]]="Income", shift_late_income_status="Active", DAY(Tracking[[#This Row],[Date]])&gt;=shift_late_income_starting_date), DATE(YEAR(Tracking[[#This Row],[Date]]),MONTH(Tracking[[#This Row],[Date]])+1,1),Tracking[[#This Row],[Date]])</f>
        <v>46002</v>
      </c>
      <c r="J470" s="11">
        <f>MONTH(Tracking[[#This Row],[Date]])</f>
        <v>12</v>
      </c>
      <c r="K470" s="11">
        <f>YEAR(Tracking[[#This Row],[Date]])</f>
        <v>2025</v>
      </c>
    </row>
    <row r="471" spans="3:11" x14ac:dyDescent="0.2">
      <c r="C471" s="34">
        <f>SOURCE!A461</f>
        <v>46002</v>
      </c>
      <c r="D471" s="11" t="str">
        <f>SOURCE!B461</f>
        <v>Expenses</v>
      </c>
      <c r="E471" s="11" t="str">
        <f>SOURCE!C461</f>
        <v>Train</v>
      </c>
      <c r="F471" s="35">
        <f>SOURCE!E461</f>
        <v>4.7</v>
      </c>
      <c r="G471" s="36"/>
      <c r="H471" s="38" cm="1">
        <f t="array" ref="H471">SUMPRODUCT(Tracking[Amount],--(Tracking[Date]&lt;=Tracking[[#This Row],[Date]]),(Tracking[Type]&lt;&gt;"Income")*(-1)+(Tracking[Type]="Income"))</f>
        <v>9884.0699999999979</v>
      </c>
      <c r="I471" s="42">
        <f>IF(AND(Tracking[[#This Row],[Type]]="Income", shift_late_income_status="Active", DAY(Tracking[[#This Row],[Date]])&gt;=shift_late_income_starting_date), DATE(YEAR(Tracking[[#This Row],[Date]]),MONTH(Tracking[[#This Row],[Date]])+1,1),Tracking[[#This Row],[Date]])</f>
        <v>46002</v>
      </c>
      <c r="J471" s="11">
        <f>MONTH(Tracking[[#This Row],[Date]])</f>
        <v>12</v>
      </c>
      <c r="K471" s="11">
        <f>YEAR(Tracking[[#This Row],[Date]])</f>
        <v>2025</v>
      </c>
    </row>
    <row r="472" spans="3:11" x14ac:dyDescent="0.2">
      <c r="C472" s="34">
        <f>SOURCE!A462</f>
        <v>46002</v>
      </c>
      <c r="D472" s="11" t="str">
        <f>SOURCE!B462</f>
        <v>Expenses</v>
      </c>
      <c r="E472" s="11" t="str">
        <f>SOURCE!C462</f>
        <v>Groceries</v>
      </c>
      <c r="F472" s="35">
        <f>SOURCE!E462</f>
        <v>21</v>
      </c>
      <c r="G472" s="36"/>
      <c r="H472" s="38" cm="1">
        <f t="array" ref="H472">SUMPRODUCT(Tracking[Amount],--(Tracking[Date]&lt;=Tracking[[#This Row],[Date]]),(Tracking[Type]&lt;&gt;"Income")*(-1)+(Tracking[Type]="Income"))</f>
        <v>9884.0699999999979</v>
      </c>
      <c r="I472" s="42">
        <f>IF(AND(Tracking[[#This Row],[Type]]="Income", shift_late_income_status="Active", DAY(Tracking[[#This Row],[Date]])&gt;=shift_late_income_starting_date), DATE(YEAR(Tracking[[#This Row],[Date]]),MONTH(Tracking[[#This Row],[Date]])+1,1),Tracking[[#This Row],[Date]])</f>
        <v>46002</v>
      </c>
      <c r="J472" s="11">
        <f>MONTH(Tracking[[#This Row],[Date]])</f>
        <v>12</v>
      </c>
      <c r="K472" s="11">
        <f>YEAR(Tracking[[#This Row],[Date]])</f>
        <v>2025</v>
      </c>
    </row>
    <row r="473" spans="3:11" x14ac:dyDescent="0.2">
      <c r="C473" s="34">
        <f>SOURCE!A463</f>
        <v>46003</v>
      </c>
      <c r="D473" s="11" t="str">
        <f>SOURCE!B463</f>
        <v>Expenses</v>
      </c>
      <c r="E473" s="11" t="str">
        <f>SOURCE!C463</f>
        <v>Restaurants</v>
      </c>
      <c r="F473" s="35">
        <f>SOURCE!E463</f>
        <v>51.7</v>
      </c>
      <c r="G473" s="36"/>
      <c r="H473" s="38" cm="1">
        <f t="array" ref="H473">SUMPRODUCT(Tracking[Amount],--(Tracking[Date]&lt;=Tracking[[#This Row],[Date]]),(Tracking[Type]&lt;&gt;"Income")*(-1)+(Tracking[Type]="Income"))</f>
        <v>9745.1899999999969</v>
      </c>
      <c r="I473" s="42">
        <f>IF(AND(Tracking[[#This Row],[Type]]="Income", shift_late_income_status="Active", DAY(Tracking[[#This Row],[Date]])&gt;=shift_late_income_starting_date), DATE(YEAR(Tracking[[#This Row],[Date]]),MONTH(Tracking[[#This Row],[Date]])+1,1),Tracking[[#This Row],[Date]])</f>
        <v>46003</v>
      </c>
      <c r="J473" s="11">
        <f>MONTH(Tracking[[#This Row],[Date]])</f>
        <v>12</v>
      </c>
      <c r="K473" s="11">
        <f>YEAR(Tracking[[#This Row],[Date]])</f>
        <v>2025</v>
      </c>
    </row>
    <row r="474" spans="3:11" x14ac:dyDescent="0.2">
      <c r="C474" s="34">
        <f>SOURCE!A464</f>
        <v>46003</v>
      </c>
      <c r="D474" s="11" t="str">
        <f>SOURCE!B464</f>
        <v>Expenses</v>
      </c>
      <c r="E474" s="11" t="str">
        <f>SOURCE!C464</f>
        <v>Groceries</v>
      </c>
      <c r="F474" s="35">
        <f>SOURCE!E464</f>
        <v>8.5</v>
      </c>
      <c r="G474" s="36"/>
      <c r="H474" s="38" cm="1">
        <f t="array" ref="H474">SUMPRODUCT(Tracking[Amount],--(Tracking[Date]&lt;=Tracking[[#This Row],[Date]]),(Tracking[Type]&lt;&gt;"Income")*(-1)+(Tracking[Type]="Income"))</f>
        <v>9745.1899999999969</v>
      </c>
      <c r="I474" s="42">
        <f>IF(AND(Tracking[[#This Row],[Type]]="Income", shift_late_income_status="Active", DAY(Tracking[[#This Row],[Date]])&gt;=shift_late_income_starting_date), DATE(YEAR(Tracking[[#This Row],[Date]]),MONTH(Tracking[[#This Row],[Date]])+1,1),Tracking[[#This Row],[Date]])</f>
        <v>46003</v>
      </c>
      <c r="J474" s="11">
        <f>MONTH(Tracking[[#This Row],[Date]])</f>
        <v>12</v>
      </c>
      <c r="K474" s="11">
        <f>YEAR(Tracking[[#This Row],[Date]])</f>
        <v>2025</v>
      </c>
    </row>
    <row r="475" spans="3:11" x14ac:dyDescent="0.2">
      <c r="C475" s="34">
        <f>SOURCE!A465</f>
        <v>46003</v>
      </c>
      <c r="D475" s="11" t="str">
        <f>SOURCE!B465</f>
        <v>Expenses</v>
      </c>
      <c r="E475" s="11" t="str">
        <f>SOURCE!C465</f>
        <v>Restaurants</v>
      </c>
      <c r="F475" s="35">
        <f>SOURCE!E465</f>
        <v>25</v>
      </c>
      <c r="G475" s="36"/>
      <c r="H475" s="38" cm="1">
        <f t="array" ref="H475">SUMPRODUCT(Tracking[Amount],--(Tracking[Date]&lt;=Tracking[[#This Row],[Date]]),(Tracking[Type]&lt;&gt;"Income")*(-1)+(Tracking[Type]="Income"))</f>
        <v>9745.1899999999969</v>
      </c>
      <c r="I475" s="42">
        <f>IF(AND(Tracking[[#This Row],[Type]]="Income", shift_late_income_status="Active", DAY(Tracking[[#This Row],[Date]])&gt;=shift_late_income_starting_date), DATE(YEAR(Tracking[[#This Row],[Date]]),MONTH(Tracking[[#This Row],[Date]])+1,1),Tracking[[#This Row],[Date]])</f>
        <v>46003</v>
      </c>
      <c r="J475" s="11">
        <f>MONTH(Tracking[[#This Row],[Date]])</f>
        <v>12</v>
      </c>
      <c r="K475" s="11">
        <f>YEAR(Tracking[[#This Row],[Date]])</f>
        <v>2025</v>
      </c>
    </row>
    <row r="476" spans="3:11" x14ac:dyDescent="0.2">
      <c r="C476" s="34">
        <f>SOURCE!A466</f>
        <v>46003</v>
      </c>
      <c r="D476" s="11" t="str">
        <f>SOURCE!B466</f>
        <v>Expenses</v>
      </c>
      <c r="E476" s="11" t="str">
        <f>SOURCE!C466</f>
        <v>Car</v>
      </c>
      <c r="F476" s="35">
        <f>SOURCE!E466</f>
        <v>53.68</v>
      </c>
      <c r="G476" s="36"/>
      <c r="H476" s="38" cm="1">
        <f t="array" ref="H476">SUMPRODUCT(Tracking[Amount],--(Tracking[Date]&lt;=Tracking[[#This Row],[Date]]),(Tracking[Type]&lt;&gt;"Income")*(-1)+(Tracking[Type]="Income"))</f>
        <v>9745.1899999999969</v>
      </c>
      <c r="I476" s="42">
        <f>IF(AND(Tracking[[#This Row],[Type]]="Income", shift_late_income_status="Active", DAY(Tracking[[#This Row],[Date]])&gt;=shift_late_income_starting_date), DATE(YEAR(Tracking[[#This Row],[Date]]),MONTH(Tracking[[#This Row],[Date]])+1,1),Tracking[[#This Row],[Date]])</f>
        <v>46003</v>
      </c>
      <c r="J476" s="11">
        <f>MONTH(Tracking[[#This Row],[Date]])</f>
        <v>12</v>
      </c>
      <c r="K476" s="11">
        <f>YEAR(Tracking[[#This Row],[Date]])</f>
        <v>2025</v>
      </c>
    </row>
    <row r="477" spans="3:11" x14ac:dyDescent="0.2">
      <c r="C477" s="34">
        <f>SOURCE!A467</f>
        <v>46004</v>
      </c>
      <c r="D477" s="11" t="str">
        <f>SOURCE!B467</f>
        <v>Expenses</v>
      </c>
      <c r="E477" s="11" t="str">
        <f>SOURCE!C467</f>
        <v>Restaurants</v>
      </c>
      <c r="F477" s="35">
        <f>SOURCE!E467</f>
        <v>17</v>
      </c>
      <c r="G477" s="36"/>
      <c r="H477" s="38" cm="1">
        <f t="array" ref="H477">SUMPRODUCT(Tracking[Amount],--(Tracking[Date]&lt;=Tracking[[#This Row],[Date]]),(Tracking[Type]&lt;&gt;"Income")*(-1)+(Tracking[Type]="Income"))</f>
        <v>9071.1899999999969</v>
      </c>
      <c r="I477" s="42">
        <f>IF(AND(Tracking[[#This Row],[Type]]="Income", shift_late_income_status="Active", DAY(Tracking[[#This Row],[Date]])&gt;=shift_late_income_starting_date), DATE(YEAR(Tracking[[#This Row],[Date]]),MONTH(Tracking[[#This Row],[Date]])+1,1),Tracking[[#This Row],[Date]])</f>
        <v>46004</v>
      </c>
      <c r="J477" s="11">
        <f>MONTH(Tracking[[#This Row],[Date]])</f>
        <v>12</v>
      </c>
      <c r="K477" s="11">
        <f>YEAR(Tracking[[#This Row],[Date]])</f>
        <v>2025</v>
      </c>
    </row>
    <row r="478" spans="3:11" x14ac:dyDescent="0.2">
      <c r="C478" s="34">
        <f>SOURCE!A468</f>
        <v>46004</v>
      </c>
      <c r="D478" s="11" t="str">
        <f>SOURCE!B468</f>
        <v>Expenses</v>
      </c>
      <c r="E478" s="11" t="str">
        <f>SOURCE!C468</f>
        <v>Home Furnitures</v>
      </c>
      <c r="F478" s="35">
        <f>SOURCE!E468</f>
        <v>650</v>
      </c>
      <c r="G478" s="36"/>
      <c r="H478" s="38" cm="1">
        <f t="array" ref="H478">SUMPRODUCT(Tracking[Amount],--(Tracking[Date]&lt;=Tracking[[#This Row],[Date]]),(Tracking[Type]&lt;&gt;"Income")*(-1)+(Tracking[Type]="Income"))</f>
        <v>9071.1899999999969</v>
      </c>
      <c r="I478" s="42">
        <f>IF(AND(Tracking[[#This Row],[Type]]="Income", shift_late_income_status="Active", DAY(Tracking[[#This Row],[Date]])&gt;=shift_late_income_starting_date), DATE(YEAR(Tracking[[#This Row],[Date]]),MONTH(Tracking[[#This Row],[Date]])+1,1),Tracking[[#This Row],[Date]])</f>
        <v>46004</v>
      </c>
      <c r="J478" s="11">
        <f>MONTH(Tracking[[#This Row],[Date]])</f>
        <v>12</v>
      </c>
      <c r="K478" s="11">
        <f>YEAR(Tracking[[#This Row],[Date]])</f>
        <v>2025</v>
      </c>
    </row>
    <row r="479" spans="3:11" x14ac:dyDescent="0.2">
      <c r="C479" s="34">
        <f>SOURCE!A469</f>
        <v>46004</v>
      </c>
      <c r="D479" s="11" t="str">
        <f>SOURCE!B469</f>
        <v>Expenses</v>
      </c>
      <c r="E479" s="11" t="str">
        <f>SOURCE!C469</f>
        <v>Groceries</v>
      </c>
      <c r="F479" s="35">
        <f>SOURCE!E469</f>
        <v>3</v>
      </c>
      <c r="G479" s="36"/>
      <c r="H479" s="38" cm="1">
        <f t="array" ref="H479">SUMPRODUCT(Tracking[Amount],--(Tracking[Date]&lt;=Tracking[[#This Row],[Date]]),(Tracking[Type]&lt;&gt;"Income")*(-1)+(Tracking[Type]="Income"))</f>
        <v>9071.1899999999969</v>
      </c>
      <c r="I479" s="42">
        <f>IF(AND(Tracking[[#This Row],[Type]]="Income", shift_late_income_status="Active", DAY(Tracking[[#This Row],[Date]])&gt;=shift_late_income_starting_date), DATE(YEAR(Tracking[[#This Row],[Date]]),MONTH(Tracking[[#This Row],[Date]])+1,1),Tracking[[#This Row],[Date]])</f>
        <v>46004</v>
      </c>
      <c r="J479" s="11">
        <f>MONTH(Tracking[[#This Row],[Date]])</f>
        <v>12</v>
      </c>
      <c r="K479" s="11">
        <f>YEAR(Tracking[[#This Row],[Date]])</f>
        <v>2025</v>
      </c>
    </row>
    <row r="480" spans="3:11" x14ac:dyDescent="0.2">
      <c r="C480" s="34">
        <f>SOURCE!A470</f>
        <v>46004</v>
      </c>
      <c r="D480" s="11" t="str">
        <f>SOURCE!B470</f>
        <v>Expenses</v>
      </c>
      <c r="E480" s="11" t="str">
        <f>SOURCE!C470</f>
        <v>Car</v>
      </c>
      <c r="F480" s="35">
        <f>SOURCE!E470</f>
        <v>4</v>
      </c>
      <c r="G480" s="36"/>
      <c r="H480" s="38" cm="1">
        <f t="array" ref="H480">SUMPRODUCT(Tracking[Amount],--(Tracking[Date]&lt;=Tracking[[#This Row],[Date]]),(Tracking[Type]&lt;&gt;"Income")*(-1)+(Tracking[Type]="Income"))</f>
        <v>9071.1899999999969</v>
      </c>
      <c r="I480" s="42">
        <f>IF(AND(Tracking[[#This Row],[Type]]="Income", shift_late_income_status="Active", DAY(Tracking[[#This Row],[Date]])&gt;=shift_late_income_starting_date), DATE(YEAR(Tracking[[#This Row],[Date]]),MONTH(Tracking[[#This Row],[Date]])+1,1),Tracking[[#This Row],[Date]])</f>
        <v>46004</v>
      </c>
      <c r="J480" s="11">
        <f>MONTH(Tracking[[#This Row],[Date]])</f>
        <v>12</v>
      </c>
      <c r="K480" s="11">
        <f>YEAR(Tracking[[#This Row],[Date]])</f>
        <v>2025</v>
      </c>
    </row>
    <row r="481" spans="3:11" x14ac:dyDescent="0.2">
      <c r="C481" s="34">
        <f>SOURCE!A471</f>
        <v>46005</v>
      </c>
      <c r="D481" s="11" t="str">
        <f>SOURCE!B471</f>
        <v>Expenses</v>
      </c>
      <c r="E481" s="11" t="str">
        <f>SOURCE!C471</f>
        <v>Groceries</v>
      </c>
      <c r="F481" s="35">
        <f>SOURCE!E471</f>
        <v>2.8</v>
      </c>
      <c r="G481" s="36"/>
      <c r="H481" s="38" cm="1">
        <f t="array" ref="H481">SUMPRODUCT(Tracking[Amount],--(Tracking[Date]&lt;=Tracking[[#This Row],[Date]]),(Tracking[Type]&lt;&gt;"Income")*(-1)+(Tracking[Type]="Income"))</f>
        <v>9049.8399999999983</v>
      </c>
      <c r="I481" s="42">
        <f>IF(AND(Tracking[[#This Row],[Type]]="Income", shift_late_income_status="Active", DAY(Tracking[[#This Row],[Date]])&gt;=shift_late_income_starting_date), DATE(YEAR(Tracking[[#This Row],[Date]]),MONTH(Tracking[[#This Row],[Date]])+1,1),Tracking[[#This Row],[Date]])</f>
        <v>46005</v>
      </c>
      <c r="J481" s="11">
        <f>MONTH(Tracking[[#This Row],[Date]])</f>
        <v>12</v>
      </c>
      <c r="K481" s="11">
        <f>YEAR(Tracking[[#This Row],[Date]])</f>
        <v>2025</v>
      </c>
    </row>
    <row r="482" spans="3:11" x14ac:dyDescent="0.2">
      <c r="C482" s="34">
        <f>SOURCE!A472</f>
        <v>46005</v>
      </c>
      <c r="D482" s="11" t="str">
        <f>SOURCE!B472</f>
        <v>Expenses</v>
      </c>
      <c r="E482" s="11" t="str">
        <f>SOURCE!C472</f>
        <v>Restaurants</v>
      </c>
      <c r="F482" s="35">
        <f>SOURCE!E472</f>
        <v>14</v>
      </c>
      <c r="G482" s="36"/>
      <c r="H482" s="38" cm="1">
        <f t="array" ref="H482">SUMPRODUCT(Tracking[Amount],--(Tracking[Date]&lt;=Tracking[[#This Row],[Date]]),(Tracking[Type]&lt;&gt;"Income")*(-1)+(Tracking[Type]="Income"))</f>
        <v>9049.8399999999983</v>
      </c>
      <c r="I482" s="42">
        <f>IF(AND(Tracking[[#This Row],[Type]]="Income", shift_late_income_status="Active", DAY(Tracking[[#This Row],[Date]])&gt;=shift_late_income_starting_date), DATE(YEAR(Tracking[[#This Row],[Date]]),MONTH(Tracking[[#This Row],[Date]])+1,1),Tracking[[#This Row],[Date]])</f>
        <v>46005</v>
      </c>
      <c r="J482" s="11">
        <f>MONTH(Tracking[[#This Row],[Date]])</f>
        <v>12</v>
      </c>
      <c r="K482" s="11">
        <f>YEAR(Tracking[[#This Row],[Date]])</f>
        <v>2025</v>
      </c>
    </row>
    <row r="483" spans="3:11" x14ac:dyDescent="0.2">
      <c r="C483" s="34">
        <f>SOURCE!A473</f>
        <v>46005</v>
      </c>
      <c r="D483" s="11" t="str">
        <f>SOURCE!B473</f>
        <v>Expenses</v>
      </c>
      <c r="E483" s="11" t="str">
        <f>SOURCE!C473</f>
        <v>Car</v>
      </c>
      <c r="F483" s="35">
        <f>SOURCE!E473</f>
        <v>4.55</v>
      </c>
      <c r="G483" s="36"/>
      <c r="H483" s="38" cm="1">
        <f t="array" ref="H483">SUMPRODUCT(Tracking[Amount],--(Tracking[Date]&lt;=Tracking[[#This Row],[Date]]),(Tracking[Type]&lt;&gt;"Income")*(-1)+(Tracking[Type]="Income"))</f>
        <v>9049.8399999999983</v>
      </c>
      <c r="I483" s="42">
        <f>IF(AND(Tracking[[#This Row],[Type]]="Income", shift_late_income_status="Active", DAY(Tracking[[#This Row],[Date]])&gt;=shift_late_income_starting_date), DATE(YEAR(Tracking[[#This Row],[Date]]),MONTH(Tracking[[#This Row],[Date]])+1,1),Tracking[[#This Row],[Date]])</f>
        <v>46005</v>
      </c>
      <c r="J483" s="11">
        <f>MONTH(Tracking[[#This Row],[Date]])</f>
        <v>12</v>
      </c>
      <c r="K483" s="11">
        <f>YEAR(Tracking[[#This Row],[Date]])</f>
        <v>2025</v>
      </c>
    </row>
    <row r="484" spans="3:11" x14ac:dyDescent="0.2">
      <c r="C484" s="34">
        <f>SOURCE!A474</f>
        <v>46006</v>
      </c>
      <c r="D484" s="11" t="str">
        <f>SOURCE!B474</f>
        <v>Expenses</v>
      </c>
      <c r="E484" s="11" t="str">
        <f>SOURCE!C474</f>
        <v>Groceries</v>
      </c>
      <c r="F484" s="35">
        <f>SOURCE!E474</f>
        <v>14.95</v>
      </c>
      <c r="G484" s="36"/>
      <c r="H484" s="38" cm="1">
        <f t="array" ref="H484">SUMPRODUCT(Tracking[Amount],--(Tracking[Date]&lt;=Tracking[[#This Row],[Date]]),(Tracking[Type]&lt;&gt;"Income")*(-1)+(Tracking[Type]="Income"))</f>
        <v>8990.3399999999965</v>
      </c>
      <c r="I484" s="42">
        <f>IF(AND(Tracking[[#This Row],[Type]]="Income", shift_late_income_status="Active", DAY(Tracking[[#This Row],[Date]])&gt;=shift_late_income_starting_date), DATE(YEAR(Tracking[[#This Row],[Date]]),MONTH(Tracking[[#This Row],[Date]])+1,1),Tracking[[#This Row],[Date]])</f>
        <v>46006</v>
      </c>
      <c r="J484" s="11">
        <f>MONTH(Tracking[[#This Row],[Date]])</f>
        <v>12</v>
      </c>
      <c r="K484" s="11">
        <f>YEAR(Tracking[[#This Row],[Date]])</f>
        <v>2025</v>
      </c>
    </row>
    <row r="485" spans="3:11" x14ac:dyDescent="0.2">
      <c r="C485" s="34">
        <f>SOURCE!A475</f>
        <v>46006</v>
      </c>
      <c r="D485" s="11" t="str">
        <f>SOURCE!B475</f>
        <v>Expenses</v>
      </c>
      <c r="E485" s="11" t="str">
        <f>SOURCE!C475</f>
        <v>Groceries</v>
      </c>
      <c r="F485" s="35">
        <f>SOURCE!E475</f>
        <v>30.25</v>
      </c>
      <c r="G485" s="36"/>
      <c r="H485" s="38" cm="1">
        <f t="array" ref="H485">SUMPRODUCT(Tracking[Amount],--(Tracking[Date]&lt;=Tracking[[#This Row],[Date]]),(Tracking[Type]&lt;&gt;"Income")*(-1)+(Tracking[Type]="Income"))</f>
        <v>8990.3399999999965</v>
      </c>
      <c r="I485" s="42">
        <f>IF(AND(Tracking[[#This Row],[Type]]="Income", shift_late_income_status="Active", DAY(Tracking[[#This Row],[Date]])&gt;=shift_late_income_starting_date), DATE(YEAR(Tracking[[#This Row],[Date]]),MONTH(Tracking[[#This Row],[Date]])+1,1),Tracking[[#This Row],[Date]])</f>
        <v>46006</v>
      </c>
      <c r="J485" s="11">
        <f>MONTH(Tracking[[#This Row],[Date]])</f>
        <v>12</v>
      </c>
      <c r="K485" s="11">
        <f>YEAR(Tracking[[#This Row],[Date]])</f>
        <v>2025</v>
      </c>
    </row>
    <row r="486" spans="3:11" x14ac:dyDescent="0.2">
      <c r="C486" s="34">
        <f>SOURCE!A476</f>
        <v>46006</v>
      </c>
      <c r="D486" s="11" t="str">
        <f>SOURCE!B476</f>
        <v>Expenses</v>
      </c>
      <c r="E486" s="11" t="str">
        <f>SOURCE!C476</f>
        <v>Train</v>
      </c>
      <c r="F486" s="35">
        <f>SOURCE!E476</f>
        <v>4.7</v>
      </c>
      <c r="G486" s="36"/>
      <c r="H486" s="38" cm="1">
        <f t="array" ref="H486">SUMPRODUCT(Tracking[Amount],--(Tracking[Date]&lt;=Tracking[[#This Row],[Date]]),(Tracking[Type]&lt;&gt;"Income")*(-1)+(Tracking[Type]="Income"))</f>
        <v>8990.3399999999965</v>
      </c>
      <c r="I486" s="42">
        <f>IF(AND(Tracking[[#This Row],[Type]]="Income", shift_late_income_status="Active", DAY(Tracking[[#This Row],[Date]])&gt;=shift_late_income_starting_date), DATE(YEAR(Tracking[[#This Row],[Date]]),MONTH(Tracking[[#This Row],[Date]])+1,1),Tracking[[#This Row],[Date]])</f>
        <v>46006</v>
      </c>
      <c r="J486" s="11">
        <f>MONTH(Tracking[[#This Row],[Date]])</f>
        <v>12</v>
      </c>
      <c r="K486" s="11">
        <f>YEAR(Tracking[[#This Row],[Date]])</f>
        <v>2025</v>
      </c>
    </row>
    <row r="487" spans="3:11" x14ac:dyDescent="0.2">
      <c r="C487" s="34">
        <f>SOURCE!A477</f>
        <v>46006</v>
      </c>
      <c r="D487" s="11" t="str">
        <f>SOURCE!B477</f>
        <v>Expenses</v>
      </c>
      <c r="E487" s="11" t="str">
        <f>SOURCE!C477</f>
        <v>Train</v>
      </c>
      <c r="F487" s="35">
        <f>SOURCE!E477</f>
        <v>9.6</v>
      </c>
      <c r="G487" s="36"/>
      <c r="H487" s="38" cm="1">
        <f t="array" ref="H487">SUMPRODUCT(Tracking[Amount],--(Tracking[Date]&lt;=Tracking[[#This Row],[Date]]),(Tracking[Type]&lt;&gt;"Income")*(-1)+(Tracking[Type]="Income"))</f>
        <v>8990.3399999999965</v>
      </c>
      <c r="I487" s="42">
        <f>IF(AND(Tracking[[#This Row],[Type]]="Income", shift_late_income_status="Active", DAY(Tracking[[#This Row],[Date]])&gt;=shift_late_income_starting_date), DATE(YEAR(Tracking[[#This Row],[Date]]),MONTH(Tracking[[#This Row],[Date]])+1,1),Tracking[[#This Row],[Date]])</f>
        <v>46006</v>
      </c>
      <c r="J487" s="11">
        <f>MONTH(Tracking[[#This Row],[Date]])</f>
        <v>12</v>
      </c>
      <c r="K487" s="11">
        <f>YEAR(Tracking[[#This Row],[Date]])</f>
        <v>2025</v>
      </c>
    </row>
    <row r="488" spans="3:11" x14ac:dyDescent="0.2">
      <c r="C488" s="34">
        <f>SOURCE!A478</f>
        <v>46007</v>
      </c>
      <c r="D488" s="11" t="str">
        <f>SOURCE!B478</f>
        <v>Expenses</v>
      </c>
      <c r="E488" s="11" t="str">
        <f>SOURCE!C478</f>
        <v>Sport</v>
      </c>
      <c r="F488" s="35">
        <f>SOURCE!E478</f>
        <v>18</v>
      </c>
      <c r="G488" s="36"/>
      <c r="H488" s="38" cm="1">
        <f t="array" ref="H488">SUMPRODUCT(Tracking[Amount],--(Tracking[Date]&lt;=Tracking[[#This Row],[Date]]),(Tracking[Type]&lt;&gt;"Income")*(-1)+(Tracking[Type]="Income"))</f>
        <v>8884.5399999999954</v>
      </c>
      <c r="I488" s="42">
        <f>IF(AND(Tracking[[#This Row],[Type]]="Income", shift_late_income_status="Active", DAY(Tracking[[#This Row],[Date]])&gt;=shift_late_income_starting_date), DATE(YEAR(Tracking[[#This Row],[Date]]),MONTH(Tracking[[#This Row],[Date]])+1,1),Tracking[[#This Row],[Date]])</f>
        <v>46007</v>
      </c>
      <c r="J488" s="11">
        <f>MONTH(Tracking[[#This Row],[Date]])</f>
        <v>12</v>
      </c>
      <c r="K488" s="11">
        <f>YEAR(Tracking[[#This Row],[Date]])</f>
        <v>2025</v>
      </c>
    </row>
    <row r="489" spans="3:11" x14ac:dyDescent="0.2">
      <c r="C489" s="34">
        <f>SOURCE!A479</f>
        <v>46007</v>
      </c>
      <c r="D489" s="11" t="str">
        <f>SOURCE!B479</f>
        <v>Income</v>
      </c>
      <c r="E489" s="11" t="str">
        <f>SOURCE!C479</f>
        <v>Extras / Twint Chargeback</v>
      </c>
      <c r="F489" s="35">
        <f>SOURCE!E479</f>
        <v>31</v>
      </c>
      <c r="G489" s="36"/>
      <c r="H489" s="38" cm="1">
        <f t="array" ref="H489">SUMPRODUCT(Tracking[Amount],--(Tracking[Date]&lt;=Tracking[[#This Row],[Date]]),(Tracking[Type]&lt;&gt;"Income")*(-1)+(Tracking[Type]="Income"))</f>
        <v>8884.5399999999954</v>
      </c>
      <c r="I489" s="42">
        <f>IF(AND(Tracking[[#This Row],[Type]]="Income", shift_late_income_status="Active", DAY(Tracking[[#This Row],[Date]])&gt;=shift_late_income_starting_date), DATE(YEAR(Tracking[[#This Row],[Date]]),MONTH(Tracking[[#This Row],[Date]])+1,1),Tracking[[#This Row],[Date]])</f>
        <v>46007</v>
      </c>
      <c r="J489" s="11">
        <f>MONTH(Tracking[[#This Row],[Date]])</f>
        <v>12</v>
      </c>
      <c r="K489" s="11">
        <f>YEAR(Tracking[[#This Row],[Date]])</f>
        <v>2025</v>
      </c>
    </row>
    <row r="490" spans="3:11" x14ac:dyDescent="0.2">
      <c r="C490" s="34">
        <f>SOURCE!A480</f>
        <v>46007</v>
      </c>
      <c r="D490" s="11" t="str">
        <f>SOURCE!B480</f>
        <v>Expenses</v>
      </c>
      <c r="E490" s="11" t="str">
        <f>SOURCE!C480</f>
        <v>Restaurants</v>
      </c>
      <c r="F490" s="35">
        <f>SOURCE!E480</f>
        <v>93</v>
      </c>
      <c r="G490" s="36"/>
      <c r="H490" s="38" cm="1">
        <f t="array" ref="H490">SUMPRODUCT(Tracking[Amount],--(Tracking[Date]&lt;=Tracking[[#This Row],[Date]]),(Tracking[Type]&lt;&gt;"Income")*(-1)+(Tracking[Type]="Income"))</f>
        <v>8884.5399999999954</v>
      </c>
      <c r="I490" s="42">
        <f>IF(AND(Tracking[[#This Row],[Type]]="Income", shift_late_income_status="Active", DAY(Tracking[[#This Row],[Date]])&gt;=shift_late_income_starting_date), DATE(YEAR(Tracking[[#This Row],[Date]]),MONTH(Tracking[[#This Row],[Date]])+1,1),Tracking[[#This Row],[Date]])</f>
        <v>46007</v>
      </c>
      <c r="J490" s="11">
        <f>MONTH(Tracking[[#This Row],[Date]])</f>
        <v>12</v>
      </c>
      <c r="K490" s="11">
        <f>YEAR(Tracking[[#This Row],[Date]])</f>
        <v>2025</v>
      </c>
    </row>
    <row r="491" spans="3:11" x14ac:dyDescent="0.2">
      <c r="C491" s="34">
        <f>SOURCE!A481</f>
        <v>46007</v>
      </c>
      <c r="D491" s="11" t="str">
        <f>SOURCE!B481</f>
        <v>Expenses</v>
      </c>
      <c r="E491" s="11" t="str">
        <f>SOURCE!C481</f>
        <v>Train</v>
      </c>
      <c r="F491" s="35">
        <f>SOURCE!E481</f>
        <v>9.6</v>
      </c>
      <c r="G491" s="36"/>
      <c r="H491" s="38" cm="1">
        <f t="array" ref="H491">SUMPRODUCT(Tracking[Amount],--(Tracking[Date]&lt;=Tracking[[#This Row],[Date]]),(Tracking[Type]&lt;&gt;"Income")*(-1)+(Tracking[Type]="Income"))</f>
        <v>8884.5399999999954</v>
      </c>
      <c r="I491" s="42">
        <f>IF(AND(Tracking[[#This Row],[Type]]="Income", shift_late_income_status="Active", DAY(Tracking[[#This Row],[Date]])&gt;=shift_late_income_starting_date), DATE(YEAR(Tracking[[#This Row],[Date]]),MONTH(Tracking[[#This Row],[Date]])+1,1),Tracking[[#This Row],[Date]])</f>
        <v>46007</v>
      </c>
      <c r="J491" s="11">
        <f>MONTH(Tracking[[#This Row],[Date]])</f>
        <v>12</v>
      </c>
      <c r="K491" s="11">
        <f>YEAR(Tracking[[#This Row],[Date]])</f>
        <v>2025</v>
      </c>
    </row>
    <row r="492" spans="3:11" x14ac:dyDescent="0.2">
      <c r="C492" s="34">
        <f>SOURCE!A482</f>
        <v>46007</v>
      </c>
      <c r="D492" s="11" t="str">
        <f>SOURCE!B482</f>
        <v>Expenses</v>
      </c>
      <c r="E492" s="11" t="str">
        <f>SOURCE!C482</f>
        <v>Restaurants</v>
      </c>
      <c r="F492" s="35">
        <f>SOURCE!E482</f>
        <v>11.5</v>
      </c>
      <c r="G492" s="36"/>
      <c r="H492" s="38" cm="1">
        <f t="array" ref="H492">SUMPRODUCT(Tracking[Amount],--(Tracking[Date]&lt;=Tracking[[#This Row],[Date]]),(Tracking[Type]&lt;&gt;"Income")*(-1)+(Tracking[Type]="Income"))</f>
        <v>8884.5399999999954</v>
      </c>
      <c r="I492" s="42">
        <f>IF(AND(Tracking[[#This Row],[Type]]="Income", shift_late_income_status="Active", DAY(Tracking[[#This Row],[Date]])&gt;=shift_late_income_starting_date), DATE(YEAR(Tracking[[#This Row],[Date]]),MONTH(Tracking[[#This Row],[Date]])+1,1),Tracking[[#This Row],[Date]])</f>
        <v>46007</v>
      </c>
      <c r="J492" s="11">
        <f>MONTH(Tracking[[#This Row],[Date]])</f>
        <v>12</v>
      </c>
      <c r="K492" s="11">
        <f>YEAR(Tracking[[#This Row],[Date]])</f>
        <v>2025</v>
      </c>
    </row>
    <row r="493" spans="3:11" x14ac:dyDescent="0.2">
      <c r="C493" s="34">
        <f>SOURCE!A483</f>
        <v>46007</v>
      </c>
      <c r="D493" s="11" t="str">
        <f>SOURCE!B483</f>
        <v>Expenses</v>
      </c>
      <c r="E493" s="11" t="str">
        <f>SOURCE!C483</f>
        <v>Train</v>
      </c>
      <c r="F493" s="35">
        <f>SOURCE!E483</f>
        <v>4.7</v>
      </c>
      <c r="G493" s="36"/>
      <c r="H493" s="38" cm="1">
        <f t="array" ref="H493">SUMPRODUCT(Tracking[Amount],--(Tracking[Date]&lt;=Tracking[[#This Row],[Date]]),(Tracking[Type]&lt;&gt;"Income")*(-1)+(Tracking[Type]="Income"))</f>
        <v>8884.5399999999954</v>
      </c>
      <c r="I493" s="42">
        <f>IF(AND(Tracking[[#This Row],[Type]]="Income", shift_late_income_status="Active", DAY(Tracking[[#This Row],[Date]])&gt;=shift_late_income_starting_date), DATE(YEAR(Tracking[[#This Row],[Date]]),MONTH(Tracking[[#This Row],[Date]])+1,1),Tracking[[#This Row],[Date]])</f>
        <v>46007</v>
      </c>
      <c r="J493" s="11">
        <f>MONTH(Tracking[[#This Row],[Date]])</f>
        <v>12</v>
      </c>
      <c r="K493" s="11">
        <f>YEAR(Tracking[[#This Row],[Date]])</f>
        <v>2025</v>
      </c>
    </row>
    <row r="494" spans="3:11" x14ac:dyDescent="0.2">
      <c r="C494" s="34">
        <f>SOURCE!A484</f>
        <v>46008</v>
      </c>
      <c r="D494" s="11" t="str">
        <f>SOURCE!B484</f>
        <v>Expenses</v>
      </c>
      <c r="E494" s="11" t="str">
        <f>SOURCE!C484</f>
        <v>Train</v>
      </c>
      <c r="F494" s="35">
        <f>SOURCE!E484</f>
        <v>9</v>
      </c>
      <c r="G494" s="36"/>
      <c r="H494" s="38" cm="1">
        <f t="array" ref="H494">SUMPRODUCT(Tracking[Amount],--(Tracking[Date]&lt;=Tracking[[#This Row],[Date]]),(Tracking[Type]&lt;&gt;"Income")*(-1)+(Tracking[Type]="Income"))</f>
        <v>8780.3399999999947</v>
      </c>
      <c r="I494" s="42">
        <f>IF(AND(Tracking[[#This Row],[Type]]="Income", shift_late_income_status="Active", DAY(Tracking[[#This Row],[Date]])&gt;=shift_late_income_starting_date), DATE(YEAR(Tracking[[#This Row],[Date]]),MONTH(Tracking[[#This Row],[Date]])+1,1),Tracking[[#This Row],[Date]])</f>
        <v>46008</v>
      </c>
      <c r="J494" s="11">
        <f>MONTH(Tracking[[#This Row],[Date]])</f>
        <v>12</v>
      </c>
      <c r="K494" s="11">
        <f>YEAR(Tracking[[#This Row],[Date]])</f>
        <v>2025</v>
      </c>
    </row>
    <row r="495" spans="3:11" x14ac:dyDescent="0.2">
      <c r="C495" s="34">
        <f>SOURCE!A485</f>
        <v>46008</v>
      </c>
      <c r="D495" s="11" t="str">
        <f>SOURCE!B485</f>
        <v>Expenses</v>
      </c>
      <c r="E495" s="11" t="str">
        <f>SOURCE!C485</f>
        <v>Groceries</v>
      </c>
      <c r="F495" s="35">
        <f>SOURCE!E485</f>
        <v>29.45</v>
      </c>
      <c r="G495" s="36"/>
      <c r="H495" s="38" cm="1">
        <f t="array" ref="H495">SUMPRODUCT(Tracking[Amount],--(Tracking[Date]&lt;=Tracking[[#This Row],[Date]]),(Tracking[Type]&lt;&gt;"Income")*(-1)+(Tracking[Type]="Income"))</f>
        <v>8780.3399999999947</v>
      </c>
      <c r="I495" s="42">
        <f>IF(AND(Tracking[[#This Row],[Type]]="Income", shift_late_income_status="Active", DAY(Tracking[[#This Row],[Date]])&gt;=shift_late_income_starting_date), DATE(YEAR(Tracking[[#This Row],[Date]]),MONTH(Tracking[[#This Row],[Date]])+1,1),Tracking[[#This Row],[Date]])</f>
        <v>46008</v>
      </c>
      <c r="J495" s="11">
        <f>MONTH(Tracking[[#This Row],[Date]])</f>
        <v>12</v>
      </c>
      <c r="K495" s="11">
        <f>YEAR(Tracking[[#This Row],[Date]])</f>
        <v>2025</v>
      </c>
    </row>
    <row r="496" spans="3:11" x14ac:dyDescent="0.2">
      <c r="C496" s="34">
        <f>SOURCE!A486</f>
        <v>46008</v>
      </c>
      <c r="D496" s="11" t="str">
        <f>SOURCE!B486</f>
        <v>Expenses</v>
      </c>
      <c r="E496" s="11" t="str">
        <f>SOURCE!C486</f>
        <v>Digital Goods</v>
      </c>
      <c r="F496" s="35">
        <f>SOURCE!E486</f>
        <v>29.95</v>
      </c>
      <c r="G496" s="36"/>
      <c r="H496" s="38" cm="1">
        <f t="array" ref="H496">SUMPRODUCT(Tracking[Amount],--(Tracking[Date]&lt;=Tracking[[#This Row],[Date]]),(Tracking[Type]&lt;&gt;"Income")*(-1)+(Tracking[Type]="Income"))</f>
        <v>8780.3399999999947</v>
      </c>
      <c r="I496" s="42">
        <f>IF(AND(Tracking[[#This Row],[Type]]="Income", shift_late_income_status="Active", DAY(Tracking[[#This Row],[Date]])&gt;=shift_late_income_starting_date), DATE(YEAR(Tracking[[#This Row],[Date]]),MONTH(Tracking[[#This Row],[Date]])+1,1),Tracking[[#This Row],[Date]])</f>
        <v>46008</v>
      </c>
      <c r="J496" s="11">
        <f>MONTH(Tracking[[#This Row],[Date]])</f>
        <v>12</v>
      </c>
      <c r="K496" s="11">
        <f>YEAR(Tracking[[#This Row],[Date]])</f>
        <v>2025</v>
      </c>
    </row>
    <row r="497" spans="3:11" x14ac:dyDescent="0.2">
      <c r="C497" s="34">
        <f>SOURCE!A487</f>
        <v>46008</v>
      </c>
      <c r="D497" s="11" t="str">
        <f>SOURCE!B487</f>
        <v>Expenses</v>
      </c>
      <c r="E497" s="11" t="str">
        <f>SOURCE!C487</f>
        <v>Restaurants</v>
      </c>
      <c r="F497" s="35">
        <f>SOURCE!E487</f>
        <v>23.9</v>
      </c>
      <c r="G497" s="36"/>
      <c r="H497" s="38" cm="1">
        <f t="array" ref="H497">SUMPRODUCT(Tracking[Amount],--(Tracking[Date]&lt;=Tracking[[#This Row],[Date]]),(Tracking[Type]&lt;&gt;"Income")*(-1)+(Tracking[Type]="Income"))</f>
        <v>8780.3399999999947</v>
      </c>
      <c r="I497" s="42">
        <f>IF(AND(Tracking[[#This Row],[Type]]="Income", shift_late_income_status="Active", DAY(Tracking[[#This Row],[Date]])&gt;=shift_late_income_starting_date), DATE(YEAR(Tracking[[#This Row],[Date]]),MONTH(Tracking[[#This Row],[Date]])+1,1),Tracking[[#This Row],[Date]])</f>
        <v>46008</v>
      </c>
      <c r="J497" s="11">
        <f>MONTH(Tracking[[#This Row],[Date]])</f>
        <v>12</v>
      </c>
      <c r="K497" s="11">
        <f>YEAR(Tracking[[#This Row],[Date]])</f>
        <v>2025</v>
      </c>
    </row>
    <row r="498" spans="3:11" x14ac:dyDescent="0.2">
      <c r="C498" s="34">
        <f>SOURCE!A488</f>
        <v>46008</v>
      </c>
      <c r="D498" s="11" t="str">
        <f>SOURCE!B488</f>
        <v>Expenses</v>
      </c>
      <c r="E498" s="11" t="str">
        <f>SOURCE!C488</f>
        <v>Train</v>
      </c>
      <c r="F498" s="35">
        <f>SOURCE!E488</f>
        <v>11.9</v>
      </c>
      <c r="G498" s="36"/>
      <c r="H498" s="38" cm="1">
        <f t="array" ref="H498">SUMPRODUCT(Tracking[Amount],--(Tracking[Date]&lt;=Tracking[[#This Row],[Date]]),(Tracking[Type]&lt;&gt;"Income")*(-1)+(Tracking[Type]="Income"))</f>
        <v>8780.3399999999947</v>
      </c>
      <c r="I498" s="42">
        <f>IF(AND(Tracking[[#This Row],[Type]]="Income", shift_late_income_status="Active", DAY(Tracking[[#This Row],[Date]])&gt;=shift_late_income_starting_date), DATE(YEAR(Tracking[[#This Row],[Date]]),MONTH(Tracking[[#This Row],[Date]])+1,1),Tracking[[#This Row],[Date]])</f>
        <v>46008</v>
      </c>
      <c r="J498" s="11">
        <f>MONTH(Tracking[[#This Row],[Date]])</f>
        <v>12</v>
      </c>
      <c r="K498" s="11">
        <f>YEAR(Tracking[[#This Row],[Date]])</f>
        <v>2025</v>
      </c>
    </row>
    <row r="499" spans="3:11" x14ac:dyDescent="0.2">
      <c r="C499" s="34">
        <f>SOURCE!A489</f>
        <v>46009</v>
      </c>
      <c r="D499" s="11" t="str">
        <f>SOURCE!B489</f>
        <v>Expenses</v>
      </c>
      <c r="E499" s="11" t="str">
        <f>SOURCE!C489</f>
        <v>Digital Goods</v>
      </c>
      <c r="F499" s="35">
        <f>SOURCE!E489</f>
        <v>65</v>
      </c>
      <c r="G499" s="36"/>
      <c r="H499" s="38" cm="1">
        <f t="array" ref="H499">SUMPRODUCT(Tracking[Amount],--(Tracking[Date]&lt;=Tracking[[#This Row],[Date]]),(Tracking[Type]&lt;&gt;"Income")*(-1)+(Tracking[Type]="Income"))</f>
        <v>8685.139999999994</v>
      </c>
      <c r="I499" s="42">
        <f>IF(AND(Tracking[[#This Row],[Type]]="Income", shift_late_income_status="Active", DAY(Tracking[[#This Row],[Date]])&gt;=shift_late_income_starting_date), DATE(YEAR(Tracking[[#This Row],[Date]]),MONTH(Tracking[[#This Row],[Date]])+1,1),Tracking[[#This Row],[Date]])</f>
        <v>46009</v>
      </c>
      <c r="J499" s="11">
        <f>MONTH(Tracking[[#This Row],[Date]])</f>
        <v>12</v>
      </c>
      <c r="K499" s="11">
        <f>YEAR(Tracking[[#This Row],[Date]])</f>
        <v>2025</v>
      </c>
    </row>
    <row r="500" spans="3:11" x14ac:dyDescent="0.2">
      <c r="C500" s="34">
        <f>SOURCE!A490</f>
        <v>46009</v>
      </c>
      <c r="D500" s="11" t="str">
        <f>SOURCE!B490</f>
        <v>Expenses</v>
      </c>
      <c r="E500" s="11" t="str">
        <f>SOURCE!C490</f>
        <v>Restaurants</v>
      </c>
      <c r="F500" s="35">
        <f>SOURCE!E490</f>
        <v>2.9</v>
      </c>
      <c r="G500" s="36"/>
      <c r="H500" s="38" cm="1">
        <f t="array" ref="H500">SUMPRODUCT(Tracking[Amount],--(Tracking[Date]&lt;=Tracking[[#This Row],[Date]]),(Tracking[Type]&lt;&gt;"Income")*(-1)+(Tracking[Type]="Income"))</f>
        <v>8685.139999999994</v>
      </c>
      <c r="I500" s="42">
        <f>IF(AND(Tracking[[#This Row],[Type]]="Income", shift_late_income_status="Active", DAY(Tracking[[#This Row],[Date]])&gt;=shift_late_income_starting_date), DATE(YEAR(Tracking[[#This Row],[Date]]),MONTH(Tracking[[#This Row],[Date]])+1,1),Tracking[[#This Row],[Date]])</f>
        <v>46009</v>
      </c>
      <c r="J500" s="11">
        <f>MONTH(Tracking[[#This Row],[Date]])</f>
        <v>12</v>
      </c>
      <c r="K500" s="11">
        <f>YEAR(Tracking[[#This Row],[Date]])</f>
        <v>2025</v>
      </c>
    </row>
    <row r="501" spans="3:11" x14ac:dyDescent="0.2">
      <c r="C501" s="34">
        <f>SOURCE!A491</f>
        <v>46009</v>
      </c>
      <c r="D501" s="11" t="str">
        <f>SOURCE!B491</f>
        <v>Expenses</v>
      </c>
      <c r="E501" s="11" t="str">
        <f>SOURCE!C491</f>
        <v>Digital Goods</v>
      </c>
      <c r="F501" s="35">
        <f>SOURCE!E491</f>
        <v>5.0999999999999996</v>
      </c>
      <c r="G501" s="36"/>
      <c r="H501" s="38" cm="1">
        <f t="array" ref="H501">SUMPRODUCT(Tracking[Amount],--(Tracking[Date]&lt;=Tracking[[#This Row],[Date]]),(Tracking[Type]&lt;&gt;"Income")*(-1)+(Tracking[Type]="Income"))</f>
        <v>8685.139999999994</v>
      </c>
      <c r="I501" s="42">
        <f>IF(AND(Tracking[[#This Row],[Type]]="Income", shift_late_income_status="Active", DAY(Tracking[[#This Row],[Date]])&gt;=shift_late_income_starting_date), DATE(YEAR(Tracking[[#This Row],[Date]]),MONTH(Tracking[[#This Row],[Date]])+1,1),Tracking[[#This Row],[Date]])</f>
        <v>46009</v>
      </c>
      <c r="J501" s="11">
        <f>MONTH(Tracking[[#This Row],[Date]])</f>
        <v>12</v>
      </c>
      <c r="K501" s="11">
        <f>YEAR(Tracking[[#This Row],[Date]])</f>
        <v>2025</v>
      </c>
    </row>
    <row r="502" spans="3:11" x14ac:dyDescent="0.2">
      <c r="C502" s="34">
        <f>SOURCE!A492</f>
        <v>46009</v>
      </c>
      <c r="D502" s="11" t="str">
        <f>SOURCE!B492</f>
        <v>Expenses</v>
      </c>
      <c r="E502" s="11" t="str">
        <f>SOURCE!C492</f>
        <v>Digital Goods</v>
      </c>
      <c r="F502" s="35">
        <f>SOURCE!E492</f>
        <v>7.35</v>
      </c>
      <c r="G502" s="36"/>
      <c r="H502" s="38" cm="1">
        <f t="array" ref="H502">SUMPRODUCT(Tracking[Amount],--(Tracking[Date]&lt;=Tracking[[#This Row],[Date]]),(Tracking[Type]&lt;&gt;"Income")*(-1)+(Tracking[Type]="Income"))</f>
        <v>8685.139999999994</v>
      </c>
      <c r="I502" s="42">
        <f>IF(AND(Tracking[[#This Row],[Type]]="Income", shift_late_income_status="Active", DAY(Tracking[[#This Row],[Date]])&gt;=shift_late_income_starting_date), DATE(YEAR(Tracking[[#This Row],[Date]]),MONTH(Tracking[[#This Row],[Date]])+1,1),Tracking[[#This Row],[Date]])</f>
        <v>46009</v>
      </c>
      <c r="J502" s="11">
        <f>MONTH(Tracking[[#This Row],[Date]])</f>
        <v>12</v>
      </c>
      <c r="K502" s="11">
        <f>YEAR(Tracking[[#This Row],[Date]])</f>
        <v>2025</v>
      </c>
    </row>
    <row r="503" spans="3:11" x14ac:dyDescent="0.2">
      <c r="C503" s="34">
        <f>SOURCE!A493</f>
        <v>46009</v>
      </c>
      <c r="D503" s="11" t="str">
        <f>SOURCE!B493</f>
        <v>Expenses</v>
      </c>
      <c r="E503" s="11" t="str">
        <f>SOURCE!C493</f>
        <v>Groceries</v>
      </c>
      <c r="F503" s="35">
        <f>SOURCE!E493</f>
        <v>7.5</v>
      </c>
      <c r="G503" s="36"/>
      <c r="H503" s="38" cm="1">
        <f t="array" ref="H503">SUMPRODUCT(Tracking[Amount],--(Tracking[Date]&lt;=Tracking[[#This Row],[Date]]),(Tracking[Type]&lt;&gt;"Income")*(-1)+(Tracking[Type]="Income"))</f>
        <v>8685.139999999994</v>
      </c>
      <c r="I503" s="42">
        <f>IF(AND(Tracking[[#This Row],[Type]]="Income", shift_late_income_status="Active", DAY(Tracking[[#This Row],[Date]])&gt;=shift_late_income_starting_date), DATE(YEAR(Tracking[[#This Row],[Date]]),MONTH(Tracking[[#This Row],[Date]])+1,1),Tracking[[#This Row],[Date]])</f>
        <v>46009</v>
      </c>
      <c r="J503" s="11">
        <f>MONTH(Tracking[[#This Row],[Date]])</f>
        <v>12</v>
      </c>
      <c r="K503" s="11">
        <f>YEAR(Tracking[[#This Row],[Date]])</f>
        <v>2025</v>
      </c>
    </row>
    <row r="504" spans="3:11" x14ac:dyDescent="0.2">
      <c r="C504" s="34">
        <f>SOURCE!A494</f>
        <v>46009</v>
      </c>
      <c r="D504" s="11" t="str">
        <f>SOURCE!B494</f>
        <v>Expenses</v>
      </c>
      <c r="E504" s="11" t="str">
        <f>SOURCE!C494</f>
        <v>Digital Goods</v>
      </c>
      <c r="F504" s="35">
        <f>SOURCE!E494</f>
        <v>7.35</v>
      </c>
      <c r="G504" s="36"/>
      <c r="H504" s="38" cm="1">
        <f t="array" ref="H504">SUMPRODUCT(Tracking[Amount],--(Tracking[Date]&lt;=Tracking[[#This Row],[Date]]),(Tracking[Type]&lt;&gt;"Income")*(-1)+(Tracking[Type]="Income"))</f>
        <v>8685.139999999994</v>
      </c>
      <c r="I504" s="42">
        <f>IF(AND(Tracking[[#This Row],[Type]]="Income", shift_late_income_status="Active", DAY(Tracking[[#This Row],[Date]])&gt;=shift_late_income_starting_date), DATE(YEAR(Tracking[[#This Row],[Date]]),MONTH(Tracking[[#This Row],[Date]])+1,1),Tracking[[#This Row],[Date]])</f>
        <v>46009</v>
      </c>
      <c r="J504" s="11">
        <f>MONTH(Tracking[[#This Row],[Date]])</f>
        <v>12</v>
      </c>
      <c r="K504" s="11">
        <f>YEAR(Tracking[[#This Row],[Date]])</f>
        <v>2025</v>
      </c>
    </row>
    <row r="505" spans="3:11" x14ac:dyDescent="0.2">
      <c r="C505" s="34">
        <f>SOURCE!A495</f>
        <v>46010</v>
      </c>
      <c r="D505" s="11" t="str">
        <f>SOURCE!B495</f>
        <v>Income</v>
      </c>
      <c r="E505" s="11" t="str">
        <f>SOURCE!C495</f>
        <v>Employment</v>
      </c>
      <c r="F505" s="35">
        <f>SOURCE!E495</f>
        <v>8544.25</v>
      </c>
      <c r="G505" s="36"/>
      <c r="H505" s="38" cm="1">
        <f t="array" ref="H505">SUMPRODUCT(Tracking[Amount],--(Tracking[Date]&lt;=Tracking[[#This Row],[Date]]),(Tracking[Type]&lt;&gt;"Income")*(-1)+(Tracking[Type]="Income"))</f>
        <v>17192.889999999992</v>
      </c>
      <c r="I505" s="42">
        <f>IF(AND(Tracking[[#This Row],[Type]]="Income", shift_late_income_status="Active", DAY(Tracking[[#This Row],[Date]])&gt;=shift_late_income_starting_date), DATE(YEAR(Tracking[[#This Row],[Date]]),MONTH(Tracking[[#This Row],[Date]])+1,1),Tracking[[#This Row],[Date]])</f>
        <v>46010</v>
      </c>
      <c r="J505" s="11">
        <f>MONTH(Tracking[[#This Row],[Date]])</f>
        <v>12</v>
      </c>
      <c r="K505" s="11">
        <f>YEAR(Tracking[[#This Row],[Date]])</f>
        <v>2025</v>
      </c>
    </row>
    <row r="506" spans="3:11" x14ac:dyDescent="0.2">
      <c r="C506" s="34">
        <f>SOURCE!A496</f>
        <v>46010</v>
      </c>
      <c r="D506" s="11" t="str">
        <f>SOURCE!B496</f>
        <v>Expenses</v>
      </c>
      <c r="E506" s="11" t="str">
        <f>SOURCE!C496</f>
        <v>Restaurants</v>
      </c>
      <c r="F506" s="35">
        <f>SOURCE!E496</f>
        <v>36.5</v>
      </c>
      <c r="G506" s="36"/>
      <c r="H506" s="38" cm="1">
        <f t="array" ref="H506">SUMPRODUCT(Tracking[Amount],--(Tracking[Date]&lt;=Tracking[[#This Row],[Date]]),(Tracking[Type]&lt;&gt;"Income")*(-1)+(Tracking[Type]="Income"))</f>
        <v>17192.889999999992</v>
      </c>
      <c r="I506" s="42">
        <f>IF(AND(Tracking[[#This Row],[Type]]="Income", shift_late_income_status="Active", DAY(Tracking[[#This Row],[Date]])&gt;=shift_late_income_starting_date), DATE(YEAR(Tracking[[#This Row],[Date]]),MONTH(Tracking[[#This Row],[Date]])+1,1),Tracking[[#This Row],[Date]])</f>
        <v>46010</v>
      </c>
      <c r="J506" s="11">
        <f>MONTH(Tracking[[#This Row],[Date]])</f>
        <v>12</v>
      </c>
      <c r="K506" s="11">
        <f>YEAR(Tracking[[#This Row],[Date]])</f>
        <v>2025</v>
      </c>
    </row>
    <row r="507" spans="3:11" x14ac:dyDescent="0.2">
      <c r="C507" s="34">
        <f>SOURCE!A497</f>
        <v>46011</v>
      </c>
      <c r="D507" s="11" t="str">
        <f>SOURCE!B497</f>
        <v>Expenses</v>
      </c>
      <c r="E507" s="11" t="str">
        <f>SOURCE!C497</f>
        <v>Travel</v>
      </c>
      <c r="F507" s="35">
        <f>SOURCE!E497</f>
        <v>4.99</v>
      </c>
      <c r="G507" s="36"/>
      <c r="H507" s="38" cm="1">
        <f t="array" ref="H507">SUMPRODUCT(Tracking[Amount],--(Tracking[Date]&lt;=Tracking[[#This Row],[Date]]),(Tracking[Type]&lt;&gt;"Income")*(-1)+(Tracking[Type]="Income"))</f>
        <v>16761.099999999991</v>
      </c>
      <c r="I507" s="42">
        <f>IF(AND(Tracking[[#This Row],[Type]]="Income", shift_late_income_status="Active", DAY(Tracking[[#This Row],[Date]])&gt;=shift_late_income_starting_date), DATE(YEAR(Tracking[[#This Row],[Date]]),MONTH(Tracking[[#This Row],[Date]])+1,1),Tracking[[#This Row],[Date]])</f>
        <v>46011</v>
      </c>
      <c r="J507" s="11">
        <f>MONTH(Tracking[[#This Row],[Date]])</f>
        <v>12</v>
      </c>
      <c r="K507" s="11">
        <f>YEAR(Tracking[[#This Row],[Date]])</f>
        <v>2025</v>
      </c>
    </row>
    <row r="508" spans="3:11" x14ac:dyDescent="0.2">
      <c r="C508" s="34">
        <f>SOURCE!A498</f>
        <v>46011</v>
      </c>
      <c r="D508" s="11" t="str">
        <f>SOURCE!B498</f>
        <v>Expenses</v>
      </c>
      <c r="E508" s="11" t="str">
        <f>SOURCE!C498</f>
        <v>Home Furnitures</v>
      </c>
      <c r="F508" s="35">
        <f>SOURCE!E498</f>
        <v>12.95</v>
      </c>
      <c r="G508" s="36"/>
      <c r="H508" s="38" cm="1">
        <f t="array" ref="H508">SUMPRODUCT(Tracking[Amount],--(Tracking[Date]&lt;=Tracking[[#This Row],[Date]]),(Tracking[Type]&lt;&gt;"Income")*(-1)+(Tracking[Type]="Income"))</f>
        <v>16761.099999999991</v>
      </c>
      <c r="I508" s="42">
        <f>IF(AND(Tracking[[#This Row],[Type]]="Income", shift_late_income_status="Active", DAY(Tracking[[#This Row],[Date]])&gt;=shift_late_income_starting_date), DATE(YEAR(Tracking[[#This Row],[Date]]),MONTH(Tracking[[#This Row],[Date]])+1,1),Tracking[[#This Row],[Date]])</f>
        <v>46011</v>
      </c>
      <c r="J508" s="11">
        <f>MONTH(Tracking[[#This Row],[Date]])</f>
        <v>12</v>
      </c>
      <c r="K508" s="11">
        <f>YEAR(Tracking[[#This Row],[Date]])</f>
        <v>2025</v>
      </c>
    </row>
    <row r="509" spans="3:11" x14ac:dyDescent="0.2">
      <c r="C509" s="34">
        <f>SOURCE!A499</f>
        <v>46011</v>
      </c>
      <c r="D509" s="11" t="str">
        <f>SOURCE!B499</f>
        <v>Expenses</v>
      </c>
      <c r="E509" s="11" t="str">
        <f>SOURCE!C499</f>
        <v>Home Furnitures</v>
      </c>
      <c r="F509" s="35">
        <f>SOURCE!E499</f>
        <v>151.4</v>
      </c>
      <c r="G509" s="36"/>
      <c r="H509" s="38" cm="1">
        <f t="array" ref="H509">SUMPRODUCT(Tracking[Amount],--(Tracking[Date]&lt;=Tracking[[#This Row],[Date]]),(Tracking[Type]&lt;&gt;"Income")*(-1)+(Tracking[Type]="Income"))</f>
        <v>16761.099999999991</v>
      </c>
      <c r="I509" s="42">
        <f>IF(AND(Tracking[[#This Row],[Type]]="Income", shift_late_income_status="Active", DAY(Tracking[[#This Row],[Date]])&gt;=shift_late_income_starting_date), DATE(YEAR(Tracking[[#This Row],[Date]]),MONTH(Tracking[[#This Row],[Date]])+1,1),Tracking[[#This Row],[Date]])</f>
        <v>46011</v>
      </c>
      <c r="J509" s="11">
        <f>MONTH(Tracking[[#This Row],[Date]])</f>
        <v>12</v>
      </c>
      <c r="K509" s="11">
        <f>YEAR(Tracking[[#This Row],[Date]])</f>
        <v>2025</v>
      </c>
    </row>
    <row r="510" spans="3:11" x14ac:dyDescent="0.2">
      <c r="C510" s="34">
        <f>SOURCE!A500</f>
        <v>46011</v>
      </c>
      <c r="D510" s="11" t="str">
        <f>SOURCE!B500</f>
        <v>Expenses</v>
      </c>
      <c r="E510" s="11" t="str">
        <f>SOURCE!C500</f>
        <v>Groceries</v>
      </c>
      <c r="F510" s="35">
        <f>SOURCE!E500</f>
        <v>6.5</v>
      </c>
      <c r="G510" s="36"/>
      <c r="H510" s="38" cm="1">
        <f t="array" ref="H510">SUMPRODUCT(Tracking[Amount],--(Tracking[Date]&lt;=Tracking[[#This Row],[Date]]),(Tracking[Type]&lt;&gt;"Income")*(-1)+(Tracking[Type]="Income"))</f>
        <v>16761.099999999991</v>
      </c>
      <c r="I510" s="42">
        <f>IF(AND(Tracking[[#This Row],[Type]]="Income", shift_late_income_status="Active", DAY(Tracking[[#This Row],[Date]])&gt;=shift_late_income_starting_date), DATE(YEAR(Tracking[[#This Row],[Date]]),MONTH(Tracking[[#This Row],[Date]])+1,1),Tracking[[#This Row],[Date]])</f>
        <v>46011</v>
      </c>
      <c r="J510" s="11">
        <f>MONTH(Tracking[[#This Row],[Date]])</f>
        <v>12</v>
      </c>
      <c r="K510" s="11">
        <f>YEAR(Tracking[[#This Row],[Date]])</f>
        <v>2025</v>
      </c>
    </row>
    <row r="511" spans="3:11" x14ac:dyDescent="0.2">
      <c r="C511" s="34">
        <f>SOURCE!A501</f>
        <v>46011</v>
      </c>
      <c r="D511" s="11" t="str">
        <f>SOURCE!B501</f>
        <v>Expenses</v>
      </c>
      <c r="E511" s="11" t="str">
        <f>SOURCE!C501</f>
        <v>Home Furnitures</v>
      </c>
      <c r="F511" s="35">
        <f>SOURCE!E501</f>
        <v>209.85</v>
      </c>
      <c r="G511" s="36"/>
      <c r="H511" s="38" cm="1">
        <f t="array" ref="H511">SUMPRODUCT(Tracking[Amount],--(Tracking[Date]&lt;=Tracking[[#This Row],[Date]]),(Tracking[Type]&lt;&gt;"Income")*(-1)+(Tracking[Type]="Income"))</f>
        <v>16761.099999999991</v>
      </c>
      <c r="I511" s="42">
        <f>IF(AND(Tracking[[#This Row],[Type]]="Income", shift_late_income_status="Active", DAY(Tracking[[#This Row],[Date]])&gt;=shift_late_income_starting_date), DATE(YEAR(Tracking[[#This Row],[Date]]),MONTH(Tracking[[#This Row],[Date]])+1,1),Tracking[[#This Row],[Date]])</f>
        <v>46011</v>
      </c>
      <c r="J511" s="11">
        <f>MONTH(Tracking[[#This Row],[Date]])</f>
        <v>12</v>
      </c>
      <c r="K511" s="11">
        <f>YEAR(Tracking[[#This Row],[Date]])</f>
        <v>2025</v>
      </c>
    </row>
    <row r="512" spans="3:11" x14ac:dyDescent="0.2">
      <c r="C512" s="34">
        <f>SOURCE!A502</f>
        <v>46011</v>
      </c>
      <c r="D512" s="11" t="str">
        <f>SOURCE!B502</f>
        <v>Expenses</v>
      </c>
      <c r="E512" s="11" t="str">
        <f>SOURCE!C502</f>
        <v>Restaurants</v>
      </c>
      <c r="F512" s="35">
        <f>SOURCE!E502</f>
        <v>28</v>
      </c>
      <c r="G512" s="36"/>
      <c r="H512" s="38" cm="1">
        <f t="array" ref="H512">SUMPRODUCT(Tracking[Amount],--(Tracking[Date]&lt;=Tracking[[#This Row],[Date]]),(Tracking[Type]&lt;&gt;"Income")*(-1)+(Tracking[Type]="Income"))</f>
        <v>16761.099999999991</v>
      </c>
      <c r="I512" s="42">
        <f>IF(AND(Tracking[[#This Row],[Type]]="Income", shift_late_income_status="Active", DAY(Tracking[[#This Row],[Date]])&gt;=shift_late_income_starting_date), DATE(YEAR(Tracking[[#This Row],[Date]]),MONTH(Tracking[[#This Row],[Date]])+1,1),Tracking[[#This Row],[Date]])</f>
        <v>46011</v>
      </c>
      <c r="J512" s="11">
        <f>MONTH(Tracking[[#This Row],[Date]])</f>
        <v>12</v>
      </c>
      <c r="K512" s="11">
        <f>YEAR(Tracking[[#This Row],[Date]])</f>
        <v>2025</v>
      </c>
    </row>
    <row r="513" spans="3:11" x14ac:dyDescent="0.2">
      <c r="C513" s="34">
        <f>SOURCE!A503</f>
        <v>46011</v>
      </c>
      <c r="D513" s="11" t="str">
        <f>SOURCE!B503</f>
        <v>Expenses</v>
      </c>
      <c r="E513" s="11" t="str">
        <f>SOURCE!C503</f>
        <v>Restaurants</v>
      </c>
      <c r="F513" s="35">
        <f>SOURCE!E503</f>
        <v>8</v>
      </c>
      <c r="G513" s="36"/>
      <c r="H513" s="38" cm="1">
        <f t="array" ref="H513">SUMPRODUCT(Tracking[Amount],--(Tracking[Date]&lt;=Tracking[[#This Row],[Date]]),(Tracking[Type]&lt;&gt;"Income")*(-1)+(Tracking[Type]="Income"))</f>
        <v>16761.099999999991</v>
      </c>
      <c r="I513" s="42">
        <f>IF(AND(Tracking[[#This Row],[Type]]="Income", shift_late_income_status="Active", DAY(Tracking[[#This Row],[Date]])&gt;=shift_late_income_starting_date), DATE(YEAR(Tracking[[#This Row],[Date]]),MONTH(Tracking[[#This Row],[Date]])+1,1),Tracking[[#This Row],[Date]])</f>
        <v>46011</v>
      </c>
      <c r="J513" s="11">
        <f>MONTH(Tracking[[#This Row],[Date]])</f>
        <v>12</v>
      </c>
      <c r="K513" s="11">
        <f>YEAR(Tracking[[#This Row],[Date]])</f>
        <v>2025</v>
      </c>
    </row>
    <row r="514" spans="3:11" x14ac:dyDescent="0.2">
      <c r="C514" s="34">
        <f>SOURCE!A504</f>
        <v>46011</v>
      </c>
      <c r="D514" s="11" t="str">
        <f>SOURCE!B504</f>
        <v>Expenses</v>
      </c>
      <c r="E514" s="11" t="str">
        <f>SOURCE!C504</f>
        <v>Groceries</v>
      </c>
      <c r="F514" s="35">
        <f>SOURCE!E504</f>
        <v>10.1</v>
      </c>
      <c r="G514" s="36"/>
      <c r="H514" s="38" cm="1">
        <f t="array" ref="H514">SUMPRODUCT(Tracking[Amount],--(Tracking[Date]&lt;=Tracking[[#This Row],[Date]]),(Tracking[Type]&lt;&gt;"Income")*(-1)+(Tracking[Type]="Income"))</f>
        <v>16761.099999999991</v>
      </c>
      <c r="I514" s="42">
        <f>IF(AND(Tracking[[#This Row],[Type]]="Income", shift_late_income_status="Active", DAY(Tracking[[#This Row],[Date]])&gt;=shift_late_income_starting_date), DATE(YEAR(Tracking[[#This Row],[Date]]),MONTH(Tracking[[#This Row],[Date]])+1,1),Tracking[[#This Row],[Date]])</f>
        <v>46011</v>
      </c>
      <c r="J514" s="11">
        <f>MONTH(Tracking[[#This Row],[Date]])</f>
        <v>12</v>
      </c>
      <c r="K514" s="11">
        <f>YEAR(Tracking[[#This Row],[Date]])</f>
        <v>2025</v>
      </c>
    </row>
    <row r="515" spans="3:11" x14ac:dyDescent="0.2">
      <c r="C515" s="34">
        <f>SOURCE!A505</f>
        <v>46012</v>
      </c>
      <c r="D515" s="11" t="str">
        <f>SOURCE!B505</f>
        <v>Expenses</v>
      </c>
      <c r="E515" s="11" t="str">
        <f>SOURCE!C505</f>
        <v>Groceries</v>
      </c>
      <c r="F515" s="35">
        <f>SOURCE!E505</f>
        <v>11.4</v>
      </c>
      <c r="G515" s="36"/>
      <c r="H515" s="38" cm="1">
        <f t="array" ref="H515">SUMPRODUCT(Tracking[Amount],--(Tracking[Date]&lt;=Tracking[[#This Row],[Date]]),(Tracking[Type]&lt;&gt;"Income")*(-1)+(Tracking[Type]="Income"))</f>
        <v>16684.149999999987</v>
      </c>
      <c r="I515" s="42">
        <f>IF(AND(Tracking[[#This Row],[Type]]="Income", shift_late_income_status="Active", DAY(Tracking[[#This Row],[Date]])&gt;=shift_late_income_starting_date), DATE(YEAR(Tracking[[#This Row],[Date]]),MONTH(Tracking[[#This Row],[Date]])+1,1),Tracking[[#This Row],[Date]])</f>
        <v>46012</v>
      </c>
      <c r="J515" s="11">
        <f>MONTH(Tracking[[#This Row],[Date]])</f>
        <v>12</v>
      </c>
      <c r="K515" s="11">
        <f>YEAR(Tracking[[#This Row],[Date]])</f>
        <v>2025</v>
      </c>
    </row>
    <row r="516" spans="3:11" x14ac:dyDescent="0.2">
      <c r="C516" s="34">
        <f>SOURCE!A506</f>
        <v>46012</v>
      </c>
      <c r="D516" s="11" t="str">
        <f>SOURCE!B506</f>
        <v>Expenses</v>
      </c>
      <c r="E516" s="11" t="str">
        <f>SOURCE!C506</f>
        <v>Restaurants</v>
      </c>
      <c r="F516" s="35">
        <f>SOURCE!E506</f>
        <v>15.8</v>
      </c>
      <c r="G516" s="36"/>
      <c r="H516" s="38" cm="1">
        <f t="array" ref="H516">SUMPRODUCT(Tracking[Amount],--(Tracking[Date]&lt;=Tracking[[#This Row],[Date]]),(Tracking[Type]&lt;&gt;"Income")*(-1)+(Tracking[Type]="Income"))</f>
        <v>16684.149999999987</v>
      </c>
      <c r="I516" s="42">
        <f>IF(AND(Tracking[[#This Row],[Type]]="Income", shift_late_income_status="Active", DAY(Tracking[[#This Row],[Date]])&gt;=shift_late_income_starting_date), DATE(YEAR(Tracking[[#This Row],[Date]]),MONTH(Tracking[[#This Row],[Date]])+1,1),Tracking[[#This Row],[Date]])</f>
        <v>46012</v>
      </c>
      <c r="J516" s="11">
        <f>MONTH(Tracking[[#This Row],[Date]])</f>
        <v>12</v>
      </c>
      <c r="K516" s="11">
        <f>YEAR(Tracking[[#This Row],[Date]])</f>
        <v>2025</v>
      </c>
    </row>
    <row r="517" spans="3:11" x14ac:dyDescent="0.2">
      <c r="C517" s="34">
        <f>SOURCE!A507</f>
        <v>46012</v>
      </c>
      <c r="D517" s="11" t="str">
        <f>SOURCE!B507</f>
        <v>Expenses</v>
      </c>
      <c r="E517" s="11" t="str">
        <f>SOURCE!C507</f>
        <v>Train</v>
      </c>
      <c r="F517" s="35">
        <f>SOURCE!E507</f>
        <v>23.8</v>
      </c>
      <c r="G517" s="36"/>
      <c r="H517" s="38" cm="1">
        <f t="array" ref="H517">SUMPRODUCT(Tracking[Amount],--(Tracking[Date]&lt;=Tracking[[#This Row],[Date]]),(Tracking[Type]&lt;&gt;"Income")*(-1)+(Tracking[Type]="Income"))</f>
        <v>16684.149999999987</v>
      </c>
      <c r="I517" s="42">
        <f>IF(AND(Tracking[[#This Row],[Type]]="Income", shift_late_income_status="Active", DAY(Tracking[[#This Row],[Date]])&gt;=shift_late_income_starting_date), DATE(YEAR(Tracking[[#This Row],[Date]]),MONTH(Tracking[[#This Row],[Date]])+1,1),Tracking[[#This Row],[Date]])</f>
        <v>46012</v>
      </c>
      <c r="J517" s="11">
        <f>MONTH(Tracking[[#This Row],[Date]])</f>
        <v>12</v>
      </c>
      <c r="K517" s="11">
        <f>YEAR(Tracking[[#This Row],[Date]])</f>
        <v>2025</v>
      </c>
    </row>
    <row r="518" spans="3:11" x14ac:dyDescent="0.2">
      <c r="C518" s="34">
        <f>SOURCE!A508</f>
        <v>46012</v>
      </c>
      <c r="D518" s="11" t="str">
        <f>SOURCE!B508</f>
        <v>Expenses</v>
      </c>
      <c r="E518" s="11" t="str">
        <f>SOURCE!C508</f>
        <v>Restaurants</v>
      </c>
      <c r="F518" s="35">
        <f>SOURCE!E508</f>
        <v>7.9</v>
      </c>
      <c r="G518" s="36"/>
      <c r="H518" s="38" cm="1">
        <f t="array" ref="H518">SUMPRODUCT(Tracking[Amount],--(Tracking[Date]&lt;=Tracking[[#This Row],[Date]]),(Tracking[Type]&lt;&gt;"Income")*(-1)+(Tracking[Type]="Income"))</f>
        <v>16684.149999999987</v>
      </c>
      <c r="I518" s="42">
        <f>IF(AND(Tracking[[#This Row],[Type]]="Income", shift_late_income_status="Active", DAY(Tracking[[#This Row],[Date]])&gt;=shift_late_income_starting_date), DATE(YEAR(Tracking[[#This Row],[Date]]),MONTH(Tracking[[#This Row],[Date]])+1,1),Tracking[[#This Row],[Date]])</f>
        <v>46012</v>
      </c>
      <c r="J518" s="11">
        <f>MONTH(Tracking[[#This Row],[Date]])</f>
        <v>12</v>
      </c>
      <c r="K518" s="11">
        <f>YEAR(Tracking[[#This Row],[Date]])</f>
        <v>2025</v>
      </c>
    </row>
    <row r="519" spans="3:11" x14ac:dyDescent="0.2">
      <c r="C519" s="34">
        <f>SOURCE!A509</f>
        <v>46012</v>
      </c>
      <c r="D519" s="11" t="str">
        <f>SOURCE!B509</f>
        <v>Expenses</v>
      </c>
      <c r="E519" s="11" t="str">
        <f>SOURCE!C509</f>
        <v>Train</v>
      </c>
      <c r="F519" s="35">
        <f>SOURCE!E509</f>
        <v>11.9</v>
      </c>
      <c r="G519" s="36"/>
      <c r="H519" s="38" cm="1">
        <f t="array" ref="H519">SUMPRODUCT(Tracking[Amount],--(Tracking[Date]&lt;=Tracking[[#This Row],[Date]]),(Tracking[Type]&lt;&gt;"Income")*(-1)+(Tracking[Type]="Income"))</f>
        <v>16684.149999999987</v>
      </c>
      <c r="I519" s="42">
        <f>IF(AND(Tracking[[#This Row],[Type]]="Income", shift_late_income_status="Active", DAY(Tracking[[#This Row],[Date]])&gt;=shift_late_income_starting_date), DATE(YEAR(Tracking[[#This Row],[Date]]),MONTH(Tracking[[#This Row],[Date]])+1,1),Tracking[[#This Row],[Date]])</f>
        <v>46012</v>
      </c>
      <c r="J519" s="11">
        <f>MONTH(Tracking[[#This Row],[Date]])</f>
        <v>12</v>
      </c>
      <c r="K519" s="11">
        <f>YEAR(Tracking[[#This Row],[Date]])</f>
        <v>2025</v>
      </c>
    </row>
    <row r="520" spans="3:11" x14ac:dyDescent="0.2">
      <c r="C520" s="34">
        <f>SOURCE!A510</f>
        <v>46012</v>
      </c>
      <c r="D520" s="11" t="str">
        <f>SOURCE!B510</f>
        <v>Expenses</v>
      </c>
      <c r="E520" s="11" t="str">
        <f>SOURCE!C510</f>
        <v>Groceries</v>
      </c>
      <c r="F520" s="35">
        <f>SOURCE!E510</f>
        <v>6.15</v>
      </c>
      <c r="G520" s="36"/>
      <c r="H520" s="38" cm="1">
        <f t="array" ref="H520">SUMPRODUCT(Tracking[Amount],--(Tracking[Date]&lt;=Tracking[[#This Row],[Date]]),(Tracking[Type]&lt;&gt;"Income")*(-1)+(Tracking[Type]="Income"))</f>
        <v>16684.149999999987</v>
      </c>
      <c r="I520" s="42">
        <f>IF(AND(Tracking[[#This Row],[Type]]="Income", shift_late_income_status="Active", DAY(Tracking[[#This Row],[Date]])&gt;=shift_late_income_starting_date), DATE(YEAR(Tracking[[#This Row],[Date]]),MONTH(Tracking[[#This Row],[Date]])+1,1),Tracking[[#This Row],[Date]])</f>
        <v>46012</v>
      </c>
      <c r="J520" s="11">
        <f>MONTH(Tracking[[#This Row],[Date]])</f>
        <v>12</v>
      </c>
      <c r="K520" s="11">
        <f>YEAR(Tracking[[#This Row],[Date]])</f>
        <v>2025</v>
      </c>
    </row>
    <row r="521" spans="3:11" x14ac:dyDescent="0.2">
      <c r="C521" s="34">
        <f>SOURCE!A511</f>
        <v>46013</v>
      </c>
      <c r="D521" s="11" t="str">
        <f>SOURCE!B511</f>
        <v>Expenses</v>
      </c>
      <c r="E521" s="11" t="str">
        <f>SOURCE!C511</f>
        <v>Car</v>
      </c>
      <c r="F521" s="35">
        <f>SOURCE!E511</f>
        <v>66.12</v>
      </c>
      <c r="G521" s="36"/>
      <c r="H521" s="38" cm="1">
        <f t="array" ref="H521">SUMPRODUCT(Tracking[Amount],--(Tracking[Date]&lt;=Tracking[[#This Row],[Date]]),(Tracking[Type]&lt;&gt;"Income")*(-1)+(Tracking[Type]="Income"))</f>
        <v>16025.679999999988</v>
      </c>
      <c r="I521" s="42">
        <f>IF(AND(Tracking[[#This Row],[Type]]="Income", shift_late_income_status="Active", DAY(Tracking[[#This Row],[Date]])&gt;=shift_late_income_starting_date), DATE(YEAR(Tracking[[#This Row],[Date]]),MONTH(Tracking[[#This Row],[Date]])+1,1),Tracking[[#This Row],[Date]])</f>
        <v>46013</v>
      </c>
      <c r="J521" s="11">
        <f>MONTH(Tracking[[#This Row],[Date]])</f>
        <v>12</v>
      </c>
      <c r="K521" s="11">
        <f>YEAR(Tracking[[#This Row],[Date]])</f>
        <v>2025</v>
      </c>
    </row>
    <row r="522" spans="3:11" x14ac:dyDescent="0.2">
      <c r="C522" s="34">
        <f>SOURCE!A512</f>
        <v>46013</v>
      </c>
      <c r="D522" s="11" t="str">
        <f>SOURCE!B512</f>
        <v>Expenses</v>
      </c>
      <c r="E522" s="11" t="str">
        <f>SOURCE!C512</f>
        <v>Travel</v>
      </c>
      <c r="F522" s="35">
        <f>SOURCE!E512</f>
        <v>190.9</v>
      </c>
      <c r="G522" s="36"/>
      <c r="H522" s="38" cm="1">
        <f t="array" ref="H522">SUMPRODUCT(Tracking[Amount],--(Tracking[Date]&lt;=Tracking[[#This Row],[Date]]),(Tracking[Type]&lt;&gt;"Income")*(-1)+(Tracking[Type]="Income"))</f>
        <v>16025.679999999988</v>
      </c>
      <c r="I522" s="42">
        <f>IF(AND(Tracking[[#This Row],[Type]]="Income", shift_late_income_status="Active", DAY(Tracking[[#This Row],[Date]])&gt;=shift_late_income_starting_date), DATE(YEAR(Tracking[[#This Row],[Date]]),MONTH(Tracking[[#This Row],[Date]])+1,1),Tracking[[#This Row],[Date]])</f>
        <v>46013</v>
      </c>
      <c r="J522" s="11">
        <f>MONTH(Tracking[[#This Row],[Date]])</f>
        <v>12</v>
      </c>
      <c r="K522" s="11">
        <f>YEAR(Tracking[[#This Row],[Date]])</f>
        <v>2025</v>
      </c>
    </row>
    <row r="523" spans="3:11" x14ac:dyDescent="0.2">
      <c r="C523" s="34">
        <f>SOURCE!A513</f>
        <v>46013</v>
      </c>
      <c r="D523" s="11" t="str">
        <f>SOURCE!B513</f>
        <v>Expenses</v>
      </c>
      <c r="E523" s="11" t="str">
        <f>SOURCE!C513</f>
        <v>Groceries</v>
      </c>
      <c r="F523" s="35">
        <f>SOURCE!E513</f>
        <v>8.3000000000000007</v>
      </c>
      <c r="G523" s="36"/>
      <c r="H523" s="38" cm="1">
        <f t="array" ref="H523">SUMPRODUCT(Tracking[Amount],--(Tracking[Date]&lt;=Tracking[[#This Row],[Date]]),(Tracking[Type]&lt;&gt;"Income")*(-1)+(Tracking[Type]="Income"))</f>
        <v>16025.679999999988</v>
      </c>
      <c r="I523" s="42">
        <f>IF(AND(Tracking[[#This Row],[Type]]="Income", shift_late_income_status="Active", DAY(Tracking[[#This Row],[Date]])&gt;=shift_late_income_starting_date), DATE(YEAR(Tracking[[#This Row],[Date]]),MONTH(Tracking[[#This Row],[Date]])+1,1),Tracking[[#This Row],[Date]])</f>
        <v>46013</v>
      </c>
      <c r="J523" s="11">
        <f>MONTH(Tracking[[#This Row],[Date]])</f>
        <v>12</v>
      </c>
      <c r="K523" s="11">
        <f>YEAR(Tracking[[#This Row],[Date]])</f>
        <v>2025</v>
      </c>
    </row>
    <row r="524" spans="3:11" x14ac:dyDescent="0.2">
      <c r="C524" s="34">
        <f>SOURCE!A514</f>
        <v>46013</v>
      </c>
      <c r="D524" s="11" t="str">
        <f>SOURCE!B514</f>
        <v>Expenses</v>
      </c>
      <c r="E524" s="11" t="str">
        <f>SOURCE!C514</f>
        <v>Travel</v>
      </c>
      <c r="F524" s="35">
        <f>SOURCE!E514</f>
        <v>393.15</v>
      </c>
      <c r="G524" s="36"/>
      <c r="H524" s="38" cm="1">
        <f t="array" ref="H524">SUMPRODUCT(Tracking[Amount],--(Tracking[Date]&lt;=Tracking[[#This Row],[Date]]),(Tracking[Type]&lt;&gt;"Income")*(-1)+(Tracking[Type]="Income"))</f>
        <v>16025.679999999988</v>
      </c>
      <c r="I524" s="42">
        <f>IF(AND(Tracking[[#This Row],[Type]]="Income", shift_late_income_status="Active", DAY(Tracking[[#This Row],[Date]])&gt;=shift_late_income_starting_date), DATE(YEAR(Tracking[[#This Row],[Date]]),MONTH(Tracking[[#This Row],[Date]])+1,1),Tracking[[#This Row],[Date]])</f>
        <v>46013</v>
      </c>
      <c r="J524" s="11">
        <f>MONTH(Tracking[[#This Row],[Date]])</f>
        <v>12</v>
      </c>
      <c r="K524" s="11">
        <f>YEAR(Tracking[[#This Row],[Date]])</f>
        <v>2025</v>
      </c>
    </row>
    <row r="525" spans="3:11" x14ac:dyDescent="0.2">
      <c r="C525" s="34">
        <f>SOURCE!A515</f>
        <v>46014</v>
      </c>
      <c r="D525" s="11" t="str">
        <f>SOURCE!B515</f>
        <v>Expenses</v>
      </c>
      <c r="E525" s="11" t="str">
        <f>SOURCE!C515</f>
        <v>Travel</v>
      </c>
      <c r="F525" s="35">
        <f>SOURCE!E515</f>
        <v>299</v>
      </c>
      <c r="G525" s="36"/>
      <c r="H525" s="38" cm="1">
        <f t="array" ref="H525">SUMPRODUCT(Tracking[Amount],--(Tracking[Date]&lt;=Tracking[[#This Row],[Date]]),(Tracking[Type]&lt;&gt;"Income")*(-1)+(Tracking[Type]="Income"))</f>
        <v>15246.139999999987</v>
      </c>
      <c r="I525" s="42">
        <f>IF(AND(Tracking[[#This Row],[Type]]="Income", shift_late_income_status="Active", DAY(Tracking[[#This Row],[Date]])&gt;=shift_late_income_starting_date), DATE(YEAR(Tracking[[#This Row],[Date]]),MONTH(Tracking[[#This Row],[Date]])+1,1),Tracking[[#This Row],[Date]])</f>
        <v>46014</v>
      </c>
      <c r="J525" s="11">
        <f>MONTH(Tracking[[#This Row],[Date]])</f>
        <v>12</v>
      </c>
      <c r="K525" s="11">
        <f>YEAR(Tracking[[#This Row],[Date]])</f>
        <v>2025</v>
      </c>
    </row>
    <row r="526" spans="3:11" x14ac:dyDescent="0.2">
      <c r="C526" s="34">
        <f>SOURCE!A516</f>
        <v>46014</v>
      </c>
      <c r="D526" s="11" t="str">
        <f>SOURCE!B516</f>
        <v>Expenses</v>
      </c>
      <c r="E526" s="11" t="str">
        <f>SOURCE!C516</f>
        <v>Extras</v>
      </c>
      <c r="F526" s="35">
        <f>SOURCE!E516</f>
        <v>27.2</v>
      </c>
      <c r="G526" s="36"/>
      <c r="H526" s="38" cm="1">
        <f t="array" ref="H526">SUMPRODUCT(Tracking[Amount],--(Tracking[Date]&lt;=Tracking[[#This Row],[Date]]),(Tracking[Type]&lt;&gt;"Income")*(-1)+(Tracking[Type]="Income"))</f>
        <v>15246.139999999987</v>
      </c>
      <c r="I526" s="42">
        <f>IF(AND(Tracking[[#This Row],[Type]]="Income", shift_late_income_status="Active", DAY(Tracking[[#This Row],[Date]])&gt;=shift_late_income_starting_date), DATE(YEAR(Tracking[[#This Row],[Date]]),MONTH(Tracking[[#This Row],[Date]])+1,1),Tracking[[#This Row],[Date]])</f>
        <v>46014</v>
      </c>
      <c r="J526" s="11">
        <f>MONTH(Tracking[[#This Row],[Date]])</f>
        <v>12</v>
      </c>
      <c r="K526" s="11">
        <f>YEAR(Tracking[[#This Row],[Date]])</f>
        <v>2025</v>
      </c>
    </row>
    <row r="527" spans="3:11" x14ac:dyDescent="0.2">
      <c r="C527" s="34">
        <f>SOURCE!A517</f>
        <v>46014</v>
      </c>
      <c r="D527" s="11" t="str">
        <f>SOURCE!B517</f>
        <v>Expenses</v>
      </c>
      <c r="E527" s="11" t="str">
        <f>SOURCE!C517</f>
        <v>Travel</v>
      </c>
      <c r="F527" s="35">
        <f>SOURCE!E517</f>
        <v>453.34</v>
      </c>
      <c r="G527" s="36"/>
      <c r="H527" s="38" cm="1">
        <f t="array" ref="H527">SUMPRODUCT(Tracking[Amount],--(Tracking[Date]&lt;=Tracking[[#This Row],[Date]]),(Tracking[Type]&lt;&gt;"Income")*(-1)+(Tracking[Type]="Income"))</f>
        <v>15246.139999999987</v>
      </c>
      <c r="I527" s="42">
        <f>IF(AND(Tracking[[#This Row],[Type]]="Income", shift_late_income_status="Active", DAY(Tracking[[#This Row],[Date]])&gt;=shift_late_income_starting_date), DATE(YEAR(Tracking[[#This Row],[Date]]),MONTH(Tracking[[#This Row],[Date]])+1,1),Tracking[[#This Row],[Date]])</f>
        <v>46014</v>
      </c>
      <c r="J527" s="11">
        <f>MONTH(Tracking[[#This Row],[Date]])</f>
        <v>12</v>
      </c>
      <c r="K527" s="11">
        <f>YEAR(Tracking[[#This Row],[Date]])</f>
        <v>2025</v>
      </c>
    </row>
    <row r="528" spans="3:11" x14ac:dyDescent="0.2">
      <c r="C528" s="34">
        <f>SOURCE!A518</f>
        <v>46015</v>
      </c>
      <c r="D528" s="11" t="str">
        <f>SOURCE!B518</f>
        <v>Expenses</v>
      </c>
      <c r="E528" s="11" t="str">
        <f>SOURCE!C518</f>
        <v>Home Furnitures</v>
      </c>
      <c r="F528" s="35">
        <f>SOURCE!E518</f>
        <v>25.9</v>
      </c>
      <c r="G528" s="36"/>
      <c r="H528" s="38" cm="1">
        <f t="array" ref="H528">SUMPRODUCT(Tracking[Amount],--(Tracking[Date]&lt;=Tracking[[#This Row],[Date]]),(Tracking[Type]&lt;&gt;"Income")*(-1)+(Tracking[Type]="Income"))</f>
        <v>14805.839999999987</v>
      </c>
      <c r="I528" s="42">
        <f>IF(AND(Tracking[[#This Row],[Type]]="Income", shift_late_income_status="Active", DAY(Tracking[[#This Row],[Date]])&gt;=shift_late_income_starting_date), DATE(YEAR(Tracking[[#This Row],[Date]]),MONTH(Tracking[[#This Row],[Date]])+1,1),Tracking[[#This Row],[Date]])</f>
        <v>46015</v>
      </c>
      <c r="J528" s="11">
        <f>MONTH(Tracking[[#This Row],[Date]])</f>
        <v>12</v>
      </c>
      <c r="K528" s="11">
        <f>YEAR(Tracking[[#This Row],[Date]])</f>
        <v>2025</v>
      </c>
    </row>
    <row r="529" spans="3:11" x14ac:dyDescent="0.2">
      <c r="C529" s="34">
        <f>SOURCE!A519</f>
        <v>46015</v>
      </c>
      <c r="D529" s="11" t="str">
        <f>SOURCE!B519</f>
        <v>Expenses</v>
      </c>
      <c r="E529" s="11" t="str">
        <f>SOURCE!C519</f>
        <v>Home Furnitures</v>
      </c>
      <c r="F529" s="35">
        <f>SOURCE!E519</f>
        <v>99.6</v>
      </c>
      <c r="G529" s="36"/>
      <c r="H529" s="38" cm="1">
        <f t="array" ref="H529">SUMPRODUCT(Tracking[Amount],--(Tracking[Date]&lt;=Tracking[[#This Row],[Date]]),(Tracking[Type]&lt;&gt;"Income")*(-1)+(Tracking[Type]="Income"))</f>
        <v>14805.839999999987</v>
      </c>
      <c r="I529" s="42">
        <f>IF(AND(Tracking[[#This Row],[Type]]="Income", shift_late_income_status="Active", DAY(Tracking[[#This Row],[Date]])&gt;=shift_late_income_starting_date), DATE(YEAR(Tracking[[#This Row],[Date]]),MONTH(Tracking[[#This Row],[Date]])+1,1),Tracking[[#This Row],[Date]])</f>
        <v>46015</v>
      </c>
      <c r="J529" s="11">
        <f>MONTH(Tracking[[#This Row],[Date]])</f>
        <v>12</v>
      </c>
      <c r="K529" s="11">
        <f>YEAR(Tracking[[#This Row],[Date]])</f>
        <v>2025</v>
      </c>
    </row>
    <row r="530" spans="3:11" x14ac:dyDescent="0.2">
      <c r="C530" s="34">
        <f>SOURCE!A520</f>
        <v>46015</v>
      </c>
      <c r="D530" s="11" t="str">
        <f>SOURCE!B520</f>
        <v>Expenses</v>
      </c>
      <c r="E530" s="11" t="str">
        <f>SOURCE!C520</f>
        <v>Extras</v>
      </c>
      <c r="F530" s="35">
        <f>SOURCE!E520</f>
        <v>314.8</v>
      </c>
      <c r="G530" s="36"/>
      <c r="H530" s="38" cm="1">
        <f t="array" ref="H530">SUMPRODUCT(Tracking[Amount],--(Tracking[Date]&lt;=Tracking[[#This Row],[Date]]),(Tracking[Type]&lt;&gt;"Income")*(-1)+(Tracking[Type]="Income"))</f>
        <v>14805.839999999987</v>
      </c>
      <c r="I530" s="42">
        <f>IF(AND(Tracking[[#This Row],[Type]]="Income", shift_late_income_status="Active", DAY(Tracking[[#This Row],[Date]])&gt;=shift_late_income_starting_date), DATE(YEAR(Tracking[[#This Row],[Date]]),MONTH(Tracking[[#This Row],[Date]])+1,1),Tracking[[#This Row],[Date]])</f>
        <v>46015</v>
      </c>
      <c r="J530" s="11">
        <f>MONTH(Tracking[[#This Row],[Date]])</f>
        <v>12</v>
      </c>
      <c r="K530" s="11">
        <f>YEAR(Tracking[[#This Row],[Date]])</f>
        <v>2025</v>
      </c>
    </row>
    <row r="531" spans="3:11" x14ac:dyDescent="0.2">
      <c r="C531" s="34">
        <f>SOURCE!A521</f>
        <v>46016</v>
      </c>
      <c r="D531" s="11" t="str">
        <f>SOURCE!B521</f>
        <v>Expenses</v>
      </c>
      <c r="E531" s="11" t="str">
        <f>SOURCE!C521</f>
        <v>Train</v>
      </c>
      <c r="F531" s="35">
        <f>SOURCE!E521</f>
        <v>8</v>
      </c>
      <c r="G531" s="36"/>
      <c r="H531" s="38" cm="1">
        <f t="array" ref="H531">SUMPRODUCT(Tracking[Amount],--(Tracking[Date]&lt;=Tracking[[#This Row],[Date]]),(Tracking[Type]&lt;&gt;"Income")*(-1)+(Tracking[Type]="Income"))</f>
        <v>14797.839999999987</v>
      </c>
      <c r="I531" s="42">
        <f>IF(AND(Tracking[[#This Row],[Type]]="Income", shift_late_income_status="Active", DAY(Tracking[[#This Row],[Date]])&gt;=shift_late_income_starting_date), DATE(YEAR(Tracking[[#This Row],[Date]]),MONTH(Tracking[[#This Row],[Date]])+1,1),Tracking[[#This Row],[Date]])</f>
        <v>46016</v>
      </c>
      <c r="J531" s="11">
        <f>MONTH(Tracking[[#This Row],[Date]])</f>
        <v>12</v>
      </c>
      <c r="K531" s="11">
        <f>YEAR(Tracking[[#This Row],[Date]])</f>
        <v>2025</v>
      </c>
    </row>
    <row r="532" spans="3:11" x14ac:dyDescent="0.2">
      <c r="C532" s="34">
        <f>SOURCE!A522</f>
        <v>46018</v>
      </c>
      <c r="D532" s="11" t="str">
        <f>SOURCE!B522</f>
        <v>Expenses</v>
      </c>
      <c r="E532" s="11" t="str">
        <f>SOURCE!C522</f>
        <v>Travel</v>
      </c>
      <c r="F532" s="35">
        <f>SOURCE!E522</f>
        <v>70</v>
      </c>
      <c r="G532" s="36"/>
      <c r="H532" s="38" cm="1">
        <f t="array" ref="H532">SUMPRODUCT(Tracking[Amount],--(Tracking[Date]&lt;=Tracking[[#This Row],[Date]]),(Tracking[Type]&lt;&gt;"Income")*(-1)+(Tracking[Type]="Income"))</f>
        <v>14673.839999999987</v>
      </c>
      <c r="I532" s="42">
        <f>IF(AND(Tracking[[#This Row],[Type]]="Income", shift_late_income_status="Active", DAY(Tracking[[#This Row],[Date]])&gt;=shift_late_income_starting_date), DATE(YEAR(Tracking[[#This Row],[Date]]),MONTH(Tracking[[#This Row],[Date]])+1,1),Tracking[[#This Row],[Date]])</f>
        <v>46018</v>
      </c>
      <c r="J532" s="11">
        <f>MONTH(Tracking[[#This Row],[Date]])</f>
        <v>12</v>
      </c>
      <c r="K532" s="11">
        <f>YEAR(Tracking[[#This Row],[Date]])</f>
        <v>2025</v>
      </c>
    </row>
    <row r="533" spans="3:11" x14ac:dyDescent="0.2">
      <c r="C533" s="34">
        <f>SOURCE!A523</f>
        <v>46018</v>
      </c>
      <c r="D533" s="11" t="str">
        <f>SOURCE!B523</f>
        <v>Expenses</v>
      </c>
      <c r="E533" s="11" t="str">
        <f>SOURCE!C523</f>
        <v>Travel</v>
      </c>
      <c r="F533" s="35">
        <f>SOURCE!E523</f>
        <v>54</v>
      </c>
      <c r="G533" s="36"/>
      <c r="H533" s="38" cm="1">
        <f t="array" ref="H533">SUMPRODUCT(Tracking[Amount],--(Tracking[Date]&lt;=Tracking[[#This Row],[Date]]),(Tracking[Type]&lt;&gt;"Income")*(-1)+(Tracking[Type]="Income"))</f>
        <v>14673.839999999987</v>
      </c>
      <c r="I533" s="42">
        <f>IF(AND(Tracking[[#This Row],[Type]]="Income", shift_late_income_status="Active", DAY(Tracking[[#This Row],[Date]])&gt;=shift_late_income_starting_date), DATE(YEAR(Tracking[[#This Row],[Date]]),MONTH(Tracking[[#This Row],[Date]])+1,1),Tracking[[#This Row],[Date]])</f>
        <v>46018</v>
      </c>
      <c r="J533" s="11">
        <f>MONTH(Tracking[[#This Row],[Date]])</f>
        <v>12</v>
      </c>
      <c r="K533" s="11">
        <f>YEAR(Tracking[[#This Row],[Date]])</f>
        <v>2025</v>
      </c>
    </row>
    <row r="534" spans="3:11" x14ac:dyDescent="0.2">
      <c r="C534" s="34">
        <f>SOURCE!A524</f>
        <v>46019</v>
      </c>
      <c r="D534" s="11" t="str">
        <f>SOURCE!B524</f>
        <v>Expenses</v>
      </c>
      <c r="E534" s="11" t="str">
        <f>SOURCE!C524</f>
        <v>Clothing</v>
      </c>
      <c r="F534" s="35">
        <f>SOURCE!E524</f>
        <v>39.99</v>
      </c>
      <c r="G534" s="36"/>
      <c r="H534" s="38" cm="1">
        <f t="array" ref="H534">SUMPRODUCT(Tracking[Amount],--(Tracking[Date]&lt;=Tracking[[#This Row],[Date]]),(Tracking[Type]&lt;&gt;"Income")*(-1)+(Tracking[Type]="Income"))</f>
        <v>14513.849999999988</v>
      </c>
      <c r="I534" s="42">
        <f>IF(AND(Tracking[[#This Row],[Type]]="Income", shift_late_income_status="Active", DAY(Tracking[[#This Row],[Date]])&gt;=shift_late_income_starting_date), DATE(YEAR(Tracking[[#This Row],[Date]]),MONTH(Tracking[[#This Row],[Date]])+1,1),Tracking[[#This Row],[Date]])</f>
        <v>46019</v>
      </c>
      <c r="J534" s="11">
        <f>MONTH(Tracking[[#This Row],[Date]])</f>
        <v>12</v>
      </c>
      <c r="K534" s="11">
        <f>YEAR(Tracking[[#This Row],[Date]])</f>
        <v>2025</v>
      </c>
    </row>
    <row r="535" spans="3:11" x14ac:dyDescent="0.2">
      <c r="C535" s="34">
        <f>SOURCE!A525</f>
        <v>46019</v>
      </c>
      <c r="D535" s="11" t="str">
        <f>SOURCE!B525</f>
        <v>Expenses</v>
      </c>
      <c r="E535" s="11" t="str">
        <f>SOURCE!C525</f>
        <v>Travel</v>
      </c>
      <c r="F535" s="35">
        <f>SOURCE!E525</f>
        <v>50</v>
      </c>
      <c r="G535" s="36"/>
      <c r="H535" s="38" cm="1">
        <f t="array" ref="H535">SUMPRODUCT(Tracking[Amount],--(Tracking[Date]&lt;=Tracking[[#This Row],[Date]]),(Tracking[Type]&lt;&gt;"Income")*(-1)+(Tracking[Type]="Income"))</f>
        <v>14513.849999999988</v>
      </c>
      <c r="I535" s="42">
        <f>IF(AND(Tracking[[#This Row],[Type]]="Income", shift_late_income_status="Active", DAY(Tracking[[#This Row],[Date]])&gt;=shift_late_income_starting_date), DATE(YEAR(Tracking[[#This Row],[Date]]),MONTH(Tracking[[#This Row],[Date]])+1,1),Tracking[[#This Row],[Date]])</f>
        <v>46019</v>
      </c>
      <c r="J535" s="11">
        <f>MONTH(Tracking[[#This Row],[Date]])</f>
        <v>12</v>
      </c>
      <c r="K535" s="11">
        <f>YEAR(Tracking[[#This Row],[Date]])</f>
        <v>2025</v>
      </c>
    </row>
    <row r="536" spans="3:11" x14ac:dyDescent="0.2">
      <c r="C536" s="34">
        <f>SOURCE!A526</f>
        <v>46019</v>
      </c>
      <c r="D536" s="11" t="str">
        <f>SOURCE!B526</f>
        <v>Expenses</v>
      </c>
      <c r="E536" s="11" t="str">
        <f>SOURCE!C526</f>
        <v>Travel</v>
      </c>
      <c r="F536" s="35">
        <f>SOURCE!E526</f>
        <v>70</v>
      </c>
      <c r="G536" s="36"/>
      <c r="H536" s="38" cm="1">
        <f t="array" ref="H536">SUMPRODUCT(Tracking[Amount],--(Tracking[Date]&lt;=Tracking[[#This Row],[Date]]),(Tracking[Type]&lt;&gt;"Income")*(-1)+(Tracking[Type]="Income"))</f>
        <v>14513.849999999988</v>
      </c>
      <c r="I536" s="42">
        <f>IF(AND(Tracking[[#This Row],[Type]]="Income", shift_late_income_status="Active", DAY(Tracking[[#This Row],[Date]])&gt;=shift_late_income_starting_date), DATE(YEAR(Tracking[[#This Row],[Date]]),MONTH(Tracking[[#This Row],[Date]])+1,1),Tracking[[#This Row],[Date]])</f>
        <v>46019</v>
      </c>
      <c r="J536" s="11">
        <f>MONTH(Tracking[[#This Row],[Date]])</f>
        <v>12</v>
      </c>
      <c r="K536" s="11">
        <f>YEAR(Tracking[[#This Row],[Date]])</f>
        <v>2025</v>
      </c>
    </row>
    <row r="537" spans="3:11" x14ac:dyDescent="0.2">
      <c r="C537" s="34">
        <f>SOURCE!A527</f>
        <v>46020</v>
      </c>
      <c r="D537" s="11" t="str">
        <f>SOURCE!B527</f>
        <v>Expenses</v>
      </c>
      <c r="E537" s="11" t="str">
        <f>SOURCE!C527</f>
        <v>Travel</v>
      </c>
      <c r="F537" s="35">
        <f>SOURCE!E527</f>
        <v>250</v>
      </c>
      <c r="G537" s="36"/>
      <c r="H537" s="38" cm="1">
        <f t="array" ref="H537">SUMPRODUCT(Tracking[Amount],--(Tracking[Date]&lt;=Tracking[[#This Row],[Date]]),(Tracking[Type]&lt;&gt;"Income")*(-1)+(Tracking[Type]="Income"))</f>
        <v>13448.549999999987</v>
      </c>
      <c r="I537" s="42">
        <f>IF(AND(Tracking[[#This Row],[Type]]="Income", shift_late_income_status="Active", DAY(Tracking[[#This Row],[Date]])&gt;=shift_late_income_starting_date), DATE(YEAR(Tracking[[#This Row],[Date]]),MONTH(Tracking[[#This Row],[Date]])+1,1),Tracking[[#This Row],[Date]])</f>
        <v>46020</v>
      </c>
      <c r="J537" s="11">
        <f>MONTH(Tracking[[#This Row],[Date]])</f>
        <v>12</v>
      </c>
      <c r="K537" s="11">
        <f>YEAR(Tracking[[#This Row],[Date]])</f>
        <v>2025</v>
      </c>
    </row>
    <row r="538" spans="3:11" x14ac:dyDescent="0.2">
      <c r="C538" s="34">
        <f>SOURCE!A528</f>
        <v>46020</v>
      </c>
      <c r="D538" s="11" t="str">
        <f>SOURCE!B528</f>
        <v>Expenses</v>
      </c>
      <c r="E538" s="11" t="str">
        <f>SOURCE!C528</f>
        <v>Health Insurance</v>
      </c>
      <c r="F538" s="35">
        <f>SOURCE!E528</f>
        <v>501.35</v>
      </c>
      <c r="G538" s="36"/>
      <c r="H538" s="38" cm="1">
        <f t="array" ref="H538">SUMPRODUCT(Tracking[Amount],--(Tracking[Date]&lt;=Tracking[[#This Row],[Date]]),(Tracking[Type]&lt;&gt;"Income")*(-1)+(Tracking[Type]="Income"))</f>
        <v>13448.549999999987</v>
      </c>
      <c r="I538" s="42">
        <f>IF(AND(Tracking[[#This Row],[Type]]="Income", shift_late_income_status="Active", DAY(Tracking[[#This Row],[Date]])&gt;=shift_late_income_starting_date), DATE(YEAR(Tracking[[#This Row],[Date]]),MONTH(Tracking[[#This Row],[Date]])+1,1),Tracking[[#This Row],[Date]])</f>
        <v>46020</v>
      </c>
      <c r="J538" s="11">
        <f>MONTH(Tracking[[#This Row],[Date]])</f>
        <v>12</v>
      </c>
      <c r="K538" s="11">
        <f>YEAR(Tracking[[#This Row],[Date]])</f>
        <v>2025</v>
      </c>
    </row>
    <row r="539" spans="3:11" x14ac:dyDescent="0.2">
      <c r="C539" s="34">
        <f>SOURCE!A529</f>
        <v>46020</v>
      </c>
      <c r="D539" s="11" t="str">
        <f>SOURCE!B529</f>
        <v>Expenses</v>
      </c>
      <c r="E539" s="11" t="str">
        <f>SOURCE!C529</f>
        <v>Home Furnitures</v>
      </c>
      <c r="F539" s="35">
        <f>SOURCE!E529</f>
        <v>313.95</v>
      </c>
      <c r="G539" s="36"/>
      <c r="H539" s="38" cm="1">
        <f t="array" ref="H539">SUMPRODUCT(Tracking[Amount],--(Tracking[Date]&lt;=Tracking[[#This Row],[Date]]),(Tracking[Type]&lt;&gt;"Income")*(-1)+(Tracking[Type]="Income"))</f>
        <v>13448.549999999987</v>
      </c>
      <c r="I539" s="42">
        <f>IF(AND(Tracking[[#This Row],[Type]]="Income", shift_late_income_status="Active", DAY(Tracking[[#This Row],[Date]])&gt;=shift_late_income_starting_date), DATE(YEAR(Tracking[[#This Row],[Date]]),MONTH(Tracking[[#This Row],[Date]])+1,1),Tracking[[#This Row],[Date]])</f>
        <v>46020</v>
      </c>
      <c r="J539" s="11">
        <f>MONTH(Tracking[[#This Row],[Date]])</f>
        <v>12</v>
      </c>
      <c r="K539" s="11">
        <f>YEAR(Tracking[[#This Row],[Date]])</f>
        <v>2025</v>
      </c>
    </row>
    <row r="540" spans="3:11" x14ac:dyDescent="0.2">
      <c r="C540" s="34">
        <f>SOURCE!A530</f>
        <v>46022</v>
      </c>
      <c r="D540" s="11" t="str">
        <f>SOURCE!B530</f>
        <v>Expenses</v>
      </c>
      <c r="E540" s="11" t="str">
        <f>SOURCE!C530</f>
        <v>CC fees</v>
      </c>
      <c r="F540" s="35">
        <f>SOURCE!E530</f>
        <v>10</v>
      </c>
      <c r="G540" s="36"/>
      <c r="H540" s="38" cm="1">
        <f t="array" ref="H540">SUMPRODUCT(Tracking[Amount],--(Tracking[Date]&lt;=Tracking[[#This Row],[Date]]),(Tracking[Type]&lt;&gt;"Income")*(-1)+(Tracking[Type]="Income"))</f>
        <v>11938.549999999987</v>
      </c>
      <c r="I540" s="42">
        <f>IF(AND(Tracking[[#This Row],[Type]]="Income", shift_late_income_status="Active", DAY(Tracking[[#This Row],[Date]])&gt;=shift_late_income_starting_date), DATE(YEAR(Tracking[[#This Row],[Date]]),MONTH(Tracking[[#This Row],[Date]])+1,1),Tracking[[#This Row],[Date]])</f>
        <v>46022</v>
      </c>
      <c r="J540" s="11">
        <f>MONTH(Tracking[[#This Row],[Date]])</f>
        <v>12</v>
      </c>
      <c r="K540" s="11">
        <f>YEAR(Tracking[[#This Row],[Date]])</f>
        <v>2025</v>
      </c>
    </row>
    <row r="541" spans="3:11" x14ac:dyDescent="0.2">
      <c r="C541" s="34">
        <f>SOURCE!A531</f>
        <v>46022</v>
      </c>
      <c r="D541" s="11" t="str">
        <f>SOURCE!B531</f>
        <v>Expenses</v>
      </c>
      <c r="E541" s="11" t="str">
        <f>SOURCE!C531</f>
        <v>Housing</v>
      </c>
      <c r="F541" s="35">
        <f>SOURCE!E531</f>
        <v>1500</v>
      </c>
      <c r="G541" s="36"/>
      <c r="H541" s="38" cm="1">
        <f t="array" ref="H541">SUMPRODUCT(Tracking[Amount],--(Tracking[Date]&lt;=Tracking[[#This Row],[Date]]),(Tracking[Type]&lt;&gt;"Income")*(-1)+(Tracking[Type]="Income"))</f>
        <v>11938.549999999987</v>
      </c>
      <c r="I541" s="42">
        <f>IF(AND(Tracking[[#This Row],[Type]]="Income", shift_late_income_status="Active", DAY(Tracking[[#This Row],[Date]])&gt;=shift_late_income_starting_date), DATE(YEAR(Tracking[[#This Row],[Date]]),MONTH(Tracking[[#This Row],[Date]])+1,1),Tracking[[#This Row],[Date]])</f>
        <v>46022</v>
      </c>
      <c r="J541" s="11">
        <f>MONTH(Tracking[[#This Row],[Date]])</f>
        <v>12</v>
      </c>
      <c r="K541" s="11">
        <f>YEAR(Tracking[[#This Row],[Date]])</f>
        <v>2025</v>
      </c>
    </row>
  </sheetData>
  <mergeCells count="1">
    <mergeCell ref="C2:F2"/>
  </mergeCells>
  <conditionalFormatting sqref="E12:E541">
    <cfRule type="expression" dxfId="4" priority="6">
      <formula>ISNA(MATCH(E12, INDIRECT(D12),0))</formula>
    </cfRule>
  </conditionalFormatting>
  <conditionalFormatting sqref="F12:F541">
    <cfRule type="expression" dxfId="3" priority="5">
      <formula>D12="Income"</formula>
    </cfRule>
  </conditionalFormatting>
  <conditionalFormatting sqref="I12:I541">
    <cfRule type="expression" dxfId="2" priority="2">
      <formula>"AND(D12=""Income"", shift_late_income_status=""Active"", DAY(C12)&gt;=shift_late_income_starting_date)"</formula>
    </cfRule>
    <cfRule type="expression" dxfId="1" priority="3">
      <formula>AND(D12="Income", shift_late_income_status="Active", DAY(C12)&gt;=shift_late_income_starting_date)</formula>
    </cfRule>
  </conditionalFormatting>
  <conditionalFormatting sqref="M310">
    <cfRule type="expression" dxfId="0" priority="1">
      <formula>ISNA(MATCH(M310, INDIRECT(L310),0))</formula>
    </cfRule>
  </conditionalFormatting>
  <dataValidations count="4">
    <dataValidation type="date" operator="greaterThan" allowBlank="1" showInputMessage="1" showErrorMessage="1" errorTitle="Invalid Date" error="Please enter a valid date." sqref="C12:C541" xr:uid="{C0C0F399-7A20-8849-A383-7E2AFF02B9FB}">
      <formula1>1</formula1>
    </dataValidation>
    <dataValidation type="list" allowBlank="1" showInputMessage="1" showErrorMessage="1" errorTitle="Invalid Category" sqref="E12:E541" xr:uid="{46450B8C-2EA2-F545-B094-55A5567EAE05}">
      <formula1>IF(OR($D12="No-LABEL"), "",IFERROR(INDIRECT($D12),""))</formula1>
    </dataValidation>
    <dataValidation type="custom" allowBlank="1" showInputMessage="1" showErrorMessage="1" errorTitle="Invalid Amount" error="Please " sqref="F12:F541" xr:uid="{BDA4E4F8-2F57-1B4E-A171-843A9532FB48}">
      <formula1>ISNUMBER(F12)</formula1>
    </dataValidation>
    <dataValidation type="list" allowBlank="1" showInputMessage="1" showErrorMessage="1" errorTitle="Invalid Type" error="Please select a valid type from the dropdown list." sqref="D12:D541" xr:uid="{41E2B299-60CA-4345-9264-C455F4DA0C0E}">
      <formula1>"Income, Expenses, Savings, No-Label"</formula1>
    </dataValidation>
  </dataValidations>
  <pageMargins left="0.7" right="0.7" top="0.75" bottom="0.75" header="0.3" footer="0.3"/>
  <ignoredErrors>
    <ignoredError sqref="D235" listDataValidation="1"/>
  </ignoredErrors>
  <drawing r:id="rId1"/>
  <legacyDrawing r:id="rId2"/>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30AEF-DEF5-5D42-8779-1EB133572339}">
  <sheetPr>
    <tabColor rgb="FFDADADA"/>
  </sheetPr>
  <dimension ref="B1:Q76"/>
  <sheetViews>
    <sheetView topLeftCell="B1" workbookViewId="0">
      <selection activeCell="P18" sqref="P18"/>
    </sheetView>
  </sheetViews>
  <sheetFormatPr baseColWidth="10" defaultRowHeight="16" x14ac:dyDescent="0.2"/>
  <cols>
    <col min="2" max="2" width="18.33203125" customWidth="1"/>
    <col min="5" max="5" width="61.33203125" customWidth="1"/>
    <col min="7" max="7" width="15.1640625" customWidth="1"/>
    <col min="15" max="15" width="13" bestFit="1" customWidth="1"/>
    <col min="16" max="16" width="13.6640625" bestFit="1" customWidth="1"/>
    <col min="17" max="17" width="12.1640625" bestFit="1" customWidth="1"/>
    <col min="18" max="18" width="14.83203125" bestFit="1" customWidth="1"/>
    <col min="19" max="19" width="13.6640625" bestFit="1" customWidth="1"/>
    <col min="20" max="20" width="13" bestFit="1" customWidth="1"/>
    <col min="21" max="21" width="13.6640625" bestFit="1" customWidth="1"/>
    <col min="22" max="22" width="13" bestFit="1" customWidth="1"/>
    <col min="23" max="23" width="13.6640625" bestFit="1" customWidth="1"/>
    <col min="24" max="24" width="13" bestFit="1" customWidth="1"/>
    <col min="25" max="25" width="13.6640625" bestFit="1" customWidth="1"/>
    <col min="26" max="26" width="13" bestFit="1" customWidth="1"/>
    <col min="27" max="27" width="13.6640625" bestFit="1" customWidth="1"/>
    <col min="28" max="28" width="15.1640625" bestFit="1" customWidth="1"/>
    <col min="29" max="29" width="13.6640625" bestFit="1" customWidth="1"/>
    <col min="30" max="30" width="13" bestFit="1" customWidth="1"/>
    <col min="31" max="31" width="13.6640625" bestFit="1" customWidth="1"/>
    <col min="32" max="32" width="13" bestFit="1" customWidth="1"/>
    <col min="33" max="33" width="13.6640625" bestFit="1" customWidth="1"/>
    <col min="34" max="34" width="13" bestFit="1" customWidth="1"/>
    <col min="35" max="35" width="13.6640625" bestFit="1" customWidth="1"/>
    <col min="36" max="36" width="14.83203125" bestFit="1" customWidth="1"/>
    <col min="37" max="37" width="13.6640625" bestFit="1" customWidth="1"/>
    <col min="38" max="38" width="13" bestFit="1" customWidth="1"/>
    <col min="39" max="39" width="13.6640625" bestFit="1" customWidth="1"/>
    <col min="40" max="40" width="13" bestFit="1" customWidth="1"/>
    <col min="41" max="41" width="13.6640625" bestFit="1" customWidth="1"/>
    <col min="42" max="42" width="13" bestFit="1" customWidth="1"/>
    <col min="43" max="43" width="13.6640625" bestFit="1" customWidth="1"/>
    <col min="44" max="44" width="13" bestFit="1" customWidth="1"/>
    <col min="45" max="45" width="13.6640625" bestFit="1" customWidth="1"/>
    <col min="46" max="46" width="13" bestFit="1" customWidth="1"/>
    <col min="47" max="47" width="13.6640625" bestFit="1" customWidth="1"/>
    <col min="48" max="48" width="13" bestFit="1" customWidth="1"/>
    <col min="49" max="49" width="13.6640625" bestFit="1" customWidth="1"/>
    <col min="50" max="50" width="17.5" bestFit="1" customWidth="1"/>
    <col min="51" max="51" width="18.1640625" bestFit="1" customWidth="1"/>
  </cols>
  <sheetData>
    <row r="1" spans="2:17" x14ac:dyDescent="0.2">
      <c r="B1" t="s">
        <v>192</v>
      </c>
      <c r="C1" t="s">
        <v>87</v>
      </c>
      <c r="D1" t="s">
        <v>29</v>
      </c>
      <c r="E1" t="s">
        <v>30</v>
      </c>
      <c r="F1" t="s">
        <v>85</v>
      </c>
      <c r="G1" t="s">
        <v>93</v>
      </c>
      <c r="O1" s="115" t="s">
        <v>30</v>
      </c>
      <c r="P1" t="s">
        <v>160</v>
      </c>
    </row>
    <row r="2" spans="2:17" x14ac:dyDescent="0.2">
      <c r="B2" cm="1">
        <f t="array" ref="B2:E76">_xlfn.UNIQUE(
    CHOOSE(
        {1,2,3,4},
        _xlfn._xlws.FILTER(Tracking[Year], (Tracking[Type]&lt;&gt;"Income")*(Tracking[Type]&lt;&gt;"CC_Refund")),
        _xlfn._xlws.FILTER(Tracking[Month], (Tracking[Type]&lt;&gt;"Income")*(Tracking[Type]&lt;&gt;"CC_Refund")),
        _xlfn._xlws.FILTER(Tracking[Type], (Tracking[Type]&lt;&gt;"Income")*(Tracking[Type]&lt;&gt;"CC_Refund")),
        _xlfn._xlws.FILTER(Tracking[Category], (Tracking[Type]&lt;&gt;"Income")*(Tracking[Type]&lt;&gt;"CC_Refund"))
    )
)</f>
        <v>2025</v>
      </c>
      <c r="C2">
        <v>8</v>
      </c>
      <c r="D2" t="str">
        <v>Expenses</v>
      </c>
      <c r="E2" t="str">
        <v>Digital Goods</v>
      </c>
      <c r="F2" cm="1">
        <f t="array" ref="F2">SUMPRODUCT(
  (Tracking[Year]=B2) *
  (Tracking[Month]=C2) *
  (Tracking[Type]=D2) *
  (Tracking[Category]=E2) *
  (Tracking[Amount])
)</f>
        <v>83.6</v>
      </c>
      <c r="G2" cm="1">
        <f t="array" ref="G2">_xlfn.XLOOKUP(E2,Expenses[Expenses],'Budget Planning'!$L$27:$L$47,"INCOME")</f>
        <v>200</v>
      </c>
    </row>
    <row r="3" spans="2:17" x14ac:dyDescent="0.2">
      <c r="B3">
        <v>2025</v>
      </c>
      <c r="C3">
        <v>8</v>
      </c>
      <c r="D3" t="str">
        <v>Expenses</v>
      </c>
      <c r="E3" t="str">
        <v>Train</v>
      </c>
      <c r="F3" cm="1">
        <f t="array" ref="F3">SUMPRODUCT(
  (Tracking[Year]=B3) *
  (Tracking[Month]=C3) *
  (Tracking[Type]=D3) *
  (Tracking[Category]=E3) *
  (Tracking[Amount])
)</f>
        <v>163.79999999999998</v>
      </c>
      <c r="G3" cm="1">
        <f t="array" ref="G3">_xlfn.XLOOKUP(E3,Expenses[Expenses],'Budget Planning'!$L$27:$L$47,"INCOME")</f>
        <v>160</v>
      </c>
      <c r="O3" s="115" t="s">
        <v>194</v>
      </c>
      <c r="P3" t="s">
        <v>196</v>
      </c>
      <c r="Q3" t="s">
        <v>197</v>
      </c>
    </row>
    <row r="4" spans="2:17" x14ac:dyDescent="0.2">
      <c r="B4">
        <v>2025</v>
      </c>
      <c r="C4">
        <v>8</v>
      </c>
      <c r="D4" t="str">
        <v>Expenses</v>
      </c>
      <c r="E4" t="str">
        <v>Restaurants</v>
      </c>
      <c r="F4" cm="1">
        <f t="array" ref="F4">SUMPRODUCT(
  (Tracking[Year]=B4) *
  (Tracking[Month]=C4) *
  (Tracking[Type]=D4) *
  (Tracking[Category]=E4) *
  (Tracking[Amount])
)</f>
        <v>555.79999999999995</v>
      </c>
      <c r="G4" cm="1">
        <f t="array" ref="G4">_xlfn.XLOOKUP(E4,Expenses[Expenses],'Budget Planning'!$L$27:$L$47,"INCOME")</f>
        <v>600</v>
      </c>
      <c r="O4" s="116">
        <v>9</v>
      </c>
      <c r="P4" s="117">
        <v>150</v>
      </c>
      <c r="Q4" s="118">
        <v>-0.625</v>
      </c>
    </row>
    <row r="5" spans="2:17" x14ac:dyDescent="0.2">
      <c r="B5">
        <v>2025</v>
      </c>
      <c r="C5">
        <v>8</v>
      </c>
      <c r="D5" t="str">
        <v>Expenses</v>
      </c>
      <c r="E5" t="str">
        <v>Car</v>
      </c>
      <c r="F5" cm="1">
        <f t="array" ref="F5">SUMPRODUCT(
  (Tracking[Year]=B5) *
  (Tracking[Month]=C5) *
  (Tracking[Type]=D5) *
  (Tracking[Category]=E5) *
  (Tracking[Amount])
)</f>
        <v>59.81</v>
      </c>
      <c r="G5" cm="1">
        <f t="array" ref="G5">_xlfn.XLOOKUP(E5,Expenses[Expenses],'Budget Planning'!$L$27:$L$47,"INCOME")</f>
        <v>50</v>
      </c>
      <c r="O5" s="116">
        <v>10</v>
      </c>
      <c r="P5" s="117">
        <v>150</v>
      </c>
      <c r="Q5" s="118">
        <v>-0.625</v>
      </c>
    </row>
    <row r="6" spans="2:17" x14ac:dyDescent="0.2">
      <c r="B6">
        <v>2025</v>
      </c>
      <c r="C6">
        <v>8</v>
      </c>
      <c r="D6" t="str">
        <v>Expenses</v>
      </c>
      <c r="E6" t="str">
        <v>Groceries</v>
      </c>
      <c r="F6" cm="1">
        <f t="array" ref="F6">SUMPRODUCT(
  (Tracking[Year]=B6) *
  (Tracking[Month]=C6) *
  (Tracking[Type]=D6) *
  (Tracking[Category]=E6) *
  (Tracking[Amount])
)</f>
        <v>389.54999999999995</v>
      </c>
      <c r="G6" cm="1">
        <f t="array" ref="G6">_xlfn.XLOOKUP(E6,Expenses[Expenses],'Budget Planning'!$L$27:$L$47,"INCOME")</f>
        <v>500</v>
      </c>
      <c r="O6" s="116">
        <v>11</v>
      </c>
      <c r="P6" s="117">
        <v>616.16999999999996</v>
      </c>
      <c r="Q6" s="118">
        <v>0.54042499999999993</v>
      </c>
    </row>
    <row r="7" spans="2:17" x14ac:dyDescent="0.2">
      <c r="B7">
        <v>2025</v>
      </c>
      <c r="C7">
        <v>8</v>
      </c>
      <c r="D7" t="str">
        <v>Expenses</v>
      </c>
      <c r="E7" t="str">
        <v>Wellbeing</v>
      </c>
      <c r="F7" cm="1">
        <f t="array" ref="F7">SUMPRODUCT(
  (Tracking[Year]=B7) *
  (Tracking[Month]=C7) *
  (Tracking[Type]=D7) *
  (Tracking[Category]=E7) *
  (Tracking[Amount])
)</f>
        <v>10</v>
      </c>
      <c r="G7" cm="1">
        <f t="array" ref="G7">_xlfn.XLOOKUP(E7,Expenses[Expenses],'Budget Planning'!$L$27:$L$47,"INCOME")</f>
        <v>200</v>
      </c>
      <c r="O7" s="116">
        <v>12</v>
      </c>
      <c r="P7" s="117">
        <v>1835.3799999999999</v>
      </c>
      <c r="Q7" s="118">
        <v>3.5884499999999999</v>
      </c>
    </row>
    <row r="8" spans="2:17" x14ac:dyDescent="0.2">
      <c r="B8">
        <v>2025</v>
      </c>
      <c r="C8">
        <v>8</v>
      </c>
      <c r="D8" t="str">
        <v>Expenses</v>
      </c>
      <c r="E8" t="str">
        <v>Internet + Mobile</v>
      </c>
      <c r="F8" cm="1">
        <f t="array" ref="F8">SUMPRODUCT(
  (Tracking[Year]=B8) *
  (Tracking[Month]=C8) *
  (Tracking[Type]=D8) *
  (Tracking[Category]=E8) *
  (Tracking[Amount])
)</f>
        <v>77.849999999999994</v>
      </c>
      <c r="G8" cm="1">
        <f t="array" ref="G8">_xlfn.XLOOKUP(E8,Expenses[Expenses],'Budget Planning'!$L$27:$L$47,"INCOME")</f>
        <v>80</v>
      </c>
      <c r="O8" s="116" t="s">
        <v>195</v>
      </c>
      <c r="P8" s="117">
        <v>2751.5499999999997</v>
      </c>
      <c r="Q8" s="118">
        <v>0.71971874999999985</v>
      </c>
    </row>
    <row r="9" spans="2:17" x14ac:dyDescent="0.2">
      <c r="B9">
        <v>2025</v>
      </c>
      <c r="C9">
        <v>8</v>
      </c>
      <c r="D9" t="str">
        <v>Expenses</v>
      </c>
      <c r="E9" t="str">
        <v>Health Insurance</v>
      </c>
      <c r="F9" cm="1">
        <f t="array" ref="F9">SUMPRODUCT(
  (Tracking[Year]=B9) *
  (Tracking[Month]=C9) *
  (Tracking[Type]=D9) *
  (Tracking[Category]=E9) *
  (Tracking[Amount])
)</f>
        <v>501.35</v>
      </c>
      <c r="G9" cm="1">
        <f t="array" ref="G9">_xlfn.XLOOKUP(E9,Expenses[Expenses],'Budget Planning'!$L$27:$L$47,"INCOME")</f>
        <v>501.35</v>
      </c>
    </row>
    <row r="10" spans="2:17" x14ac:dyDescent="0.2">
      <c r="B10">
        <v>2025</v>
      </c>
      <c r="C10">
        <v>8</v>
      </c>
      <c r="D10" t="str">
        <v>Expenses</v>
      </c>
      <c r="E10" t="str">
        <v>Health Other</v>
      </c>
      <c r="F10" cm="1">
        <f t="array" ref="F10">SUMPRODUCT(
  (Tracking[Year]=B10) *
  (Tracking[Month]=C10) *
  (Tracking[Type]=D10) *
  (Tracking[Category]=E10) *
  (Tracking[Amount])
)</f>
        <v>18.100000000000001</v>
      </c>
      <c r="G10" cm="1">
        <f t="array" ref="G10">_xlfn.XLOOKUP(E10,Expenses[Expenses],'Budget Planning'!$L$27:$L$47,"INCOME")</f>
        <v>100</v>
      </c>
    </row>
    <row r="11" spans="2:17" x14ac:dyDescent="0.2">
      <c r="B11">
        <v>2025</v>
      </c>
      <c r="C11">
        <v>8</v>
      </c>
      <c r="D11" t="str">
        <v>Expenses</v>
      </c>
      <c r="E11" t="str">
        <v>Housing</v>
      </c>
      <c r="F11" cm="1">
        <f t="array" ref="F11">SUMPRODUCT(
  (Tracking[Year]=B11) *
  (Tracking[Month]=C11) *
  (Tracking[Type]=D11) *
  (Tracking[Category]=E11) *
  (Tracking[Amount])
)</f>
        <v>1912</v>
      </c>
      <c r="G11" cm="1">
        <f t="array" ref="G11">_xlfn.XLOOKUP(E11,Expenses[Expenses],'Budget Planning'!$L$27:$L$47,"INCOME")</f>
        <v>1912</v>
      </c>
    </row>
    <row r="12" spans="2:17" x14ac:dyDescent="0.2">
      <c r="B12">
        <v>2025</v>
      </c>
      <c r="C12">
        <v>8</v>
      </c>
      <c r="D12" t="str">
        <v>Expenses</v>
      </c>
      <c r="E12" t="str">
        <v>Debt</v>
      </c>
      <c r="F12" cm="1">
        <f t="array" ref="F12">SUMPRODUCT(
  (Tracking[Year]=B12) *
  (Tracking[Month]=C12) *
  (Tracking[Type]=D12) *
  (Tracking[Category]=E12) *
  (Tracking[Amount])
)</f>
        <v>1202</v>
      </c>
      <c r="G12" cm="1">
        <f t="array" ref="G12">_xlfn.XLOOKUP(E12,Expenses[Expenses],'Budget Planning'!$L$27:$L$47,"INCOME")</f>
        <v>2000</v>
      </c>
    </row>
    <row r="13" spans="2:17" x14ac:dyDescent="0.2">
      <c r="B13">
        <v>2025</v>
      </c>
      <c r="C13">
        <v>8</v>
      </c>
      <c r="D13" t="str">
        <v>Expenses</v>
      </c>
      <c r="E13" t="str">
        <v>Extras</v>
      </c>
      <c r="F13" cm="1">
        <f t="array" ref="F13">SUMPRODUCT(
  (Tracking[Year]=B13) *
  (Tracking[Month]=C13) *
  (Tracking[Type]=D13) *
  (Tracking[Category]=E13) *
  (Tracking[Amount])
)</f>
        <v>50</v>
      </c>
      <c r="G13" cm="1">
        <f t="array" ref="G13">_xlfn.XLOOKUP(E13,Expenses[Expenses],'Budget Planning'!$L$27:$L$47,"INCOME")</f>
        <v>200</v>
      </c>
    </row>
    <row r="14" spans="2:17" x14ac:dyDescent="0.2">
      <c r="B14">
        <v>2025</v>
      </c>
      <c r="C14">
        <v>8</v>
      </c>
      <c r="D14" t="str">
        <v>Expenses</v>
      </c>
      <c r="E14" t="str">
        <v>CC fees</v>
      </c>
      <c r="F14" cm="1">
        <f t="array" ref="F14">SUMPRODUCT(
  (Tracking[Year]=B14) *
  (Tracking[Month]=C14) *
  (Tracking[Type]=D14) *
  (Tracking[Category]=E14) *
  (Tracking[Amount])
)</f>
        <v>15</v>
      </c>
      <c r="G14" cm="1">
        <f t="array" ref="G14">_xlfn.XLOOKUP(E14,Expenses[Expenses],'Budget Planning'!$L$27:$L$47,"INCOME")</f>
        <v>15</v>
      </c>
    </row>
    <row r="15" spans="2:17" x14ac:dyDescent="0.2">
      <c r="B15">
        <v>2025</v>
      </c>
      <c r="C15">
        <v>9</v>
      </c>
      <c r="D15" t="str">
        <v>Expenses</v>
      </c>
      <c r="E15" t="str">
        <v>Groceries</v>
      </c>
      <c r="F15" cm="1">
        <f t="array" ref="F15">SUMPRODUCT(
  (Tracking[Year]=B15) *
  (Tracking[Month]=C15) *
  (Tracking[Type]=D15) *
  (Tracking[Category]=E15) *
  (Tracking[Amount])
)</f>
        <v>233.80999999999992</v>
      </c>
      <c r="G15" cm="1">
        <f t="array" ref="G15">_xlfn.XLOOKUP(E15,Expenses[Expenses],'Budget Planning'!$L$27:$L$47,"INCOME")</f>
        <v>500</v>
      </c>
    </row>
    <row r="16" spans="2:17" x14ac:dyDescent="0.2">
      <c r="B16">
        <v>2025</v>
      </c>
      <c r="C16">
        <v>9</v>
      </c>
      <c r="D16" t="str">
        <v>Expenses</v>
      </c>
      <c r="E16" t="str">
        <v>Train</v>
      </c>
      <c r="F16" cm="1">
        <f t="array" ref="F16">SUMPRODUCT(
  (Tracking[Year]=B16) *
  (Tracking[Month]=C16) *
  (Tracking[Type]=D16) *
  (Tracking[Category]=E16) *
  (Tracking[Amount])
)</f>
        <v>151.29999999999998</v>
      </c>
      <c r="G16" cm="1">
        <f t="array" ref="G16">_xlfn.XLOOKUP(E16,Expenses[Expenses],'Budget Planning'!$L$27:$L$47,"INCOME")</f>
        <v>160</v>
      </c>
    </row>
    <row r="17" spans="2:7" x14ac:dyDescent="0.2">
      <c r="B17">
        <v>2025</v>
      </c>
      <c r="C17">
        <v>9</v>
      </c>
      <c r="D17" t="str">
        <v>Expenses</v>
      </c>
      <c r="E17" t="str">
        <v>Digital Goods</v>
      </c>
      <c r="F17" cm="1">
        <f t="array" ref="F17">SUMPRODUCT(
  (Tracking[Year]=B17) *
  (Tracking[Month]=C17) *
  (Tracking[Type]=D17) *
  (Tracking[Category]=E17) *
  (Tracking[Amount])
)</f>
        <v>204.42000000000002</v>
      </c>
      <c r="G17" cm="1">
        <f t="array" ref="G17">_xlfn.XLOOKUP(E17,Expenses[Expenses],'Budget Planning'!$L$27:$L$47,"INCOME")</f>
        <v>200</v>
      </c>
    </row>
    <row r="18" spans="2:7" x14ac:dyDescent="0.2">
      <c r="B18">
        <v>2025</v>
      </c>
      <c r="C18">
        <v>9</v>
      </c>
      <c r="D18" t="str">
        <v>Expenses</v>
      </c>
      <c r="E18" t="str">
        <v>Restaurants</v>
      </c>
      <c r="F18" cm="1">
        <f t="array" ref="F18">SUMPRODUCT(
  (Tracking[Year]=B18) *
  (Tracking[Month]=C18) *
  (Tracking[Type]=D18) *
  (Tracking[Category]=E18) *
  (Tracking[Amount])
)</f>
        <v>558.63</v>
      </c>
      <c r="G18" cm="1">
        <f t="array" ref="G18">_xlfn.XLOOKUP(E18,Expenses[Expenses],'Budget Planning'!$L$27:$L$47,"INCOME")</f>
        <v>600</v>
      </c>
    </row>
    <row r="19" spans="2:7" x14ac:dyDescent="0.2">
      <c r="B19">
        <v>2025</v>
      </c>
      <c r="C19">
        <v>9</v>
      </c>
      <c r="D19" t="str">
        <v>Expenses</v>
      </c>
      <c r="E19" t="str">
        <v>Health Insurance</v>
      </c>
      <c r="F19" cm="1">
        <f t="array" ref="F19">SUMPRODUCT(
  (Tracking[Year]=B19) *
  (Tracking[Month]=C19) *
  (Tracking[Type]=D19) *
  (Tracking[Category]=E19) *
  (Tracking[Amount])
)</f>
        <v>501.35</v>
      </c>
      <c r="G19" cm="1">
        <f t="array" ref="G19">_xlfn.XLOOKUP(E19,Expenses[Expenses],'Budget Planning'!$L$27:$L$47,"INCOME")</f>
        <v>501.35</v>
      </c>
    </row>
    <row r="20" spans="2:7" x14ac:dyDescent="0.2">
      <c r="B20">
        <v>2025</v>
      </c>
      <c r="C20">
        <v>9</v>
      </c>
      <c r="D20" t="str">
        <v>Expenses</v>
      </c>
      <c r="E20" t="str">
        <v>Health Other</v>
      </c>
      <c r="F20" cm="1">
        <f t="array" ref="F20">SUMPRODUCT(
  (Tracking[Year]=B20) *
  (Tracking[Month]=C20) *
  (Tracking[Type]=D20) *
  (Tracking[Category]=E20) *
  (Tracking[Amount])
)</f>
        <v>21.15</v>
      </c>
      <c r="G20" cm="1">
        <f t="array" ref="G20">_xlfn.XLOOKUP(E20,Expenses[Expenses],'Budget Planning'!$L$27:$L$47,"INCOME")</f>
        <v>100</v>
      </c>
    </row>
    <row r="21" spans="2:7" x14ac:dyDescent="0.2">
      <c r="B21">
        <v>2025</v>
      </c>
      <c r="C21">
        <v>9</v>
      </c>
      <c r="D21" t="str">
        <v>Expenses</v>
      </c>
      <c r="E21" t="str">
        <v>Travel</v>
      </c>
      <c r="F21" cm="1">
        <f t="array" ref="F21">SUMPRODUCT(
  (Tracking[Year]=B21) *
  (Tracking[Month]=C21) *
  (Tracking[Type]=D21) *
  (Tracking[Category]=E21) *
  (Tracking[Amount])
)</f>
        <v>150</v>
      </c>
      <c r="G21" cm="1">
        <f t="array" ref="G21">_xlfn.XLOOKUP(E21,Expenses[Expenses],'Budget Planning'!$L$27:$L$47,"INCOME")</f>
        <v>400</v>
      </c>
    </row>
    <row r="22" spans="2:7" x14ac:dyDescent="0.2">
      <c r="B22">
        <v>2025</v>
      </c>
      <c r="C22">
        <v>9</v>
      </c>
      <c r="D22" t="str">
        <v>Expenses</v>
      </c>
      <c r="E22" t="str">
        <v>Home Utils</v>
      </c>
      <c r="F22" cm="1">
        <f t="array" ref="F22">SUMPRODUCT(
  (Tracking[Year]=B22) *
  (Tracking[Month]=C22) *
  (Tracking[Type]=D22) *
  (Tracking[Category]=E22) *
  (Tracking[Amount])
)</f>
        <v>116.1</v>
      </c>
      <c r="G22" cm="1">
        <f t="array" ref="G22">_xlfn.XLOOKUP(E22,Expenses[Expenses],'Budget Planning'!$L$27:$L$47,"INCOME")</f>
        <v>35</v>
      </c>
    </row>
    <row r="23" spans="2:7" x14ac:dyDescent="0.2">
      <c r="B23">
        <v>2025</v>
      </c>
      <c r="C23">
        <v>9</v>
      </c>
      <c r="D23" t="str">
        <v>Expenses</v>
      </c>
      <c r="E23" t="str">
        <v>Extras</v>
      </c>
      <c r="F23" cm="1">
        <f t="array" ref="F23">SUMPRODUCT(
  (Tracking[Year]=B23) *
  (Tracking[Month]=C23) *
  (Tracking[Type]=D23) *
  (Tracking[Category]=E23) *
  (Tracking[Amount])
)</f>
        <v>40</v>
      </c>
      <c r="G23" cm="1">
        <f t="array" ref="G23">_xlfn.XLOOKUP(E23,Expenses[Expenses],'Budget Planning'!$L$27:$L$47,"INCOME")</f>
        <v>200</v>
      </c>
    </row>
    <row r="24" spans="2:7" x14ac:dyDescent="0.2">
      <c r="B24">
        <v>2025</v>
      </c>
      <c r="C24">
        <v>9</v>
      </c>
      <c r="D24" t="str">
        <v>Expenses</v>
      </c>
      <c r="E24" t="str">
        <v>Withdraw</v>
      </c>
      <c r="F24" cm="1">
        <f t="array" ref="F24">SUMPRODUCT(
  (Tracking[Year]=B24) *
  (Tracking[Month]=C24) *
  (Tracking[Type]=D24) *
  (Tracking[Category]=E24) *
  (Tracking[Amount])
)</f>
        <v>150</v>
      </c>
      <c r="G24" cm="1">
        <f t="array" ref="G24">_xlfn.XLOOKUP(E24,Expenses[Expenses],'Budget Planning'!$L$27:$L$47,"INCOME")</f>
        <v>20</v>
      </c>
    </row>
    <row r="25" spans="2:7" x14ac:dyDescent="0.2">
      <c r="B25">
        <v>2025</v>
      </c>
      <c r="C25">
        <v>9</v>
      </c>
      <c r="D25" t="str">
        <v>Expenses</v>
      </c>
      <c r="E25" t="str">
        <v>Sport</v>
      </c>
      <c r="F25" cm="1">
        <f t="array" ref="F25">SUMPRODUCT(
  (Tracking[Year]=B25) *
  (Tracking[Month]=C25) *
  (Tracking[Type]=D25) *
  (Tracking[Category]=E25) *
  (Tracking[Amount])
)</f>
        <v>28.9</v>
      </c>
      <c r="G25" cm="1">
        <f t="array" ref="G25">_xlfn.XLOOKUP(E25,Expenses[Expenses],'Budget Planning'!$L$27:$L$47,"INCOME")</f>
        <v>100</v>
      </c>
    </row>
    <row r="26" spans="2:7" x14ac:dyDescent="0.2">
      <c r="B26">
        <v>2025</v>
      </c>
      <c r="C26">
        <v>9</v>
      </c>
      <c r="D26" t="str">
        <v>Expenses</v>
      </c>
      <c r="E26" t="str">
        <v>Car</v>
      </c>
      <c r="F26" cm="1">
        <f t="array" ref="F26">SUMPRODUCT(
  (Tracking[Year]=B26) *
  (Tracking[Month]=C26) *
  (Tracking[Type]=D26) *
  (Tracking[Category]=E26) *
  (Tracking[Amount])
)</f>
        <v>2.85</v>
      </c>
      <c r="G26" cm="1">
        <f t="array" ref="G26">_xlfn.XLOOKUP(E26,Expenses[Expenses],'Budget Planning'!$L$27:$L$47,"INCOME")</f>
        <v>50</v>
      </c>
    </row>
    <row r="27" spans="2:7" x14ac:dyDescent="0.2">
      <c r="B27">
        <v>2025</v>
      </c>
      <c r="C27">
        <v>9</v>
      </c>
      <c r="D27" t="str">
        <v>Expenses</v>
      </c>
      <c r="E27" t="str">
        <v>Wellbeing</v>
      </c>
      <c r="F27" cm="1">
        <f t="array" ref="F27">SUMPRODUCT(
  (Tracking[Year]=B27) *
  (Tracking[Month]=C27) *
  (Tracking[Type]=D27) *
  (Tracking[Category]=E27) *
  (Tracking[Amount])
)</f>
        <v>209.7</v>
      </c>
      <c r="G27" cm="1">
        <f t="array" ref="G27">_xlfn.XLOOKUP(E27,Expenses[Expenses],'Budget Planning'!$L$27:$L$47,"INCOME")</f>
        <v>200</v>
      </c>
    </row>
    <row r="28" spans="2:7" x14ac:dyDescent="0.2">
      <c r="B28">
        <v>2025</v>
      </c>
      <c r="C28">
        <v>9</v>
      </c>
      <c r="D28" t="str">
        <v>Expenses</v>
      </c>
      <c r="E28" t="str">
        <v>Housing</v>
      </c>
      <c r="F28" cm="1">
        <f t="array" ref="F28">SUMPRODUCT(
  (Tracking[Year]=B28) *
  (Tracking[Month]=C28) *
  (Tracking[Type]=D28) *
  (Tracking[Category]=E28) *
  (Tracking[Amount])
)</f>
        <v>1912</v>
      </c>
      <c r="G28" cm="1">
        <f t="array" ref="G28">_xlfn.XLOOKUP(E28,Expenses[Expenses],'Budget Planning'!$L$27:$L$47,"INCOME")</f>
        <v>1912</v>
      </c>
    </row>
    <row r="29" spans="2:7" x14ac:dyDescent="0.2">
      <c r="B29">
        <v>2025</v>
      </c>
      <c r="C29">
        <v>9</v>
      </c>
      <c r="D29" t="str">
        <v>Expenses</v>
      </c>
      <c r="E29" t="str">
        <v>Debt</v>
      </c>
      <c r="F29" cm="1">
        <f t="array" ref="F29">SUMPRODUCT(
  (Tracking[Year]=B29) *
  (Tracking[Month]=C29) *
  (Tracking[Type]=D29) *
  (Tracking[Category]=E29) *
  (Tracking[Amount])
)</f>
        <v>554.85</v>
      </c>
      <c r="G29" cm="1">
        <f t="array" ref="G29">_xlfn.XLOOKUP(E29,Expenses[Expenses],'Budget Planning'!$L$27:$L$47,"INCOME")</f>
        <v>2000</v>
      </c>
    </row>
    <row r="30" spans="2:7" x14ac:dyDescent="0.2">
      <c r="B30">
        <v>2025</v>
      </c>
      <c r="C30">
        <v>9</v>
      </c>
      <c r="D30" t="str">
        <v>Expenses</v>
      </c>
      <c r="E30" t="str">
        <v>CC fees</v>
      </c>
      <c r="F30" cm="1">
        <f t="array" ref="F30">SUMPRODUCT(
  (Tracking[Year]=B30) *
  (Tracking[Month]=C30) *
  (Tracking[Type]=D30) *
  (Tracking[Category]=E30) *
  (Tracking[Amount])
)</f>
        <v>15</v>
      </c>
      <c r="G30" cm="1">
        <f t="array" ref="G30">_xlfn.XLOOKUP(E30,Expenses[Expenses],'Budget Planning'!$L$27:$L$47,"INCOME")</f>
        <v>15</v>
      </c>
    </row>
    <row r="31" spans="2:7" x14ac:dyDescent="0.2">
      <c r="B31">
        <v>2025</v>
      </c>
      <c r="C31">
        <v>10</v>
      </c>
      <c r="D31" t="str">
        <v>Expenses</v>
      </c>
      <c r="E31" t="str">
        <v>Groceries</v>
      </c>
      <c r="F31" cm="1">
        <f t="array" ref="F31">SUMPRODUCT(
  (Tracking[Year]=B31) *
  (Tracking[Month]=C31) *
  (Tracking[Type]=D31) *
  (Tracking[Category]=E31) *
  (Tracking[Amount])
)</f>
        <v>278.60000000000002</v>
      </c>
      <c r="G31" cm="1">
        <f t="array" ref="G31">_xlfn.XLOOKUP(E31,Expenses[Expenses],'Budget Planning'!$L$27:$L$47,"INCOME")</f>
        <v>500</v>
      </c>
    </row>
    <row r="32" spans="2:7" x14ac:dyDescent="0.2">
      <c r="B32">
        <v>2025</v>
      </c>
      <c r="C32">
        <v>10</v>
      </c>
      <c r="D32" t="str">
        <v>Expenses</v>
      </c>
      <c r="E32" t="str">
        <v>Digital Goods</v>
      </c>
      <c r="F32" cm="1">
        <f t="array" ref="F32">SUMPRODUCT(
  (Tracking[Year]=B32) *
  (Tracking[Month]=C32) *
  (Tracking[Type]=D32) *
  (Tracking[Category]=E32) *
  (Tracking[Amount])
)</f>
        <v>55</v>
      </c>
      <c r="G32" cm="1">
        <f t="array" ref="G32">_xlfn.XLOOKUP(E32,Expenses[Expenses],'Budget Planning'!$L$27:$L$47,"INCOME")</f>
        <v>200</v>
      </c>
    </row>
    <row r="33" spans="2:7" x14ac:dyDescent="0.2">
      <c r="B33">
        <v>2025</v>
      </c>
      <c r="C33">
        <v>10</v>
      </c>
      <c r="D33" t="str">
        <v>Expenses</v>
      </c>
      <c r="E33" t="str">
        <v>Train</v>
      </c>
      <c r="F33" cm="1">
        <f t="array" ref="F33">SUMPRODUCT(
  (Tracking[Year]=B33) *
  (Tracking[Month]=C33) *
  (Tracking[Type]=D33) *
  (Tracking[Category]=E33) *
  (Tracking[Amount])
)</f>
        <v>171.69999999999996</v>
      </c>
      <c r="G33" cm="1">
        <f t="array" ref="G33">_xlfn.XLOOKUP(E33,Expenses[Expenses],'Budget Planning'!$L$27:$L$47,"INCOME")</f>
        <v>160</v>
      </c>
    </row>
    <row r="34" spans="2:7" x14ac:dyDescent="0.2">
      <c r="B34">
        <v>2025</v>
      </c>
      <c r="C34">
        <v>10</v>
      </c>
      <c r="D34" t="str">
        <v>Expenses</v>
      </c>
      <c r="E34" t="str">
        <v>Restaurants</v>
      </c>
      <c r="F34" cm="1">
        <f t="array" ref="F34">SUMPRODUCT(
  (Tracking[Year]=B34) *
  (Tracking[Month]=C34) *
  (Tracking[Type]=D34) *
  (Tracking[Category]=E34) *
  (Tracking[Amount])
)</f>
        <v>741.69999999999993</v>
      </c>
      <c r="G34" cm="1">
        <f t="array" ref="G34">_xlfn.XLOOKUP(E34,Expenses[Expenses],'Budget Planning'!$L$27:$L$47,"INCOME")</f>
        <v>600</v>
      </c>
    </row>
    <row r="35" spans="2:7" x14ac:dyDescent="0.2">
      <c r="B35">
        <v>2025</v>
      </c>
      <c r="C35">
        <v>10</v>
      </c>
      <c r="D35" t="str">
        <v>Expenses</v>
      </c>
      <c r="E35" t="str">
        <v>Health Insurance</v>
      </c>
      <c r="F35" cm="1">
        <f t="array" ref="F35">SUMPRODUCT(
  (Tracking[Year]=B35) *
  (Tracking[Month]=C35) *
  (Tracking[Type]=D35) *
  (Tracking[Category]=E35) *
  (Tracking[Amount])
)</f>
        <v>501.35</v>
      </c>
      <c r="G35" cm="1">
        <f t="array" ref="G35">_xlfn.XLOOKUP(E35,Expenses[Expenses],'Budget Planning'!$L$27:$L$47,"INCOME")</f>
        <v>501.35</v>
      </c>
    </row>
    <row r="36" spans="2:7" x14ac:dyDescent="0.2">
      <c r="B36">
        <v>2025</v>
      </c>
      <c r="C36">
        <v>10</v>
      </c>
      <c r="D36" t="str">
        <v>Expenses</v>
      </c>
      <c r="E36" t="str">
        <v>Travel</v>
      </c>
      <c r="F36" cm="1">
        <f t="array" ref="F36">SUMPRODUCT(
  (Tracking[Year]=B36) *
  (Tracking[Month]=C36) *
  (Tracking[Type]=D36) *
  (Tracking[Category]=E36) *
  (Tracking[Amount])
)</f>
        <v>150</v>
      </c>
      <c r="G36" cm="1">
        <f t="array" ref="G36">_xlfn.XLOOKUP(E36,Expenses[Expenses],'Budget Planning'!$L$27:$L$47,"INCOME")</f>
        <v>400</v>
      </c>
    </row>
    <row r="37" spans="2:7" x14ac:dyDescent="0.2">
      <c r="B37">
        <v>2025</v>
      </c>
      <c r="C37">
        <v>10</v>
      </c>
      <c r="D37" t="str">
        <v>Expenses</v>
      </c>
      <c r="E37" t="str">
        <v>Wellbeing</v>
      </c>
      <c r="F37" cm="1">
        <f t="array" ref="F37">SUMPRODUCT(
  (Tracking[Year]=B37) *
  (Tracking[Month]=C37) *
  (Tracking[Type]=D37) *
  (Tracking[Category]=E37) *
  (Tracking[Amount])
)</f>
        <v>74.099999999999994</v>
      </c>
      <c r="G37" cm="1">
        <f t="array" ref="G37">_xlfn.XLOOKUP(E37,Expenses[Expenses],'Budget Planning'!$L$27:$L$47,"INCOME")</f>
        <v>200</v>
      </c>
    </row>
    <row r="38" spans="2:7" x14ac:dyDescent="0.2">
      <c r="B38">
        <v>2025</v>
      </c>
      <c r="C38">
        <v>10</v>
      </c>
      <c r="D38" t="str">
        <v>Expenses</v>
      </c>
      <c r="E38" t="str">
        <v>Extras</v>
      </c>
      <c r="F38" cm="1">
        <f t="array" ref="F38">SUMPRODUCT(
  (Tracking[Year]=B38) *
  (Tracking[Month]=C38) *
  (Tracking[Type]=D38) *
  (Tracking[Category]=E38) *
  (Tracking[Amount])
)</f>
        <v>253.9</v>
      </c>
      <c r="G38" cm="1">
        <f t="array" ref="G38">_xlfn.XLOOKUP(E38,Expenses[Expenses],'Budget Planning'!$L$27:$L$47,"INCOME")</f>
        <v>200</v>
      </c>
    </row>
    <row r="39" spans="2:7" x14ac:dyDescent="0.2">
      <c r="B39">
        <v>2025</v>
      </c>
      <c r="C39">
        <v>10</v>
      </c>
      <c r="D39" t="str">
        <v>Expenses</v>
      </c>
      <c r="E39" t="str">
        <v>Sport</v>
      </c>
      <c r="F39" cm="1">
        <f t="array" ref="F39">SUMPRODUCT(
  (Tracking[Year]=B39) *
  (Tracking[Month]=C39) *
  (Tracking[Type]=D39) *
  (Tracking[Category]=E39) *
  (Tracking[Amount])
)</f>
        <v>363.46000000000004</v>
      </c>
      <c r="G39" cm="1">
        <f t="array" ref="G39">_xlfn.XLOOKUP(E39,Expenses[Expenses],'Budget Planning'!$L$27:$L$47,"INCOME")</f>
        <v>100</v>
      </c>
    </row>
    <row r="40" spans="2:7" x14ac:dyDescent="0.2">
      <c r="B40">
        <v>2025</v>
      </c>
      <c r="C40">
        <v>10</v>
      </c>
      <c r="D40" t="str">
        <v>Expenses</v>
      </c>
      <c r="E40" t="str">
        <v>Car</v>
      </c>
      <c r="F40" cm="1">
        <f t="array" ref="F40">SUMPRODUCT(
  (Tracking[Year]=B40) *
  (Tracking[Month]=C40) *
  (Tracking[Type]=D40) *
  (Tracking[Category]=E40) *
  (Tracking[Amount])
)</f>
        <v>45.59</v>
      </c>
      <c r="G40" cm="1">
        <f t="array" ref="G40">_xlfn.XLOOKUP(E40,Expenses[Expenses],'Budget Planning'!$L$27:$L$47,"INCOME")</f>
        <v>50</v>
      </c>
    </row>
    <row r="41" spans="2:7" x14ac:dyDescent="0.2">
      <c r="B41">
        <v>2025</v>
      </c>
      <c r="C41">
        <v>10</v>
      </c>
      <c r="D41" t="str">
        <v>Expenses</v>
      </c>
      <c r="E41" t="str">
        <v>Internet + Mobile</v>
      </c>
      <c r="F41" cm="1">
        <f t="array" ref="F41">SUMPRODUCT(
  (Tracking[Year]=B41) *
  (Tracking[Month]=C41) *
  (Tracking[Type]=D41) *
  (Tracking[Category]=E41) *
  (Tracking[Amount])
)</f>
        <v>158.29999999999998</v>
      </c>
      <c r="G41" cm="1">
        <f t="array" ref="G41">_xlfn.XLOOKUP(E41,Expenses[Expenses],'Budget Planning'!$L$27:$L$47,"INCOME")</f>
        <v>80</v>
      </c>
    </row>
    <row r="42" spans="2:7" x14ac:dyDescent="0.2">
      <c r="B42">
        <v>2025</v>
      </c>
      <c r="C42">
        <v>10</v>
      </c>
      <c r="D42" t="str">
        <v>Expenses</v>
      </c>
      <c r="E42" t="str">
        <v>Debt</v>
      </c>
      <c r="F42" cm="1">
        <f t="array" ref="F42">SUMPRODUCT(
  (Tracking[Year]=B42) *
  (Tracking[Month]=C42) *
  (Tracking[Type]=D42) *
  (Tracking[Category]=E42) *
  (Tracking[Amount])
)</f>
        <v>1000</v>
      </c>
      <c r="G42" cm="1">
        <f t="array" ref="G42">_xlfn.XLOOKUP(E42,Expenses[Expenses],'Budget Planning'!$L$27:$L$47,"INCOME")</f>
        <v>2000</v>
      </c>
    </row>
    <row r="43" spans="2:7" x14ac:dyDescent="0.2">
      <c r="B43">
        <v>2025</v>
      </c>
      <c r="C43">
        <v>10</v>
      </c>
      <c r="D43" t="str">
        <v>Expenses</v>
      </c>
      <c r="E43" t="str">
        <v>Housing</v>
      </c>
      <c r="F43" cm="1">
        <f t="array" ref="F43">SUMPRODUCT(
  (Tracking[Year]=B43) *
  (Tracking[Month]=C43) *
  (Tracking[Type]=D43) *
  (Tracking[Category]=E43) *
  (Tracking[Amount])
)</f>
        <v>1912</v>
      </c>
      <c r="G43" cm="1">
        <f t="array" ref="G43">_xlfn.XLOOKUP(E43,Expenses[Expenses],'Budget Planning'!$L$27:$L$47,"INCOME")</f>
        <v>1912</v>
      </c>
    </row>
    <row r="44" spans="2:7" x14ac:dyDescent="0.2">
      <c r="B44">
        <v>2025</v>
      </c>
      <c r="C44">
        <v>10</v>
      </c>
      <c r="D44" t="str">
        <v>Expenses</v>
      </c>
      <c r="E44" t="str">
        <v>CC fees</v>
      </c>
      <c r="F44" cm="1">
        <f t="array" ref="F44">SUMPRODUCT(
  (Tracking[Year]=B44) *
  (Tracking[Month]=C44) *
  (Tracking[Type]=D44) *
  (Tracking[Category]=E44) *
  (Tracking[Amount])
)</f>
        <v>10</v>
      </c>
      <c r="G44" cm="1">
        <f t="array" ref="G44">_xlfn.XLOOKUP(E44,Expenses[Expenses],'Budget Planning'!$L$27:$L$47,"INCOME")</f>
        <v>15</v>
      </c>
    </row>
    <row r="45" spans="2:7" x14ac:dyDescent="0.2">
      <c r="B45">
        <v>2025</v>
      </c>
      <c r="C45">
        <v>11</v>
      </c>
      <c r="D45" t="str">
        <v>Expenses</v>
      </c>
      <c r="E45" t="str">
        <v>Groceries</v>
      </c>
      <c r="F45" cm="1">
        <f t="array" ref="F45">SUMPRODUCT(
  (Tracking[Year]=B45) *
  (Tracking[Month]=C45) *
  (Tracking[Type]=D45) *
  (Tracking[Category]=E45) *
  (Tracking[Amount])
)</f>
        <v>177.85000000000002</v>
      </c>
      <c r="G45" cm="1">
        <f t="array" ref="G45">_xlfn.XLOOKUP(E45,Expenses[Expenses],'Budget Planning'!$L$27:$L$47,"INCOME")</f>
        <v>500</v>
      </c>
    </row>
    <row r="46" spans="2:7" x14ac:dyDescent="0.2">
      <c r="B46">
        <v>2025</v>
      </c>
      <c r="C46">
        <v>11</v>
      </c>
      <c r="D46" t="str">
        <v>Expenses</v>
      </c>
      <c r="E46" t="str">
        <v>Restaurants</v>
      </c>
      <c r="F46" cm="1">
        <f t="array" ref="F46">SUMPRODUCT(
  (Tracking[Year]=B46) *
  (Tracking[Month]=C46) *
  (Tracking[Type]=D46) *
  (Tracking[Category]=E46) *
  (Tracking[Amount])
)</f>
        <v>617.70000000000005</v>
      </c>
      <c r="G46" cm="1">
        <f t="array" ref="G46">_xlfn.XLOOKUP(E46,Expenses[Expenses],'Budget Planning'!$L$27:$L$47,"INCOME")</f>
        <v>600</v>
      </c>
    </row>
    <row r="47" spans="2:7" x14ac:dyDescent="0.2">
      <c r="B47">
        <v>2025</v>
      </c>
      <c r="C47">
        <v>11</v>
      </c>
      <c r="D47" t="str">
        <v>Expenses</v>
      </c>
      <c r="E47" t="str">
        <v>Train</v>
      </c>
      <c r="F47" cm="1">
        <f t="array" ref="F47">SUMPRODUCT(
  (Tracking[Year]=B47) *
  (Tracking[Month]=C47) *
  (Tracking[Type]=D47) *
  (Tracking[Category]=E47) *
  (Tracking[Amount])
)</f>
        <v>178.49999999999994</v>
      </c>
      <c r="G47" cm="1">
        <f t="array" ref="G47">_xlfn.XLOOKUP(E47,Expenses[Expenses],'Budget Planning'!$L$27:$L$47,"INCOME")</f>
        <v>160</v>
      </c>
    </row>
    <row r="48" spans="2:7" x14ac:dyDescent="0.2">
      <c r="B48">
        <v>2025</v>
      </c>
      <c r="C48">
        <v>11</v>
      </c>
      <c r="D48" t="str">
        <v>Expenses</v>
      </c>
      <c r="E48" t="str">
        <v>Digital Goods</v>
      </c>
      <c r="F48" cm="1">
        <f t="array" ref="F48">SUMPRODUCT(
  (Tracking[Year]=B48) *
  (Tracking[Month]=C48) *
  (Tracking[Type]=D48) *
  (Tracking[Category]=E48) *
  (Tracking[Amount])
)</f>
        <v>25.51</v>
      </c>
      <c r="G48" cm="1">
        <f t="array" ref="G48">_xlfn.XLOOKUP(E48,Expenses[Expenses],'Budget Planning'!$L$27:$L$47,"INCOME")</f>
        <v>200</v>
      </c>
    </row>
    <row r="49" spans="2:7" x14ac:dyDescent="0.2">
      <c r="B49">
        <v>2025</v>
      </c>
      <c r="C49">
        <v>11</v>
      </c>
      <c r="D49" t="str">
        <v>Expenses</v>
      </c>
      <c r="E49" t="str">
        <v>Withdraw</v>
      </c>
      <c r="F49" cm="1">
        <f t="array" ref="F49">SUMPRODUCT(
  (Tracking[Year]=B49) *
  (Tracking[Month]=C49) *
  (Tracking[Type]=D49) *
  (Tracking[Category]=E49) *
  (Tracking[Amount])
)</f>
        <v>90</v>
      </c>
      <c r="G49" cm="1">
        <f t="array" ref="G49">_xlfn.XLOOKUP(E49,Expenses[Expenses],'Budget Planning'!$L$27:$L$47,"INCOME")</f>
        <v>20</v>
      </c>
    </row>
    <row r="50" spans="2:7" x14ac:dyDescent="0.2">
      <c r="B50">
        <v>2025</v>
      </c>
      <c r="C50">
        <v>11</v>
      </c>
      <c r="D50" t="str">
        <v>Expenses</v>
      </c>
      <c r="E50" t="str">
        <v>Sport</v>
      </c>
      <c r="F50" cm="1">
        <f t="array" ref="F50">SUMPRODUCT(
  (Tracking[Year]=B50) *
  (Tracking[Month]=C50) *
  (Tracking[Type]=D50) *
  (Tracking[Category]=E50) *
  (Tracking[Amount])
)</f>
        <v>38</v>
      </c>
      <c r="G50" cm="1">
        <f t="array" ref="G50">_xlfn.XLOOKUP(E50,Expenses[Expenses],'Budget Planning'!$L$27:$L$47,"INCOME")</f>
        <v>100</v>
      </c>
    </row>
    <row r="51" spans="2:7" x14ac:dyDescent="0.2">
      <c r="B51">
        <v>2025</v>
      </c>
      <c r="C51">
        <v>11</v>
      </c>
      <c r="D51" t="str">
        <v>Expenses</v>
      </c>
      <c r="E51" t="str">
        <v>Internet + Mobile</v>
      </c>
      <c r="F51" cm="1">
        <f t="array" ref="F51">SUMPRODUCT(
  (Tracking[Year]=B51) *
  (Tracking[Month]=C51) *
  (Tracking[Type]=D51) *
  (Tracking[Category]=E51) *
  (Tracking[Amount])
)</f>
        <v>76.95</v>
      </c>
      <c r="G51" cm="1">
        <f t="array" ref="G51">_xlfn.XLOOKUP(E51,Expenses[Expenses],'Budget Planning'!$L$27:$L$47,"INCOME")</f>
        <v>80</v>
      </c>
    </row>
    <row r="52" spans="2:7" x14ac:dyDescent="0.2">
      <c r="B52">
        <v>2025</v>
      </c>
      <c r="C52">
        <v>11</v>
      </c>
      <c r="D52" t="str">
        <v>Expenses</v>
      </c>
      <c r="E52" t="str">
        <v>Extras</v>
      </c>
      <c r="F52" cm="1">
        <f t="array" ref="F52">SUMPRODUCT(
  (Tracking[Year]=B52) *
  (Tracking[Month]=C52) *
  (Tracking[Type]=D52) *
  (Tracking[Category]=E52) *
  (Tracking[Amount])
)</f>
        <v>156</v>
      </c>
      <c r="G52" cm="1">
        <f t="array" ref="G52">_xlfn.XLOOKUP(E52,Expenses[Expenses],'Budget Planning'!$L$27:$L$47,"INCOME")</f>
        <v>200</v>
      </c>
    </row>
    <row r="53" spans="2:7" x14ac:dyDescent="0.2">
      <c r="B53">
        <v>2025</v>
      </c>
      <c r="C53">
        <v>11</v>
      </c>
      <c r="D53" t="str">
        <v>Expenses</v>
      </c>
      <c r="E53" t="str">
        <v>Health Other</v>
      </c>
      <c r="F53" cm="1">
        <f t="array" ref="F53">SUMPRODUCT(
  (Tracking[Year]=B53) *
  (Tracking[Month]=C53) *
  (Tracking[Type]=D53) *
  (Tracking[Category]=E53) *
  (Tracking[Amount])
)</f>
        <v>98.85</v>
      </c>
      <c r="G53" cm="1">
        <f t="array" ref="G53">_xlfn.XLOOKUP(E53,Expenses[Expenses],'Budget Planning'!$L$27:$L$47,"INCOME")</f>
        <v>100</v>
      </c>
    </row>
    <row r="54" spans="2:7" x14ac:dyDescent="0.2">
      <c r="B54">
        <v>2025</v>
      </c>
      <c r="C54">
        <v>11</v>
      </c>
      <c r="D54" t="str">
        <v>Expenses</v>
      </c>
      <c r="E54" t="str">
        <v>Health Insurance</v>
      </c>
      <c r="F54" cm="1">
        <f t="array" ref="F54">SUMPRODUCT(
  (Tracking[Year]=B54) *
  (Tracking[Month]=C54) *
  (Tracking[Type]=D54) *
  (Tracking[Category]=E54) *
  (Tracking[Amount])
)</f>
        <v>501.35</v>
      </c>
      <c r="G54" cm="1">
        <f t="array" ref="G54">_xlfn.XLOOKUP(E54,Expenses[Expenses],'Budget Planning'!$L$27:$L$47,"INCOME")</f>
        <v>501.35</v>
      </c>
    </row>
    <row r="55" spans="2:7" x14ac:dyDescent="0.2">
      <c r="B55">
        <v>2025</v>
      </c>
      <c r="C55">
        <v>11</v>
      </c>
      <c r="D55" t="str">
        <v>Expenses</v>
      </c>
      <c r="E55" t="str">
        <v>Wellbeing</v>
      </c>
      <c r="F55" cm="1">
        <f t="array" ref="F55">SUMPRODUCT(
  (Tracking[Year]=B55) *
  (Tracking[Month]=C55) *
  (Tracking[Type]=D55) *
  (Tracking[Category]=E55) *
  (Tracking[Amount])
)</f>
        <v>65</v>
      </c>
      <c r="G55" cm="1">
        <f t="array" ref="G55">_xlfn.XLOOKUP(E55,Expenses[Expenses],'Budget Planning'!$L$27:$L$47,"INCOME")</f>
        <v>200</v>
      </c>
    </row>
    <row r="56" spans="2:7" x14ac:dyDescent="0.2">
      <c r="B56">
        <v>2025</v>
      </c>
      <c r="C56">
        <v>11</v>
      </c>
      <c r="D56" t="str">
        <v>Expenses</v>
      </c>
      <c r="E56" t="str">
        <v>Home utils</v>
      </c>
      <c r="F56" cm="1">
        <f t="array" ref="F56">SUMPRODUCT(
  (Tracking[Year]=B56) *
  (Tracking[Month]=C56) *
  (Tracking[Type]=D56) *
  (Tracking[Category]=E56) *
  (Tracking[Amount])
)</f>
        <v>539.25</v>
      </c>
      <c r="G56" cm="1">
        <f t="array" ref="G56">_xlfn.XLOOKUP(E56,Expenses[Expenses],'Budget Planning'!$L$27:$L$47,"INCOME")</f>
        <v>35</v>
      </c>
    </row>
    <row r="57" spans="2:7" x14ac:dyDescent="0.2">
      <c r="B57">
        <v>2025</v>
      </c>
      <c r="C57">
        <v>11</v>
      </c>
      <c r="D57" t="str">
        <v>Expenses</v>
      </c>
      <c r="E57" t="str">
        <v>Car</v>
      </c>
      <c r="F57" cm="1">
        <f t="array" ref="F57">SUMPRODUCT(
  (Tracking[Year]=B57) *
  (Tracking[Month]=C57) *
  (Tracking[Type]=D57) *
  (Tracking[Category]=E57) *
  (Tracking[Amount])
)</f>
        <v>1.5</v>
      </c>
      <c r="G57" cm="1">
        <f t="array" ref="G57">_xlfn.XLOOKUP(E57,Expenses[Expenses],'Budget Planning'!$L$27:$L$47,"INCOME")</f>
        <v>50</v>
      </c>
    </row>
    <row r="58" spans="2:7" x14ac:dyDescent="0.2">
      <c r="B58">
        <v>2025</v>
      </c>
      <c r="C58">
        <v>11</v>
      </c>
      <c r="D58" t="str">
        <v>Expenses</v>
      </c>
      <c r="E58" t="str">
        <v>Travel</v>
      </c>
      <c r="F58" cm="1">
        <f t="array" ref="F58">SUMPRODUCT(
  (Tracking[Year]=B58) *
  (Tracking[Month]=C58) *
  (Tracking[Type]=D58) *
  (Tracking[Category]=E58) *
  (Tracking[Amount])
)</f>
        <v>616.16999999999996</v>
      </c>
      <c r="G58" cm="1">
        <f t="array" ref="G58">_xlfn.XLOOKUP(E58,Expenses[Expenses],'Budget Planning'!$L$27:$L$47,"INCOME")</f>
        <v>400</v>
      </c>
    </row>
    <row r="59" spans="2:7" x14ac:dyDescent="0.2">
      <c r="B59">
        <v>2025</v>
      </c>
      <c r="C59">
        <v>11</v>
      </c>
      <c r="D59" t="str">
        <v>Expenses</v>
      </c>
      <c r="E59" t="str">
        <v>Clothing</v>
      </c>
      <c r="F59" cm="1">
        <f t="array" ref="F59">SUMPRODUCT(
  (Tracking[Year]=B59) *
  (Tracking[Month]=C59) *
  (Tracking[Type]=D59) *
  (Tracking[Category]=E59) *
  (Tracking[Amount])
)</f>
        <v>280</v>
      </c>
      <c r="G59" cm="1">
        <f t="array" ref="G59">_xlfn.XLOOKUP(E59,Expenses[Expenses],'Budget Planning'!$L$27:$L$47,"INCOME")</f>
        <v>100</v>
      </c>
    </row>
    <row r="60" spans="2:7" x14ac:dyDescent="0.2">
      <c r="B60">
        <v>2025</v>
      </c>
      <c r="C60">
        <v>11</v>
      </c>
      <c r="D60" t="str">
        <v>Expenses</v>
      </c>
      <c r="E60" t="str">
        <v>Housing</v>
      </c>
      <c r="F60" cm="1">
        <f t="array" ref="F60">SUMPRODUCT(
  (Tracking[Year]=B60) *
  (Tracking[Month]=C60) *
  (Tracking[Type]=D60) *
  (Tracking[Category]=E60) *
  (Tracking[Amount])
)</f>
        <v>1912</v>
      </c>
      <c r="G60" cm="1">
        <f t="array" ref="G60">_xlfn.XLOOKUP(E60,Expenses[Expenses],'Budget Planning'!$L$27:$L$47,"INCOME")</f>
        <v>1912</v>
      </c>
    </row>
    <row r="61" spans="2:7" x14ac:dyDescent="0.2">
      <c r="B61">
        <v>2025</v>
      </c>
      <c r="C61">
        <v>11</v>
      </c>
      <c r="D61" t="str">
        <v>Expenses</v>
      </c>
      <c r="E61" t="str">
        <v>CC fees</v>
      </c>
      <c r="F61" cm="1">
        <f t="array" ref="F61">SUMPRODUCT(
  (Tracking[Year]=B61) *
  (Tracking[Month]=C61) *
  (Tracking[Type]=D61) *
  (Tracking[Category]=E61) *
  (Tracking[Amount])
)</f>
        <v>10</v>
      </c>
      <c r="G61" cm="1">
        <f t="array" ref="G61">_xlfn.XLOOKUP(E61,Expenses[Expenses],'Budget Planning'!$L$27:$L$47,"INCOME")</f>
        <v>15</v>
      </c>
    </row>
    <row r="62" spans="2:7" x14ac:dyDescent="0.2">
      <c r="B62">
        <v>2025</v>
      </c>
      <c r="C62">
        <v>12</v>
      </c>
      <c r="D62" t="str">
        <v>Expenses</v>
      </c>
      <c r="E62" t="str">
        <v>Restaurants</v>
      </c>
      <c r="F62" cm="1">
        <f t="array" ref="F62">SUMPRODUCT(
  (Tracking[Year]=B62) *
  (Tracking[Month]=C62) *
  (Tracking[Type]=D62) *
  (Tracking[Category]=E62) *
  (Tracking[Amount])
)</f>
        <v>676.29999999999984</v>
      </c>
      <c r="G62" cm="1">
        <f t="array" ref="G62">_xlfn.XLOOKUP(E62,Expenses[Expenses],'Budget Planning'!$L$27:$L$47,"INCOME")</f>
        <v>600</v>
      </c>
    </row>
    <row r="63" spans="2:7" x14ac:dyDescent="0.2">
      <c r="B63">
        <v>2025</v>
      </c>
      <c r="C63">
        <v>12</v>
      </c>
      <c r="D63" t="str">
        <v>Expenses</v>
      </c>
      <c r="E63" t="str">
        <v>Digital Goods</v>
      </c>
      <c r="F63" cm="1">
        <f t="array" ref="F63">SUMPRODUCT(
  (Tracking[Year]=B63) *
  (Tracking[Month]=C63) *
  (Tracking[Type]=D63) *
  (Tracking[Category]=E63) *
  (Tracking[Amount])
)</f>
        <v>115.25999999999999</v>
      </c>
      <c r="G63" cm="1">
        <f t="array" ref="G63">_xlfn.XLOOKUP(E63,Expenses[Expenses],'Budget Planning'!$L$27:$L$47,"INCOME")</f>
        <v>200</v>
      </c>
    </row>
    <row r="64" spans="2:7" x14ac:dyDescent="0.2">
      <c r="B64">
        <v>2025</v>
      </c>
      <c r="C64">
        <v>12</v>
      </c>
      <c r="D64" t="str">
        <v>Expenses</v>
      </c>
      <c r="E64" t="str">
        <v>Train</v>
      </c>
      <c r="F64" cm="1">
        <f t="array" ref="F64">SUMPRODUCT(
  (Tracking[Year]=B64) *
  (Tracking[Month]=C64) *
  (Tracking[Type]=D64) *
  (Tracking[Category]=E64) *
  (Tracking[Amount])
)</f>
        <v>126.10000000000001</v>
      </c>
      <c r="G64" cm="1">
        <f t="array" ref="G64">_xlfn.XLOOKUP(E64,Expenses[Expenses],'Budget Planning'!$L$27:$L$47,"INCOME")</f>
        <v>160</v>
      </c>
    </row>
    <row r="65" spans="2:7" x14ac:dyDescent="0.2">
      <c r="B65">
        <v>2025</v>
      </c>
      <c r="C65">
        <v>12</v>
      </c>
      <c r="D65" t="str">
        <v>Expenses</v>
      </c>
      <c r="E65" t="str">
        <v>Groceries</v>
      </c>
      <c r="F65" cm="1">
        <f t="array" ref="F65">SUMPRODUCT(
  (Tracking[Year]=B65) *
  (Tracking[Month]=C65) *
  (Tracking[Type]=D65) *
  (Tracking[Category]=E65) *
  (Tracking[Amount])
)</f>
        <v>246.45</v>
      </c>
      <c r="G65" cm="1">
        <f t="array" ref="G65">_xlfn.XLOOKUP(E65,Expenses[Expenses],'Budget Planning'!$L$27:$L$47,"INCOME")</f>
        <v>500</v>
      </c>
    </row>
    <row r="66" spans="2:7" x14ac:dyDescent="0.2">
      <c r="B66">
        <v>2025</v>
      </c>
      <c r="C66">
        <v>12</v>
      </c>
      <c r="D66" t="str">
        <v>Expenses</v>
      </c>
      <c r="E66" t="str">
        <v>Sport</v>
      </c>
      <c r="F66" cm="1">
        <f t="array" ref="F66">SUMPRODUCT(
  (Tracking[Year]=B66) *
  (Tracking[Month]=C66) *
  (Tracking[Type]=D66) *
  (Tracking[Category]=E66) *
  (Tracking[Amount])
)</f>
        <v>58</v>
      </c>
      <c r="G66" cm="1">
        <f t="array" ref="G66">_xlfn.XLOOKUP(E66,Expenses[Expenses],'Budget Planning'!$L$27:$L$47,"INCOME")</f>
        <v>100</v>
      </c>
    </row>
    <row r="67" spans="2:7" x14ac:dyDescent="0.2">
      <c r="B67">
        <v>2025</v>
      </c>
      <c r="C67">
        <v>12</v>
      </c>
      <c r="D67" t="str">
        <v>Savings</v>
      </c>
      <c r="E67" t="str">
        <v>Rent Guarantee</v>
      </c>
      <c r="F67" cm="1">
        <f t="array" ref="F67">SUMPRODUCT(
  (Tracking[Year]=B67) *
  (Tracking[Month]=C67) *
  (Tracking[Type]=D67) *
  (Tracking[Category]=E67) *
  (Tracking[Amount])
)</f>
        <v>6240</v>
      </c>
      <c r="G67" t="str" cm="1">
        <f t="array" ref="G67">_xlfn.XLOOKUP(E67,Expenses[Expenses],'Budget Planning'!$L$27:$L$47,"INCOME")</f>
        <v>INCOME</v>
      </c>
    </row>
    <row r="68" spans="2:7" x14ac:dyDescent="0.2">
      <c r="B68">
        <v>2025</v>
      </c>
      <c r="C68">
        <v>12</v>
      </c>
      <c r="D68" t="str">
        <v>Expenses</v>
      </c>
      <c r="E68" t="str">
        <v>Internet + Mobile</v>
      </c>
      <c r="F68" cm="1">
        <f t="array" ref="F68">SUMPRODUCT(
  (Tracking[Year]=B68) *
  (Tracking[Month]=C68) *
  (Tracking[Type]=D68) *
  (Tracking[Category]=E68) *
  (Tracking[Amount])
)</f>
        <v>76.95</v>
      </c>
      <c r="G68" cm="1">
        <f t="array" ref="G68">_xlfn.XLOOKUP(E68,Expenses[Expenses],'Budget Planning'!$L$27:$L$47,"INCOME")</f>
        <v>80</v>
      </c>
    </row>
    <row r="69" spans="2:7" x14ac:dyDescent="0.2">
      <c r="B69">
        <v>2025</v>
      </c>
      <c r="C69">
        <v>12</v>
      </c>
      <c r="D69" t="str">
        <v>Expenses</v>
      </c>
      <c r="E69" t="str">
        <v>Home Furnitures</v>
      </c>
      <c r="F69" cm="1">
        <f t="array" ref="F69">SUMPRODUCT(
  (Tracking[Year]=B69) *
  (Tracking[Month]=C69) *
  (Tracking[Type]=D69) *
  (Tracking[Category]=E69) *
  (Tracking[Amount])
)</f>
        <v>1509.6000000000001</v>
      </c>
      <c r="G69" cm="1">
        <f t="array" ref="G69">_xlfn.XLOOKUP(E69,Expenses[Expenses],'Budget Planning'!$L$27:$L$47,"INCOME")</f>
        <v>0</v>
      </c>
    </row>
    <row r="70" spans="2:7" x14ac:dyDescent="0.2">
      <c r="B70">
        <v>2025</v>
      </c>
      <c r="C70">
        <v>12</v>
      </c>
      <c r="D70" t="str">
        <v>Expenses</v>
      </c>
      <c r="E70" t="str">
        <v>Extras</v>
      </c>
      <c r="F70" cm="1">
        <f t="array" ref="F70">SUMPRODUCT(
  (Tracking[Year]=B70) *
  (Tracking[Month]=C70) *
  (Tracking[Type]=D70) *
  (Tracking[Category]=E70) *
  (Tracking[Amount])
)</f>
        <v>359</v>
      </c>
      <c r="G70" cm="1">
        <f t="array" ref="G70">_xlfn.XLOOKUP(E70,Expenses[Expenses],'Budget Planning'!$L$27:$L$47,"INCOME")</f>
        <v>200</v>
      </c>
    </row>
    <row r="71" spans="2:7" x14ac:dyDescent="0.2">
      <c r="B71">
        <v>2025</v>
      </c>
      <c r="C71">
        <v>12</v>
      </c>
      <c r="D71" t="str">
        <v>Expenses</v>
      </c>
      <c r="E71" t="str">
        <v>Car</v>
      </c>
      <c r="F71" cm="1">
        <f t="array" ref="F71">SUMPRODUCT(
  (Tracking[Year]=B71) *
  (Tracking[Month]=C71) *
  (Tracking[Type]=D71) *
  (Tracking[Category]=E71) *
  (Tracking[Amount])
)</f>
        <v>132.47</v>
      </c>
      <c r="G71" cm="1">
        <f t="array" ref="G71">_xlfn.XLOOKUP(E71,Expenses[Expenses],'Budget Planning'!$L$27:$L$47,"INCOME")</f>
        <v>50</v>
      </c>
    </row>
    <row r="72" spans="2:7" x14ac:dyDescent="0.2">
      <c r="B72">
        <v>2025</v>
      </c>
      <c r="C72">
        <v>12</v>
      </c>
      <c r="D72" t="str">
        <v>Expenses</v>
      </c>
      <c r="E72" t="str">
        <v>Travel</v>
      </c>
      <c r="F72" cm="1">
        <f t="array" ref="F72">SUMPRODUCT(
  (Tracking[Year]=B72) *
  (Tracking[Month]=C72) *
  (Tracking[Type]=D72) *
  (Tracking[Category]=E72) *
  (Tracking[Amount])
)</f>
        <v>1835.3799999999999</v>
      </c>
      <c r="G72" cm="1">
        <f t="array" ref="G72">_xlfn.XLOOKUP(E72,Expenses[Expenses],'Budget Planning'!$L$27:$L$47,"INCOME")</f>
        <v>400</v>
      </c>
    </row>
    <row r="73" spans="2:7" x14ac:dyDescent="0.2">
      <c r="B73">
        <v>2025</v>
      </c>
      <c r="C73">
        <v>12</v>
      </c>
      <c r="D73" t="str">
        <v>Expenses</v>
      </c>
      <c r="E73" t="str">
        <v>Clothing</v>
      </c>
      <c r="F73" cm="1">
        <f t="array" ref="F73">SUMPRODUCT(
  (Tracking[Year]=B73) *
  (Tracking[Month]=C73) *
  (Tracking[Type]=D73) *
  (Tracking[Category]=E73) *
  (Tracking[Amount])
)</f>
        <v>39.99</v>
      </c>
      <c r="G73" cm="1">
        <f t="array" ref="G73">_xlfn.XLOOKUP(E73,Expenses[Expenses],'Budget Planning'!$L$27:$L$47,"INCOME")</f>
        <v>100</v>
      </c>
    </row>
    <row r="74" spans="2:7" x14ac:dyDescent="0.2">
      <c r="B74">
        <v>2025</v>
      </c>
      <c r="C74">
        <v>12</v>
      </c>
      <c r="D74" t="str">
        <v>Expenses</v>
      </c>
      <c r="E74" t="str">
        <v>Health Insurance</v>
      </c>
      <c r="F74" cm="1">
        <f t="array" ref="F74">SUMPRODUCT(
  (Tracking[Year]=B74) *
  (Tracking[Month]=C74) *
  (Tracking[Type]=D74) *
  (Tracking[Category]=E74) *
  (Tracking[Amount])
)</f>
        <v>501.35</v>
      </c>
      <c r="G74" cm="1">
        <f t="array" ref="G74">_xlfn.XLOOKUP(E74,Expenses[Expenses],'Budget Planning'!$L$27:$L$47,"INCOME")</f>
        <v>501.35</v>
      </c>
    </row>
    <row r="75" spans="2:7" x14ac:dyDescent="0.2">
      <c r="B75">
        <v>2025</v>
      </c>
      <c r="C75">
        <v>12</v>
      </c>
      <c r="D75" t="str">
        <v>Expenses</v>
      </c>
      <c r="E75" t="str">
        <v>CC fees</v>
      </c>
      <c r="F75" cm="1">
        <f t="array" ref="F75">SUMPRODUCT(
  (Tracking[Year]=B75) *
  (Tracking[Month]=C75) *
  (Tracking[Type]=D75) *
  (Tracking[Category]=E75) *
  (Tracking[Amount])
)</f>
        <v>10</v>
      </c>
      <c r="G75" cm="1">
        <f t="array" ref="G75">_xlfn.XLOOKUP(E75,Expenses[Expenses],'Budget Planning'!$L$27:$L$47,"INCOME")</f>
        <v>15</v>
      </c>
    </row>
    <row r="76" spans="2:7" x14ac:dyDescent="0.2">
      <c r="B76">
        <v>2025</v>
      </c>
      <c r="C76">
        <v>12</v>
      </c>
      <c r="D76" t="str">
        <v>Expenses</v>
      </c>
      <c r="E76" t="str">
        <v>Housing</v>
      </c>
      <c r="F76" cm="1">
        <f t="array" ref="F76">SUMPRODUCT(
  (Tracking[Year]=B76) *
  (Tracking[Month]=C76) *
  (Tracking[Type]=D76) *
  (Tracking[Category]=E76) *
  (Tracking[Amount])
)</f>
        <v>1500</v>
      </c>
      <c r="G76" cm="1">
        <f t="array" ref="G76">_xlfn.XLOOKUP(E76,Expenses[Expenses],'Budget Planning'!$L$27:$L$47,"INCOME")</f>
        <v>1912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DC6F8-3B44-0F45-8685-A707D446482A}">
  <sheetPr>
    <tabColor theme="2"/>
  </sheetPr>
  <dimension ref="B1:R150"/>
  <sheetViews>
    <sheetView showGridLines="0" topLeftCell="A9" zoomScaleNormal="181" workbookViewId="0">
      <selection activeCell="I22" sqref="I22"/>
    </sheetView>
  </sheetViews>
  <sheetFormatPr baseColWidth="10" defaultRowHeight="16" x14ac:dyDescent="0.2"/>
  <cols>
    <col min="2" max="2" width="4.6640625" customWidth="1"/>
    <col min="3" max="3" width="4.1640625" customWidth="1"/>
    <col min="4" max="4" width="21.5" bestFit="1" customWidth="1"/>
    <col min="5" max="5" width="31.33203125" bestFit="1" customWidth="1"/>
    <col min="6" max="6" width="11.6640625" customWidth="1"/>
    <col min="7" max="7" width="12" customWidth="1"/>
    <col min="8" max="8" width="21.5" customWidth="1"/>
    <col min="9" max="9" width="31.33203125" customWidth="1"/>
    <col min="10" max="10" width="8.6640625" customWidth="1"/>
    <col min="11" max="11" width="10.33203125" customWidth="1"/>
    <col min="12" max="12" width="21.5" customWidth="1"/>
    <col min="13" max="13" width="31.33203125" bestFit="1" customWidth="1"/>
    <col min="14" max="14" width="12" customWidth="1"/>
    <col min="16" max="16" width="31.33203125" bestFit="1" customWidth="1"/>
    <col min="17" max="17" width="12" customWidth="1"/>
  </cols>
  <sheetData>
    <row r="1" spans="2:6" s="2" customFormat="1" x14ac:dyDescent="0.2"/>
    <row r="2" spans="2:6" s="2" customFormat="1" ht="38" customHeight="1" x14ac:dyDescent="0.2">
      <c r="B2" s="131" t="s">
        <v>3</v>
      </c>
      <c r="C2" s="131"/>
      <c r="D2" s="131"/>
      <c r="E2" s="131"/>
    </row>
    <row r="3" spans="2:6" s="2" customFormat="1" x14ac:dyDescent="0.2"/>
    <row r="6" spans="2:6" x14ac:dyDescent="0.2">
      <c r="C6" s="45" t="s">
        <v>39</v>
      </c>
      <c r="D6" s="43"/>
      <c r="E6" s="43"/>
      <c r="F6" s="43"/>
    </row>
    <row r="8" spans="2:6" x14ac:dyDescent="0.2">
      <c r="D8" s="57" t="s">
        <v>40</v>
      </c>
      <c r="E8" s="44">
        <f ca="1">TODAY()</f>
        <v>46038</v>
      </c>
    </row>
    <row r="9" spans="2:6" x14ac:dyDescent="0.2">
      <c r="D9" s="57" t="s">
        <v>41</v>
      </c>
      <c r="E9" s="44">
        <f>MAX(Tracking[Date])</f>
        <v>46022</v>
      </c>
    </row>
    <row r="10" spans="2:6" x14ac:dyDescent="0.2">
      <c r="D10" s="57" t="s">
        <v>42</v>
      </c>
      <c r="E10" t="str">
        <f ca="1">IF(E9=0,"","("&amp; _xlfn.DAYS(E8,E9)&amp;" days ago)")</f>
        <v>(16 days ago)</v>
      </c>
    </row>
    <row r="11" spans="2:6" x14ac:dyDescent="0.2">
      <c r="D11" s="57" t="s">
        <v>43</v>
      </c>
      <c r="E11">
        <f>COUNT(Tracking[Date])</f>
        <v>530</v>
      </c>
    </row>
    <row r="12" spans="2:6" x14ac:dyDescent="0.2">
      <c r="D12" s="57" t="s">
        <v>44</v>
      </c>
      <c r="E12" t="str" cm="1">
        <f t="array" ref="E12">"("&amp;SUMPRODUCT(--(YEAR(Tracking[Date])=YEAR(current_date)))&amp;" this year)"</f>
        <v>(530 this year)</v>
      </c>
    </row>
    <row r="13" spans="2:6" x14ac:dyDescent="0.2">
      <c r="D13" s="57" t="s">
        <v>45</v>
      </c>
      <c r="E13" s="46">
        <f>_xlfn.IFNA(INDEX(Tracking[Balance],MATCH(Calculations!E9,Tracking[Date],0)), "-")</f>
        <v>11938.549999999987</v>
      </c>
    </row>
    <row r="14" spans="2:6" x14ac:dyDescent="0.2">
      <c r="D14" s="57" t="s">
        <v>46</v>
      </c>
      <c r="E14" t="str">
        <f>IF(E13&gt;0, "of tracked income left to be allocated", "allocated not covered by income")</f>
        <v>of tracked income left to be allocated</v>
      </c>
    </row>
    <row r="17" spans="3:14" x14ac:dyDescent="0.2">
      <c r="C17" s="45" t="s">
        <v>56</v>
      </c>
      <c r="D17" s="43"/>
      <c r="E17" s="43"/>
      <c r="F17" s="43"/>
    </row>
    <row r="19" spans="3:14" x14ac:dyDescent="0.2">
      <c r="D19" s="57" t="s">
        <v>57</v>
      </c>
      <c r="E19" cm="1">
        <f t="array" ref="E19">IF('Budget Dashboard'!$AQ$6 ="Current Year", YEAR(current_date), 'Budget Dashboard'!$AQ$6)</f>
        <v>2025</v>
      </c>
    </row>
    <row r="20" spans="3:14" x14ac:dyDescent="0.2">
      <c r="D20" s="58" t="s">
        <v>58</v>
      </c>
      <c r="E20" s="56" t="str" cm="1">
        <f t="array" ref="E20">IF('Budget Dashboard'!$AQ$9="Total Year", "Total Year", IF('Budget Dashboard'!$AQ$9="Current Month", MONTH(current_date), MONTH('Budget Dashboard'!$AQ$9)))</f>
        <v>Total Year</v>
      </c>
    </row>
    <row r="21" spans="3:14" x14ac:dyDescent="0.2">
      <c r="D21" s="57" t="s">
        <v>59</v>
      </c>
      <c r="E21" s="60" t="str">
        <f>IF(selected_period="Total Year", "Total Year", TEXT(DATE(selected_year, selected_period, 1), "mmmm"))</f>
        <v>Total Year</v>
      </c>
    </row>
    <row r="22" spans="3:14" x14ac:dyDescent="0.2">
      <c r="D22" s="57"/>
    </row>
    <row r="23" spans="3:14" x14ac:dyDescent="0.2">
      <c r="D23" s="57"/>
    </row>
    <row r="24" spans="3:14" x14ac:dyDescent="0.2">
      <c r="D24" s="57"/>
    </row>
    <row r="25" spans="3:14" x14ac:dyDescent="0.2">
      <c r="D25" s="59"/>
    </row>
    <row r="32" spans="3:14" x14ac:dyDescent="0.2">
      <c r="D32" s="84" t="s">
        <v>84</v>
      </c>
      <c r="E32" s="83"/>
      <c r="F32" s="83"/>
      <c r="G32" s="83"/>
      <c r="H32" s="83"/>
      <c r="I32" s="83"/>
      <c r="J32" s="83"/>
      <c r="K32" s="83"/>
      <c r="L32" s="83"/>
      <c r="M32" s="83"/>
      <c r="N32" s="83"/>
    </row>
    <row r="34" spans="4:14" x14ac:dyDescent="0.2">
      <c r="D34" s="85" t="s">
        <v>10</v>
      </c>
      <c r="E34" s="85" t="s">
        <v>30</v>
      </c>
      <c r="F34" s="85" t="s">
        <v>85</v>
      </c>
      <c r="H34" s="85" t="s">
        <v>10</v>
      </c>
      <c r="I34" s="85" t="s">
        <v>30</v>
      </c>
      <c r="J34" s="85" t="s">
        <v>85</v>
      </c>
      <c r="L34" s="85" t="s">
        <v>10</v>
      </c>
      <c r="M34" s="85" t="s">
        <v>30</v>
      </c>
      <c r="N34" s="85" t="s">
        <v>85</v>
      </c>
    </row>
    <row r="35" spans="4:14" x14ac:dyDescent="0.2">
      <c r="D35" s="48">
        <v>1</v>
      </c>
      <c r="E35" s="48" t="str" cm="1">
        <f t="array" aca="1" ref="E35" ca="1" xml:space="preserve"> IF(F35="", "", INDEX('Budget Dashboard'!$J:$J, MATCH(income_header_row + Calculations!D35, 'Budget Dashboard'!$X:$X, 0)))</f>
        <v>Employment</v>
      </c>
      <c r="F35" s="88" cm="1">
        <f t="array" aca="1" ref="F35" ca="1">IF(D35&gt;COUNTA(Income[]), "",
    IF(INDEX('Budget Dashboard'!$K:$K, MATCH(income_header_row + Calculations!D35, 'Budget Dashboard'!$X:$X, 0))=0,"",
       INDEX('Budget Dashboard'!$K:$K, MATCH(income_header_row + Calculations!D35, 'Budget Dashboard'!$X:$X, 0))))</f>
        <v>36745.9</v>
      </c>
      <c r="H35" s="48">
        <v>1</v>
      </c>
      <c r="I35" s="48" t="str" cm="1">
        <f t="array" aca="1" ref="I35" ca="1" xml:space="preserve"> IF(J35="", "", INDEX('Budget Dashboard'!$J:$J, MATCH(expenses_header_row + Calculations!H35, 'Budget Dashboard'!$X:$X, 0)))</f>
        <v>Housing</v>
      </c>
      <c r="J35" s="88" cm="1">
        <f t="array" aca="1" ref="J35" ca="1">IF(H35&gt;COUNTA(Expenses[]), "",
    IF(INDEX('Budget Dashboard'!$K:$K, MATCH(expenses_header_row + Calculations!H35, 'Budget Dashboard'!$X:$X, 0))=0,"",
       INDEX('Budget Dashboard'!$K:$K, MATCH(expenses_header_row + Calculations!H35, 'Budget Dashboard'!$X:$X, 0))))</f>
        <v>9148</v>
      </c>
      <c r="L35" s="48">
        <v>1</v>
      </c>
      <c r="M35" s="48" t="str" cm="1">
        <f t="array" aca="1" ref="M35" ca="1" xml:space="preserve"> IF(N35="", "", INDEX('Budget Dashboard'!$J:$J, MATCH(savings_header_row + Calculations!L35, 'Budget Dashboard'!$X:$X, 0)))</f>
        <v>Rent Guarantee</v>
      </c>
      <c r="N35" s="88" cm="1">
        <f t="array" aca="1" ref="N35" ca="1">IF(L35&gt;COUNTA(Savings[]), "",
    IF(INDEX('Budget Dashboard'!$K:$K, MATCH(savings_header_row + Calculations!L35, 'Budget Dashboard'!$X:$X, 0))=0,"",
       INDEX('Budget Dashboard'!$K:$K, MATCH(savings_header_row + Calculations!L35, 'Budget Dashboard'!$X:$X, 0))))</f>
        <v>6240</v>
      </c>
    </row>
    <row r="36" spans="4:14" x14ac:dyDescent="0.2">
      <c r="D36" s="48">
        <v>2</v>
      </c>
      <c r="E36" s="48" t="str" cm="1">
        <f t="array" aca="1" ref="E36" ca="1" xml:space="preserve"> IF(F36="", "", INDEX('Budget Dashboard'!$J:$J, MATCH(income_header_row + Calculations!D36, 'Budget Dashboard'!$X:$X, 0)))</f>
        <v>Side Hustle</v>
      </c>
      <c r="F36" s="88" cm="1">
        <f t="array" aca="1" ref="F36" ca="1">IF(D36&gt;COUNTA(Income[]), "",
    IF(INDEX('Budget Dashboard'!$K:$K, MATCH(income_header_row + Calculations!D36, 'Budget Dashboard'!$X:$X, 0))=0,"",
       INDEX('Budget Dashboard'!$K:$K, MATCH(income_header_row + Calculations!D36, 'Budget Dashboard'!$X:$X, 0))))</f>
        <v>6013.2</v>
      </c>
      <c r="H36" s="48">
        <v>2</v>
      </c>
      <c r="I36" s="48" t="str" cm="1">
        <f t="array" aca="1" ref="I36" ca="1" xml:space="preserve"> IF(J36="", "", INDEX('Budget Dashboard'!$J:$J, MATCH(expenses_header_row + Calculations!H36, 'Budget Dashboard'!$X:$X, 0)))</f>
        <v>Restaurants</v>
      </c>
      <c r="J36" s="88" cm="1">
        <f t="array" aca="1" ref="J36" ca="1">IF(H36&gt;COUNTA(Expenses[]), "",
    IF(INDEX('Budget Dashboard'!$K:$K, MATCH(expenses_header_row + Calculations!H36, 'Budget Dashboard'!$X:$X, 0))=0,"",
       INDEX('Budget Dashboard'!$K:$K, MATCH(expenses_header_row + Calculations!H36, 'Budget Dashboard'!$X:$X, 0))))</f>
        <v>3150.130000000001</v>
      </c>
      <c r="L36" s="48">
        <v>2</v>
      </c>
      <c r="M36" s="48" t="str" cm="1">
        <f t="array" aca="1" ref="M36" ca="1" xml:space="preserve"> IF(N36="", "", INDEX('Budget Dashboard'!$J:$J, MATCH(savings_header_row + Calculations!L36, 'Budget Dashboard'!$X:$X, 0)))</f>
        <v/>
      </c>
      <c r="N36" s="88" t="str" cm="1">
        <f t="array" aca="1" ref="N36" ca="1">IF(L36&gt;COUNTA(Savings[]), "",
    IF(INDEX('Budget Dashboard'!$K:$K, MATCH(savings_header_row + Calculations!L36, 'Budget Dashboard'!$X:$X, 0))=0,"",
       INDEX('Budget Dashboard'!$K:$K, MATCH(savings_header_row + Calculations!L36, 'Budget Dashboard'!$X:$X, 0))))</f>
        <v/>
      </c>
    </row>
    <row r="37" spans="4:14" x14ac:dyDescent="0.2">
      <c r="D37" s="48">
        <v>3</v>
      </c>
      <c r="E37" s="48" t="str" cm="1">
        <f t="array" aca="1" ref="E37" ca="1" xml:space="preserve"> IF(F37="", "", INDEX('Budget Dashboard'!$J:$J, MATCH(income_header_row + Calculations!D37, 'Budget Dashboard'!$X:$X, 0)))</f>
        <v>Grant Payment</v>
      </c>
      <c r="F37" s="88" cm="1">
        <f t="array" aca="1" ref="F37" ca="1">IF(D37&gt;COUNTA(Income[]), "",
    IF(INDEX('Budget Dashboard'!$K:$K, MATCH(income_header_row + Calculations!D37, 'Budget Dashboard'!$X:$X, 0))=0,"",
       INDEX('Budget Dashboard'!$K:$K, MATCH(income_header_row + Calculations!D37, 'Budget Dashboard'!$X:$X, 0))))</f>
        <v>4000</v>
      </c>
      <c r="H37" s="48">
        <v>3</v>
      </c>
      <c r="I37" s="48" t="str" cm="1">
        <f t="array" aca="1" ref="I37" ca="1" xml:space="preserve"> IF(J37="", "", INDEX('Budget Dashboard'!$J:$J, MATCH(expenses_header_row + Calculations!H37, 'Budget Dashboard'!$X:$X, 0)))</f>
        <v>Debt</v>
      </c>
      <c r="J37" s="88" cm="1">
        <f t="array" aca="1" ref="J37" ca="1">IF(H37&gt;COUNTA(Expenses[]), "",
    IF(INDEX('Budget Dashboard'!$K:$K, MATCH(expenses_header_row + Calculations!H37, 'Budget Dashboard'!$X:$X, 0))=0,"",
       INDEX('Budget Dashboard'!$K:$K, MATCH(expenses_header_row + Calculations!H37, 'Budget Dashboard'!$X:$X, 0))))</f>
        <v>2756.8500000000004</v>
      </c>
      <c r="L37" s="48">
        <v>3</v>
      </c>
      <c r="M37" s="48" t="str" cm="1">
        <f t="array" aca="1" ref="M37" ca="1" xml:space="preserve"> IF(N37="", "", INDEX('Budget Dashboard'!$J:$J, MATCH(savings_header_row + Calculations!L37, 'Budget Dashboard'!$X:$X, 0)))</f>
        <v/>
      </c>
      <c r="N37" s="88" t="str" cm="1">
        <f t="array" aca="1" ref="N37" ca="1">IF(L37&gt;COUNTA(Savings[]), "",
    IF(INDEX('Budget Dashboard'!$K:$K, MATCH(savings_header_row + Calculations!L37, 'Budget Dashboard'!$X:$X, 0))=0,"",
       INDEX('Budget Dashboard'!$K:$K, MATCH(savings_header_row + Calculations!L37, 'Budget Dashboard'!$X:$X, 0))))</f>
        <v/>
      </c>
    </row>
    <row r="38" spans="4:14" x14ac:dyDescent="0.2">
      <c r="D38" s="48">
        <v>4</v>
      </c>
      <c r="E38" s="48" t="str" cm="1">
        <f t="array" aca="1" ref="E38" ca="1" xml:space="preserve"> IF(F38="", "", INDEX('Budget Dashboard'!$J:$J, MATCH(income_header_row + Calculations!D38, 'Budget Dashboard'!$X:$X, 0)))</f>
        <v>Extras / Twint Chargeback</v>
      </c>
      <c r="F38" s="88" cm="1">
        <f t="array" aca="1" ref="F38" ca="1">IF(D38&gt;COUNTA(Income[]), "",
    IF(INDEX('Budget Dashboard'!$K:$K, MATCH(income_header_row + Calculations!D38, 'Budget Dashboard'!$X:$X, 0))=0,"",
       INDEX('Budget Dashboard'!$K:$K, MATCH(income_header_row + Calculations!D38, 'Budget Dashboard'!$X:$X, 0))))</f>
        <v>1160.25</v>
      </c>
      <c r="H38" s="48">
        <v>4</v>
      </c>
      <c r="I38" s="48" t="str" cm="1">
        <f t="array" aca="1" ref="I38" ca="1" xml:space="preserve"> IF(J38="", "", INDEX('Budget Dashboard'!$J:$J, MATCH(expenses_header_row + Calculations!H38, 'Budget Dashboard'!$X:$X, 0)))</f>
        <v>Travel</v>
      </c>
      <c r="J38" s="88" cm="1">
        <f t="array" aca="1" ref="J38" ca="1">IF(H38&gt;COUNTA(Expenses[]), "",
    IF(INDEX('Budget Dashboard'!$K:$K, MATCH(expenses_header_row + Calculations!H38, 'Budget Dashboard'!$X:$X, 0))=0,"",
       INDEX('Budget Dashboard'!$K:$K, MATCH(expenses_header_row + Calculations!H38, 'Budget Dashboard'!$X:$X, 0))))</f>
        <v>2751.55</v>
      </c>
      <c r="L38" s="48">
        <v>4</v>
      </c>
      <c r="M38" s="48" t="str" cm="1">
        <f t="array" aca="1" ref="M38" ca="1" xml:space="preserve"> IF(N38="", "", INDEX('Budget Dashboard'!$J:$J, MATCH(savings_header_row + Calculations!L38, 'Budget Dashboard'!$X:$X, 0)))</f>
        <v/>
      </c>
      <c r="N38" s="88" t="str" cm="1">
        <f t="array" aca="1" ref="N38" ca="1">IF(L38&gt;COUNTA(Savings[]), "",
    IF(INDEX('Budget Dashboard'!$K:$K, MATCH(savings_header_row + Calculations!L38, 'Budget Dashboard'!$X:$X, 0))=0,"",
       INDEX('Budget Dashboard'!$K:$K, MATCH(savings_header_row + Calculations!L38, 'Budget Dashboard'!$X:$X, 0))))</f>
        <v/>
      </c>
    </row>
    <row r="39" spans="4:14" x14ac:dyDescent="0.2">
      <c r="D39" s="48">
        <v>5</v>
      </c>
      <c r="E39" s="48" t="str" cm="1">
        <f t="array" ref="E39" xml:space="preserve"> IF(F39="", "", INDEX('Budget Dashboard'!$J:$J, MATCH(income_header_row + Calculations!D39, 'Budget Dashboard'!$X:$X, 0)))</f>
        <v/>
      </c>
      <c r="F39" s="88" t="str" cm="1">
        <f t="array" ref="F39">IF(D39&gt;COUNTA(Income[]), "",
    IF(INDEX('Budget Dashboard'!$K:$K, MATCH(income_header_row + Calculations!D39, 'Budget Dashboard'!$X:$X, 0))=0,"",
       INDEX('Budget Dashboard'!$K:$K, MATCH(income_header_row + Calculations!D39, 'Budget Dashboard'!$X:$X, 0))))</f>
        <v/>
      </c>
      <c r="H39" s="48">
        <v>5</v>
      </c>
      <c r="I39" s="48" t="str" cm="1">
        <f t="array" aca="1" ref="I39" ca="1" xml:space="preserve"> IF(J39="", "", INDEX('Budget Dashboard'!$J:$J, MATCH(expenses_header_row + Calculations!H39, 'Budget Dashboard'!$X:$X, 0)))</f>
        <v>Health Insurance</v>
      </c>
      <c r="J39" s="88" cm="1">
        <f t="array" aca="1" ref="J39" ca="1">IF(H39&gt;COUNTA(Expenses[]), "",
    IF(INDEX('Budget Dashboard'!$K:$K, MATCH(expenses_header_row + Calculations!H39, 'Budget Dashboard'!$X:$X, 0))=0,"",
       INDEX('Budget Dashboard'!$K:$K, MATCH(expenses_header_row + Calculations!H39, 'Budget Dashboard'!$X:$X, 0))))</f>
        <v>2506.75</v>
      </c>
      <c r="L39" s="48">
        <v>5</v>
      </c>
      <c r="M39" s="48" t="str" cm="1">
        <f t="array" aca="1" ref="M39" ca="1" xml:space="preserve"> IF(N39="", "", INDEX('Budget Dashboard'!$J:$J, MATCH(savings_header_row + Calculations!L39, 'Budget Dashboard'!$X:$X, 0)))</f>
        <v/>
      </c>
      <c r="N39" s="88" t="str" cm="1">
        <f t="array" aca="1" ref="N39" ca="1">IF(L39&gt;COUNTA(Savings[]), "",
    IF(INDEX('Budget Dashboard'!$K:$K, MATCH(savings_header_row + Calculations!L39, 'Budget Dashboard'!$X:$X, 0))=0,"",
       INDEX('Budget Dashboard'!$K:$K, MATCH(savings_header_row + Calculations!L39, 'Budget Dashboard'!$X:$X, 0))))</f>
        <v/>
      </c>
    </row>
    <row r="40" spans="4:14" ht="17" thickBot="1" x14ac:dyDescent="0.25">
      <c r="D40" s="86">
        <v>6</v>
      </c>
      <c r="E40" s="86" t="str">
        <f ca="1">IF(F40="", "", "Other")</f>
        <v/>
      </c>
      <c r="F40" s="89" t="str">
        <f ca="1">IF(F41-SUM(F35:F39)=0, "", F41-SUM(F35:F39))</f>
        <v/>
      </c>
      <c r="H40" s="86">
        <v>6</v>
      </c>
      <c r="I40" s="86" t="str">
        <f ca="1">IF(J40="", "", "Other")</f>
        <v>Other</v>
      </c>
      <c r="J40" s="89">
        <f ca="1">IF(J41-SUM(J35:J39)=0, "", J41-SUM(J35:J39))</f>
        <v>7862.8200000000506</v>
      </c>
      <c r="L40" s="86">
        <v>6</v>
      </c>
      <c r="M40" s="86" t="e">
        <f ca="1">IF(N40="", "", "Other")</f>
        <v>#N/A</v>
      </c>
      <c r="N40" s="89" t="e">
        <f ca="1">IF(N41-SUM(N35:N39)=0, "", N41-SUM(N35:N39))</f>
        <v>#N/A</v>
      </c>
    </row>
    <row r="41" spans="4:14" ht="17" thickTop="1" x14ac:dyDescent="0.2">
      <c r="D41" s="48"/>
      <c r="E41" s="87" t="s">
        <v>12</v>
      </c>
      <c r="F41" s="90" cm="1">
        <f t="array" aca="1" ref="F41" ca="1" xml:space="preserve"> INDEX('Budget Dashboard'!$K:$K, MATCH(income_total_row, 'Budget Dashboard'!$X:$X, 0))</f>
        <v>47919.35</v>
      </c>
      <c r="H41" s="48"/>
      <c r="I41" s="87" t="s">
        <v>12</v>
      </c>
      <c r="J41" s="90" cm="1">
        <f t="array" aca="1" ref="J41" ca="1" xml:space="preserve"> INDEX('Budget Dashboard'!$K:$K, MATCH(expenses_total_row, 'Budget Dashboard'!$X:$X, 0))</f>
        <v>28176.100000000053</v>
      </c>
      <c r="L41" s="48"/>
      <c r="M41" s="87" t="s">
        <v>12</v>
      </c>
      <c r="N41" s="90" t="e" cm="1">
        <f t="array" aca="1" ref="N41" ca="1" xml:space="preserve"> INDEX('Budget Dashboard'!$K:$K, MATCH(savings_total_row, 'Budget Dashboard'!$X:$X, 0))</f>
        <v>#N/A</v>
      </c>
    </row>
    <row r="47" spans="4:14" x14ac:dyDescent="0.2">
      <c r="D47" s="84" t="s">
        <v>86</v>
      </c>
      <c r="E47" s="83"/>
      <c r="F47" s="83"/>
      <c r="G47" s="83"/>
      <c r="H47" s="83"/>
      <c r="I47" s="83"/>
      <c r="J47" s="83"/>
      <c r="K47" s="83"/>
      <c r="L47" s="83"/>
      <c r="M47" s="83"/>
      <c r="N47" s="83"/>
    </row>
    <row r="49" spans="4:18" x14ac:dyDescent="0.2">
      <c r="D49" s="102" t="s">
        <v>100</v>
      </c>
      <c r="E49" s="104" t="b">
        <v>1</v>
      </c>
    </row>
    <row r="50" spans="4:18" x14ac:dyDescent="0.2">
      <c r="D50" s="102" t="s">
        <v>101</v>
      </c>
      <c r="E50" s="104" t="b">
        <v>1</v>
      </c>
    </row>
    <row r="51" spans="4:18" x14ac:dyDescent="0.2">
      <c r="D51" s="102" t="s">
        <v>102</v>
      </c>
      <c r="E51" s="104" t="b">
        <v>1</v>
      </c>
    </row>
    <row r="52" spans="4:18" x14ac:dyDescent="0.2">
      <c r="D52" s="102" t="s">
        <v>103</v>
      </c>
      <c r="E52" s="103" t="b">
        <v>1</v>
      </c>
    </row>
    <row r="53" spans="4:18" x14ac:dyDescent="0.2">
      <c r="M53" s="132" t="s">
        <v>95</v>
      </c>
      <c r="N53" s="132"/>
      <c r="O53" s="132"/>
      <c r="P53" s="133" t="s">
        <v>99</v>
      </c>
      <c r="Q53" s="133"/>
      <c r="R53" s="133"/>
    </row>
    <row r="54" spans="4:18" s="87" customFormat="1" x14ac:dyDescent="0.2">
      <c r="D54" s="87" t="s">
        <v>87</v>
      </c>
      <c r="E54" s="85" t="s">
        <v>29</v>
      </c>
      <c r="F54" s="87" t="s">
        <v>88</v>
      </c>
      <c r="G54" s="87" t="s">
        <v>89</v>
      </c>
      <c r="H54" s="87" t="s">
        <v>90</v>
      </c>
      <c r="I54" s="87" t="s">
        <v>91</v>
      </c>
      <c r="J54" s="87" t="s">
        <v>92</v>
      </c>
      <c r="K54" s="87" t="s">
        <v>93</v>
      </c>
      <c r="L54" s="87" t="s">
        <v>94</v>
      </c>
      <c r="M54" s="87" t="s">
        <v>96</v>
      </c>
      <c r="N54" s="87" t="s">
        <v>97</v>
      </c>
      <c r="O54" s="87" t="s">
        <v>98</v>
      </c>
      <c r="P54" s="87" t="s">
        <v>96</v>
      </c>
      <c r="Q54" s="87" t="s">
        <v>97</v>
      </c>
      <c r="R54" s="87" t="s">
        <v>98</v>
      </c>
    </row>
    <row r="55" spans="4:18" x14ac:dyDescent="0.2">
      <c r="D55" s="134">
        <f>DATE(selected_year, 1, 1)</f>
        <v>45658</v>
      </c>
      <c r="E55" s="96" t="s">
        <v>10</v>
      </c>
      <c r="F55" s="95">
        <f>MONTH(D55)</f>
        <v>1</v>
      </c>
      <c r="G55" s="95">
        <f>IF(selected_period="Total Year", 1, IF(selected_period=cc_month_number, 1, 0))</f>
        <v>1</v>
      </c>
      <c r="H55" s="95">
        <f>1*E$49</f>
        <v>1</v>
      </c>
      <c r="I55" s="95">
        <f>1*E$52</f>
        <v>1</v>
      </c>
      <c r="J55" s="98" cm="1">
        <f t="array" ref="J55">SUM( Tracking[Amount] * (Tracking[Type]=cc_type)*(YEAR(Tracking[Effective Date])=selected_year)*(MONTH(Tracking[Effective Date])=cc_month_number))</f>
        <v>0</v>
      </c>
      <c r="K55" s="98" cm="1">
        <f t="array" aca="1" ref="K55" ca="1">INDEX('Budget Planning'!$E:$IG, income_total_row, MATCH( DATE(selected_year, cc_month_number, 1), 'Budget Planning'!$E$12:$IG$12, 0))</f>
        <v>0</v>
      </c>
      <c r="L55" s="98">
        <f ca="1">cc_budget-cc_tracked</f>
        <v>0</v>
      </c>
      <c r="M55" s="100">
        <f ca="1">cc_in_focus*cc_show_type*MIN(cc_tracked, cc_budget)</f>
        <v>0</v>
      </c>
      <c r="N55" s="100">
        <f ca="1">cc_in_focus*cc_show_type*cc_show_remaining_budget*IF(cc_delta&gt;0, cc_delta, 0)</f>
        <v>0</v>
      </c>
      <c r="O55" s="100">
        <f ca="1">cc_in_focus*cc_show_type*IF(cc_delta&lt;0, ABS(cc_delta), 0)</f>
        <v>0</v>
      </c>
      <c r="P55" s="100">
        <f ca="1">NOT(cc_in_focus)*cc_show_type*MIN(cc_tracked, cc_budget)</f>
        <v>0</v>
      </c>
      <c r="Q55" s="100">
        <f ca="1">NOT(cc_in_focus)*cc_show_type*cc_show_remaining_budget*IF(cc_delta&gt;0, cc_delta, 0)</f>
        <v>0</v>
      </c>
      <c r="R55" s="100">
        <f ca="1">NOT(cc_in_focus)*cc_show_type*IF(cc_delta&lt;0, ABS(cc_delta), 0)</f>
        <v>0</v>
      </c>
    </row>
    <row r="56" spans="4:18" x14ac:dyDescent="0.2">
      <c r="D56" s="135"/>
      <c r="E56" s="96" t="s">
        <v>13</v>
      </c>
      <c r="F56" s="96">
        <f>MONTH(D55)</f>
        <v>1</v>
      </c>
      <c r="G56" s="96">
        <f>IF(selected_period="Total Year", 1, IF(selected_period=cc_month_number, 1, 0))</f>
        <v>1</v>
      </c>
      <c r="H56" s="96">
        <f>1*E$50</f>
        <v>1</v>
      </c>
      <c r="I56" s="96">
        <f t="shared" ref="I56:I57" si="0">1*E$52</f>
        <v>1</v>
      </c>
      <c r="J56" s="99" cm="1">
        <f t="array" ref="J56">SUM( Tracking[Amount] * (Tracking[Type]=cc_type)*(YEAR(Tracking[Effective Date])=selected_year)*(MONTH(Tracking[Effective Date])=cc_month_number))</f>
        <v>0</v>
      </c>
      <c r="K56" s="99" cm="1">
        <f t="array" aca="1" ref="K56" ca="1">INDEX('Budget Planning'!$E:$IG, expenses_total_row, MATCH( DATE(selected_year, cc_month_number, 1), 'Budget Planning'!$E$12:$IG$12, 0))</f>
        <v>0</v>
      </c>
      <c r="L56" s="99">
        <f ca="1">cc_budget-cc_tracked</f>
        <v>0</v>
      </c>
      <c r="M56" s="101">
        <f ca="1">cc_in_focus*cc_show_type*MIN(cc_tracked, cc_budget)</f>
        <v>0</v>
      </c>
      <c r="N56" s="101">
        <f ca="1">cc_in_focus*cc_show_type*cc_show_remaining_budget*IF(cc_delta&gt;0, cc_delta, 0)</f>
        <v>0</v>
      </c>
      <c r="O56" s="101">
        <f ca="1">cc_in_focus*cc_show_type*IF(cc_delta&lt;0, ABS(cc_delta), 0)</f>
        <v>0</v>
      </c>
      <c r="P56" s="101">
        <f ca="1">NOT(cc_in_focus)*cc_show_type*MIN(cc_tracked, cc_budget)</f>
        <v>0</v>
      </c>
      <c r="Q56" s="101">
        <f ca="1">NOT(cc_in_focus)*cc_show_type*cc_show_remaining_budget*IF(cc_delta&gt;0, cc_delta, 0)</f>
        <v>0</v>
      </c>
      <c r="R56" s="101">
        <f ca="1">NOT(cc_in_focus)*cc_show_type*IF(cc_delta&lt;0, ABS(cc_delta), 0)</f>
        <v>0</v>
      </c>
    </row>
    <row r="57" spans="4:18" x14ac:dyDescent="0.2">
      <c r="D57" s="135"/>
      <c r="E57" s="96" t="s">
        <v>17</v>
      </c>
      <c r="F57" s="96">
        <f>MONTH(D55)</f>
        <v>1</v>
      </c>
      <c r="G57" s="96">
        <f>IF(selected_period="Total Year", 1, IF(selected_period=cc_month_number, 1, 0))</f>
        <v>1</v>
      </c>
      <c r="H57" s="96">
        <f>1*E$51</f>
        <v>1</v>
      </c>
      <c r="I57" s="96">
        <f t="shared" si="0"/>
        <v>1</v>
      </c>
      <c r="J57" s="99" cm="1">
        <f t="array" ref="J57">SUM( Tracking[Amount] * (Tracking[Type]=cc_type)*(YEAR(Tracking[Effective Date])=selected_year)*(MONTH(Tracking[Effective Date])=cc_month_number))</f>
        <v>0</v>
      </c>
      <c r="K57" s="99" cm="1">
        <f t="array" aca="1" ref="K57" ca="1">INDEX('Budget Planning'!$E:$IG, savings_total_row, MATCH( DATE(selected_year, cc_month_number, 1), 'Budget Planning'!$E$12:$IG$12, 0))</f>
        <v>0</v>
      </c>
      <c r="L57" s="99">
        <f ca="1">cc_budget-cc_tracked</f>
        <v>0</v>
      </c>
      <c r="M57" s="101">
        <f ca="1">cc_in_focus*cc_show_type*MIN(cc_tracked, cc_budget)</f>
        <v>0</v>
      </c>
      <c r="N57" s="101">
        <f ca="1">cc_in_focus*cc_show_type*cc_show_remaining_budget*IF(cc_delta&gt;0, cc_delta, 0)</f>
        <v>0</v>
      </c>
      <c r="O57" s="101">
        <f ca="1">cc_in_focus*cc_show_type*IF(cc_delta&lt;0, ABS(cc_delta), 0)</f>
        <v>0</v>
      </c>
      <c r="P57" s="101">
        <f ca="1">NOT(cc_in_focus)*cc_show_type*MIN(cc_tracked, cc_budget)</f>
        <v>0</v>
      </c>
      <c r="Q57" s="101">
        <f ca="1">NOT(cc_in_focus)*cc_show_type*cc_show_remaining_budget*IF(cc_delta&gt;0, cc_delta, 0)</f>
        <v>0</v>
      </c>
      <c r="R57" s="101">
        <f ca="1">NOT(cc_in_focus)*cc_show_type*IF(cc_delta&lt;0, ABS(cc_delta), 0)</f>
        <v>0</v>
      </c>
    </row>
    <row r="58" spans="4:18" x14ac:dyDescent="0.2">
      <c r="D58" s="136"/>
      <c r="E58" s="97"/>
      <c r="F58" s="97"/>
      <c r="G58" s="97"/>
      <c r="H58" s="97"/>
      <c r="I58" s="97"/>
      <c r="J58" s="105"/>
      <c r="K58" s="105"/>
      <c r="L58" s="105"/>
      <c r="M58" s="97"/>
      <c r="N58" s="97"/>
      <c r="O58" s="97"/>
      <c r="P58" s="97"/>
      <c r="Q58" s="97"/>
      <c r="R58" s="97"/>
    </row>
    <row r="59" spans="4:18" x14ac:dyDescent="0.2">
      <c r="D59" s="134">
        <f>DATE(selected_year, 2, 1)</f>
        <v>45689</v>
      </c>
      <c r="E59" s="95" t="s">
        <v>10</v>
      </c>
      <c r="F59" s="95">
        <f t="shared" ref="F59" si="1">MONTH(D59)</f>
        <v>2</v>
      </c>
      <c r="G59" s="95">
        <f>IF(selected_period="Total Year", 1, IF(selected_period=cc_month_number, 1, 0))</f>
        <v>1</v>
      </c>
      <c r="H59" s="95">
        <f t="shared" ref="H59" si="2">1*E$49</f>
        <v>1</v>
      </c>
      <c r="I59" s="95">
        <f t="shared" ref="I59:I101" si="3">1*E$52</f>
        <v>1</v>
      </c>
      <c r="J59" s="98" cm="1">
        <f t="array" ref="J59">SUM( Tracking[Amount] * (Tracking[Type]=cc_type)*(YEAR(Tracking[Effective Date])=selected_year)*(MONTH(Tracking[Effective Date])=cc_month_number))</f>
        <v>0</v>
      </c>
      <c r="K59" s="98" cm="1">
        <f t="array" aca="1" ref="K59" ca="1">INDEX('Budget Planning'!$E:$IG, income_total_row, MATCH( DATE(selected_year, cc_month_number, 1), 'Budget Planning'!$E$12:$IG$12, 0))</f>
        <v>0</v>
      </c>
      <c r="L59" s="98">
        <f ca="1">cc_budget-cc_tracked</f>
        <v>0</v>
      </c>
      <c r="M59" s="100">
        <f ca="1">cc_in_focus*cc_show_type*MIN(cc_tracked, cc_budget)</f>
        <v>0</v>
      </c>
      <c r="N59" s="100">
        <f ca="1">cc_in_focus*cc_show_type*cc_show_remaining_budget*IF(cc_delta&gt;0, cc_delta, 0)</f>
        <v>0</v>
      </c>
      <c r="O59" s="100">
        <f ca="1">cc_in_focus*cc_show_type*IF(cc_delta&lt;0, ABS(cc_delta), 0)</f>
        <v>0</v>
      </c>
      <c r="P59" s="100">
        <f ca="1">NOT(cc_in_focus)*cc_show_type*MIN(cc_tracked, cc_budget)</f>
        <v>0</v>
      </c>
      <c r="Q59" s="100">
        <f ca="1">NOT(cc_in_focus)*cc_show_type*cc_show_remaining_budget*IF(cc_delta&gt;0, cc_delta, 0)</f>
        <v>0</v>
      </c>
      <c r="R59" s="100">
        <f ca="1">NOT(cc_in_focus)*cc_show_type*IF(cc_delta&lt;0, ABS(cc_delta), 0)</f>
        <v>0</v>
      </c>
    </row>
    <row r="60" spans="4:18" x14ac:dyDescent="0.2">
      <c r="D60" s="135"/>
      <c r="E60" s="96" t="s">
        <v>13</v>
      </c>
      <c r="F60" s="96">
        <f t="shared" ref="F60" si="4">MONTH(D59)</f>
        <v>2</v>
      </c>
      <c r="G60" s="96">
        <f>IF(selected_period="Total Year", 1, IF(selected_period=cc_month_number, 1, 0))</f>
        <v>1</v>
      </c>
      <c r="H60" s="96">
        <f t="shared" ref="H60" si="5">1*E$50</f>
        <v>1</v>
      </c>
      <c r="I60" s="96">
        <f t="shared" si="3"/>
        <v>1</v>
      </c>
      <c r="J60" s="99" cm="1">
        <f t="array" ref="J60">SUM( Tracking[Amount] * (Tracking[Type]=cc_type)*(YEAR(Tracking[Effective Date])=selected_year)*(MONTH(Tracking[Effective Date])=cc_month_number))</f>
        <v>0</v>
      </c>
      <c r="K60" s="99" cm="1">
        <f t="array" aca="1" ref="K60" ca="1">INDEX('Budget Planning'!$E:$IG, expenses_total_row, MATCH( DATE(selected_year, cc_month_number, 1), 'Budget Planning'!$E$12:$IG$12, 0))</f>
        <v>0</v>
      </c>
      <c r="L60" s="99">
        <f ca="1">cc_budget-cc_tracked</f>
        <v>0</v>
      </c>
      <c r="M60" s="101">
        <f ca="1">cc_in_focus*cc_show_type*MIN(cc_tracked, cc_budget)</f>
        <v>0</v>
      </c>
      <c r="N60" s="101">
        <f ca="1">cc_in_focus*cc_show_type*cc_show_remaining_budget*IF(cc_delta&gt;0, cc_delta, 0)</f>
        <v>0</v>
      </c>
      <c r="O60" s="101">
        <f ca="1">cc_in_focus*cc_show_type*IF(cc_delta&lt;0, ABS(cc_delta), 0)</f>
        <v>0</v>
      </c>
      <c r="P60" s="101">
        <f ca="1">NOT(cc_in_focus)*cc_show_type*MIN(cc_tracked, cc_budget)</f>
        <v>0</v>
      </c>
      <c r="Q60" s="101">
        <f ca="1">NOT(cc_in_focus)*cc_show_type*cc_show_remaining_budget*IF(cc_delta&gt;0, cc_delta, 0)</f>
        <v>0</v>
      </c>
      <c r="R60" s="101">
        <f ca="1">NOT(cc_in_focus)*cc_show_type*IF(cc_delta&lt;0, ABS(cc_delta), 0)</f>
        <v>0</v>
      </c>
    </row>
    <row r="61" spans="4:18" x14ac:dyDescent="0.2">
      <c r="D61" s="135"/>
      <c r="E61" s="96" t="s">
        <v>17</v>
      </c>
      <c r="F61" s="96">
        <f t="shared" ref="F61" si="6">MONTH(D59)</f>
        <v>2</v>
      </c>
      <c r="G61" s="96">
        <f>IF(selected_period="Total Year", 1, IF(selected_period=cc_month_number, 1, 0))</f>
        <v>1</v>
      </c>
      <c r="H61" s="96">
        <f t="shared" ref="H61" si="7">1*E$51</f>
        <v>1</v>
      </c>
      <c r="I61" s="96">
        <f t="shared" si="3"/>
        <v>1</v>
      </c>
      <c r="J61" s="99" cm="1">
        <f t="array" ref="J61">SUM( Tracking[Amount] * (Tracking[Type]=cc_type)*(YEAR(Tracking[Effective Date])=selected_year)*(MONTH(Tracking[Effective Date])=cc_month_number))</f>
        <v>0</v>
      </c>
      <c r="K61" s="99" cm="1">
        <f t="array" aca="1" ref="K61" ca="1">INDEX('Budget Planning'!$E:$IG, savings_total_row, MATCH( DATE(selected_year, cc_month_number, 1), 'Budget Planning'!$E$12:$IG$12, 0))</f>
        <v>0</v>
      </c>
      <c r="L61" s="99">
        <f ca="1">cc_budget-cc_tracked</f>
        <v>0</v>
      </c>
      <c r="M61" s="101">
        <f ca="1">cc_in_focus*cc_show_type*MIN(cc_tracked, cc_budget)</f>
        <v>0</v>
      </c>
      <c r="N61" s="101">
        <f ca="1">cc_in_focus*cc_show_type*cc_show_remaining_budget*IF(cc_delta&gt;0, cc_delta, 0)</f>
        <v>0</v>
      </c>
      <c r="O61" s="101">
        <f ca="1">cc_in_focus*cc_show_type*IF(cc_delta&lt;0, ABS(cc_delta), 0)</f>
        <v>0</v>
      </c>
      <c r="P61" s="101">
        <f ca="1">NOT(cc_in_focus)*cc_show_type*MIN(cc_tracked, cc_budget)</f>
        <v>0</v>
      </c>
      <c r="Q61" s="101">
        <f ca="1">NOT(cc_in_focus)*cc_show_type*cc_show_remaining_budget*IF(cc_delta&gt;0, cc_delta, 0)</f>
        <v>0</v>
      </c>
      <c r="R61" s="101">
        <f ca="1">NOT(cc_in_focus)*cc_show_type*IF(cc_delta&lt;0, ABS(cc_delta), 0)</f>
        <v>0</v>
      </c>
    </row>
    <row r="62" spans="4:18" x14ac:dyDescent="0.2">
      <c r="D62" s="136"/>
      <c r="E62" s="97"/>
      <c r="F62" s="97"/>
      <c r="G62" s="97"/>
      <c r="H62" s="97"/>
      <c r="I62" s="97"/>
      <c r="J62" s="105"/>
      <c r="K62" s="105"/>
      <c r="L62" s="105"/>
      <c r="M62" s="97"/>
      <c r="N62" s="97"/>
      <c r="O62" s="97"/>
      <c r="P62" s="97"/>
      <c r="Q62" s="97"/>
      <c r="R62" s="97"/>
    </row>
    <row r="63" spans="4:18" x14ac:dyDescent="0.2">
      <c r="D63" s="134">
        <f>DATE(selected_year, 3, 1)</f>
        <v>45717</v>
      </c>
      <c r="E63" s="95" t="s">
        <v>10</v>
      </c>
      <c r="F63" s="95">
        <f t="shared" ref="F63" si="8">MONTH(D63)</f>
        <v>3</v>
      </c>
      <c r="G63" s="95">
        <f>IF(selected_period="Total Year", 1, IF(selected_period=cc_month_number, 1, 0))</f>
        <v>1</v>
      </c>
      <c r="H63" s="95">
        <f t="shared" ref="H63" si="9">1*E$49</f>
        <v>1</v>
      </c>
      <c r="I63" s="95">
        <f t="shared" ref="I63" si="10">1*E$52</f>
        <v>1</v>
      </c>
      <c r="J63" s="98" cm="1">
        <f t="array" ref="J63">SUM( Tracking[Amount] * (Tracking[Type]=cc_type)*(YEAR(Tracking[Effective Date])=selected_year)*(MONTH(Tracking[Effective Date])=cc_month_number))</f>
        <v>0</v>
      </c>
      <c r="K63" s="98" cm="1">
        <f t="array" aca="1" ref="K63" ca="1">INDEX('Budget Planning'!$E:$IG, income_total_row, MATCH( DATE(selected_year, cc_month_number, 1), 'Budget Planning'!$E$12:$IG$12, 0))</f>
        <v>0</v>
      </c>
      <c r="L63" s="98">
        <f ca="1">cc_budget-cc_tracked</f>
        <v>0</v>
      </c>
      <c r="M63" s="100">
        <f ca="1">cc_in_focus*cc_show_type*MIN(cc_tracked, cc_budget)</f>
        <v>0</v>
      </c>
      <c r="N63" s="100">
        <f ca="1">cc_in_focus*cc_show_type*cc_show_remaining_budget*IF(cc_delta&gt;0, cc_delta, 0)</f>
        <v>0</v>
      </c>
      <c r="O63" s="100">
        <f ca="1">cc_in_focus*cc_show_type*IF(cc_delta&lt;0, ABS(cc_delta), 0)</f>
        <v>0</v>
      </c>
      <c r="P63" s="100">
        <f ca="1">NOT(cc_in_focus)*cc_show_type*MIN(cc_tracked, cc_budget)</f>
        <v>0</v>
      </c>
      <c r="Q63" s="100">
        <f ca="1">NOT(cc_in_focus)*cc_show_type*cc_show_remaining_budget*IF(cc_delta&gt;0, cc_delta, 0)</f>
        <v>0</v>
      </c>
      <c r="R63" s="100">
        <f ca="1">NOT(cc_in_focus)*cc_show_type*IF(cc_delta&lt;0, ABS(cc_delta), 0)</f>
        <v>0</v>
      </c>
    </row>
    <row r="64" spans="4:18" x14ac:dyDescent="0.2">
      <c r="D64" s="135"/>
      <c r="E64" s="96" t="s">
        <v>13</v>
      </c>
      <c r="F64" s="96">
        <f t="shared" ref="F64" si="11">MONTH(D63)</f>
        <v>3</v>
      </c>
      <c r="G64" s="96">
        <f>IF(selected_period="Total Year", 1, IF(selected_period=cc_month_number, 1, 0))</f>
        <v>1</v>
      </c>
      <c r="H64" s="96">
        <f t="shared" ref="H64" si="12">1*E$50</f>
        <v>1</v>
      </c>
      <c r="I64" s="96">
        <f t="shared" si="3"/>
        <v>1</v>
      </c>
      <c r="J64" s="99" cm="1">
        <f t="array" ref="J64">SUM( Tracking[Amount] * (Tracking[Type]=cc_type)*(YEAR(Tracking[Effective Date])=selected_year)*(MONTH(Tracking[Effective Date])=cc_month_number))</f>
        <v>0</v>
      </c>
      <c r="K64" s="99" cm="1">
        <f t="array" aca="1" ref="K64" ca="1">INDEX('Budget Planning'!$E:$IG, expenses_total_row, MATCH( DATE(selected_year, cc_month_number, 1), 'Budget Planning'!$E$12:$IG$12, 0))</f>
        <v>0</v>
      </c>
      <c r="L64" s="99">
        <f ca="1">cc_budget-cc_tracked</f>
        <v>0</v>
      </c>
      <c r="M64" s="101">
        <f ca="1">cc_in_focus*cc_show_type*MIN(cc_tracked, cc_budget)</f>
        <v>0</v>
      </c>
      <c r="N64" s="101">
        <f ca="1">cc_in_focus*cc_show_type*cc_show_remaining_budget*IF(cc_delta&gt;0, cc_delta, 0)</f>
        <v>0</v>
      </c>
      <c r="O64" s="101">
        <f ca="1">cc_in_focus*cc_show_type*IF(cc_delta&lt;0, ABS(cc_delta), 0)</f>
        <v>0</v>
      </c>
      <c r="P64" s="101">
        <f ca="1">NOT(cc_in_focus)*cc_show_type*MIN(cc_tracked, cc_budget)</f>
        <v>0</v>
      </c>
      <c r="Q64" s="101">
        <f ca="1">NOT(cc_in_focus)*cc_show_type*cc_show_remaining_budget*IF(cc_delta&gt;0, cc_delta, 0)</f>
        <v>0</v>
      </c>
      <c r="R64" s="101">
        <f ca="1">NOT(cc_in_focus)*cc_show_type*IF(cc_delta&lt;0, ABS(cc_delta), 0)</f>
        <v>0</v>
      </c>
    </row>
    <row r="65" spans="4:18" x14ac:dyDescent="0.2">
      <c r="D65" s="135"/>
      <c r="E65" s="96" t="s">
        <v>17</v>
      </c>
      <c r="F65" s="96">
        <f t="shared" ref="F65" si="13">MONTH(D63)</f>
        <v>3</v>
      </c>
      <c r="G65" s="96">
        <f>IF(selected_period="Total Year", 1, IF(selected_period=cc_month_number, 1, 0))</f>
        <v>1</v>
      </c>
      <c r="H65" s="96">
        <f t="shared" ref="H65" si="14">1*E$51</f>
        <v>1</v>
      </c>
      <c r="I65" s="96">
        <f t="shared" si="3"/>
        <v>1</v>
      </c>
      <c r="J65" s="99" cm="1">
        <f t="array" ref="J65">SUM( Tracking[Amount] * (Tracking[Type]=cc_type)*(YEAR(Tracking[Effective Date])=selected_year)*(MONTH(Tracking[Effective Date])=cc_month_number))</f>
        <v>0</v>
      </c>
      <c r="K65" s="99" cm="1">
        <f t="array" aca="1" ref="K65" ca="1">INDEX('Budget Planning'!$E:$IG, savings_total_row, MATCH( DATE(selected_year, cc_month_number, 1), 'Budget Planning'!$E$12:$IG$12, 0))</f>
        <v>0</v>
      </c>
      <c r="L65" s="99">
        <f ca="1">cc_budget-cc_tracked</f>
        <v>0</v>
      </c>
      <c r="M65" s="101">
        <f ca="1">cc_in_focus*cc_show_type*MIN(cc_tracked, cc_budget)</f>
        <v>0</v>
      </c>
      <c r="N65" s="101">
        <f ca="1">cc_in_focus*cc_show_type*cc_show_remaining_budget*IF(cc_delta&gt;0, cc_delta, 0)</f>
        <v>0</v>
      </c>
      <c r="O65" s="101">
        <f ca="1">cc_in_focus*cc_show_type*IF(cc_delta&lt;0, ABS(cc_delta), 0)</f>
        <v>0</v>
      </c>
      <c r="P65" s="101">
        <f ca="1">NOT(cc_in_focus)*cc_show_type*MIN(cc_tracked, cc_budget)</f>
        <v>0</v>
      </c>
      <c r="Q65" s="101">
        <f ca="1">NOT(cc_in_focus)*cc_show_type*cc_show_remaining_budget*IF(cc_delta&gt;0, cc_delta, 0)</f>
        <v>0</v>
      </c>
      <c r="R65" s="101">
        <f ca="1">NOT(cc_in_focus)*cc_show_type*IF(cc_delta&lt;0, ABS(cc_delta), 0)</f>
        <v>0</v>
      </c>
    </row>
    <row r="66" spans="4:18" x14ac:dyDescent="0.2">
      <c r="D66" s="136"/>
      <c r="E66" s="97"/>
      <c r="F66" s="97"/>
      <c r="G66" s="97"/>
      <c r="H66" s="97"/>
      <c r="I66" s="97"/>
      <c r="J66" s="105"/>
      <c r="K66" s="105"/>
      <c r="L66" s="105"/>
      <c r="M66" s="97"/>
      <c r="N66" s="97"/>
      <c r="O66" s="97"/>
      <c r="P66" s="97"/>
      <c r="Q66" s="97"/>
      <c r="R66" s="97"/>
    </row>
    <row r="67" spans="4:18" x14ac:dyDescent="0.2">
      <c r="D67" s="134">
        <f>DATE(selected_year, 4, 1)</f>
        <v>45748</v>
      </c>
      <c r="E67" s="95" t="s">
        <v>10</v>
      </c>
      <c r="F67" s="95">
        <f t="shared" ref="F67" si="15">MONTH(D67)</f>
        <v>4</v>
      </c>
      <c r="G67" s="95">
        <f>IF(selected_period="Total Year", 1, IF(selected_period=cc_month_number, 1, 0))</f>
        <v>1</v>
      </c>
      <c r="H67" s="95">
        <f t="shared" ref="H67" si="16">1*E$49</f>
        <v>1</v>
      </c>
      <c r="I67" s="95">
        <f t="shared" ref="I67" si="17">1*E$52</f>
        <v>1</v>
      </c>
      <c r="J67" s="98" cm="1">
        <f t="array" ref="J67">SUM( Tracking[Amount] * (Tracking[Type]=cc_type)*(YEAR(Tracking[Effective Date])=selected_year)*(MONTH(Tracking[Effective Date])=cc_month_number))</f>
        <v>0</v>
      </c>
      <c r="K67" s="98" cm="1">
        <f t="array" aca="1" ref="K67" ca="1">INDEX('Budget Planning'!$E:$IG, income_total_row, MATCH( DATE(selected_year, cc_month_number, 1), 'Budget Planning'!$E$12:$IG$12, 0))</f>
        <v>0</v>
      </c>
      <c r="L67" s="98">
        <f ca="1">cc_budget-cc_tracked</f>
        <v>0</v>
      </c>
      <c r="M67" s="100">
        <f ca="1">cc_in_focus*cc_show_type*MIN(cc_tracked, cc_budget)</f>
        <v>0</v>
      </c>
      <c r="N67" s="100">
        <f ca="1">cc_in_focus*cc_show_type*cc_show_remaining_budget*IF(cc_delta&gt;0, cc_delta, 0)</f>
        <v>0</v>
      </c>
      <c r="O67" s="100">
        <f ca="1">cc_in_focus*cc_show_type*IF(cc_delta&lt;0, ABS(cc_delta), 0)</f>
        <v>0</v>
      </c>
      <c r="P67" s="100">
        <f ca="1">NOT(cc_in_focus)*cc_show_type*MIN(cc_tracked, cc_budget)</f>
        <v>0</v>
      </c>
      <c r="Q67" s="100">
        <f ca="1">NOT(cc_in_focus)*cc_show_type*cc_show_remaining_budget*IF(cc_delta&gt;0, cc_delta, 0)</f>
        <v>0</v>
      </c>
      <c r="R67" s="100">
        <f ca="1">NOT(cc_in_focus)*cc_show_type*IF(cc_delta&lt;0, ABS(cc_delta), 0)</f>
        <v>0</v>
      </c>
    </row>
    <row r="68" spans="4:18" x14ac:dyDescent="0.2">
      <c r="D68" s="135"/>
      <c r="E68" s="96" t="s">
        <v>13</v>
      </c>
      <c r="F68" s="96">
        <f t="shared" ref="F68" si="18">MONTH(D67)</f>
        <v>4</v>
      </c>
      <c r="G68" s="96">
        <f>IF(selected_period="Total Year", 1, IF(selected_period=cc_month_number, 1, 0))</f>
        <v>1</v>
      </c>
      <c r="H68" s="96">
        <f t="shared" ref="H68" si="19">1*E$50</f>
        <v>1</v>
      </c>
      <c r="I68" s="96">
        <f t="shared" si="3"/>
        <v>1</v>
      </c>
      <c r="J68" s="99" cm="1">
        <f t="array" ref="J68">SUM( Tracking[Amount] * (Tracking[Type]=cc_type)*(YEAR(Tracking[Effective Date])=selected_year)*(MONTH(Tracking[Effective Date])=cc_month_number))</f>
        <v>0</v>
      </c>
      <c r="K68" s="99" cm="1">
        <f t="array" aca="1" ref="K68" ca="1">INDEX('Budget Planning'!$E:$IG, expenses_total_row, MATCH( DATE(selected_year, cc_month_number, 1), 'Budget Planning'!$E$12:$IG$12, 0))</f>
        <v>0</v>
      </c>
      <c r="L68" s="99">
        <f ca="1">cc_budget-cc_tracked</f>
        <v>0</v>
      </c>
      <c r="M68" s="101">
        <f ca="1">cc_in_focus*cc_show_type*MIN(cc_tracked, cc_budget)</f>
        <v>0</v>
      </c>
      <c r="N68" s="101">
        <f ca="1">cc_in_focus*cc_show_type*cc_show_remaining_budget*IF(cc_delta&gt;0, cc_delta, 0)</f>
        <v>0</v>
      </c>
      <c r="O68" s="101">
        <f ca="1">cc_in_focus*cc_show_type*IF(cc_delta&lt;0, ABS(cc_delta), 0)</f>
        <v>0</v>
      </c>
      <c r="P68" s="101">
        <f ca="1">NOT(cc_in_focus)*cc_show_type*MIN(cc_tracked, cc_budget)</f>
        <v>0</v>
      </c>
      <c r="Q68" s="101">
        <f ca="1">NOT(cc_in_focus)*cc_show_type*cc_show_remaining_budget*IF(cc_delta&gt;0, cc_delta, 0)</f>
        <v>0</v>
      </c>
      <c r="R68" s="101">
        <f ca="1">NOT(cc_in_focus)*cc_show_type*IF(cc_delta&lt;0, ABS(cc_delta), 0)</f>
        <v>0</v>
      </c>
    </row>
    <row r="69" spans="4:18" x14ac:dyDescent="0.2">
      <c r="D69" s="135"/>
      <c r="E69" s="96" t="s">
        <v>17</v>
      </c>
      <c r="F69" s="96">
        <f t="shared" ref="F69" si="20">MONTH(D67)</f>
        <v>4</v>
      </c>
      <c r="G69" s="96">
        <f>IF(selected_period="Total Year", 1, IF(selected_period=cc_month_number, 1, 0))</f>
        <v>1</v>
      </c>
      <c r="H69" s="96">
        <f t="shared" ref="H69" si="21">1*E$51</f>
        <v>1</v>
      </c>
      <c r="I69" s="96">
        <f t="shared" si="3"/>
        <v>1</v>
      </c>
      <c r="J69" s="99" cm="1">
        <f t="array" ref="J69">SUM( Tracking[Amount] * (Tracking[Type]=cc_type)*(YEAR(Tracking[Effective Date])=selected_year)*(MONTH(Tracking[Effective Date])=cc_month_number))</f>
        <v>0</v>
      </c>
      <c r="K69" s="99" cm="1">
        <f t="array" aca="1" ref="K69" ca="1">INDEX('Budget Planning'!$E:$IG, savings_total_row, MATCH( DATE(selected_year, cc_month_number, 1), 'Budget Planning'!$E$12:$IG$12, 0))</f>
        <v>0</v>
      </c>
      <c r="L69" s="99">
        <f ca="1">cc_budget-cc_tracked</f>
        <v>0</v>
      </c>
      <c r="M69" s="101">
        <f ca="1">cc_in_focus*cc_show_type*MIN(cc_tracked, cc_budget)</f>
        <v>0</v>
      </c>
      <c r="N69" s="101">
        <f ca="1">cc_in_focus*cc_show_type*cc_show_remaining_budget*IF(cc_delta&gt;0, cc_delta, 0)</f>
        <v>0</v>
      </c>
      <c r="O69" s="101">
        <f ca="1">cc_in_focus*cc_show_type*IF(cc_delta&lt;0, ABS(cc_delta), 0)</f>
        <v>0</v>
      </c>
      <c r="P69" s="101">
        <f ca="1">NOT(cc_in_focus)*cc_show_type*MIN(cc_tracked, cc_budget)</f>
        <v>0</v>
      </c>
      <c r="Q69" s="101">
        <f ca="1">NOT(cc_in_focus)*cc_show_type*cc_show_remaining_budget*IF(cc_delta&gt;0, cc_delta, 0)</f>
        <v>0</v>
      </c>
      <c r="R69" s="101">
        <f ca="1">NOT(cc_in_focus)*cc_show_type*IF(cc_delta&lt;0, ABS(cc_delta), 0)</f>
        <v>0</v>
      </c>
    </row>
    <row r="70" spans="4:18" x14ac:dyDescent="0.2">
      <c r="D70" s="136"/>
      <c r="E70" s="97"/>
      <c r="F70" s="97"/>
      <c r="G70" s="97"/>
      <c r="H70" s="97"/>
      <c r="I70" s="97"/>
      <c r="J70" s="105"/>
      <c r="K70" s="105"/>
      <c r="L70" s="105"/>
      <c r="M70" s="97"/>
      <c r="N70" s="97"/>
      <c r="O70" s="97"/>
      <c r="P70" s="97"/>
      <c r="Q70" s="97"/>
      <c r="R70" s="97"/>
    </row>
    <row r="71" spans="4:18" x14ac:dyDescent="0.2">
      <c r="D71" s="134">
        <f>DATE(selected_year, 5, 1)</f>
        <v>45778</v>
      </c>
      <c r="E71" s="95" t="s">
        <v>10</v>
      </c>
      <c r="F71" s="95">
        <f t="shared" ref="F71" si="22">MONTH(D71)</f>
        <v>5</v>
      </c>
      <c r="G71" s="95">
        <f>IF(selected_period="Total Year", 1, IF(selected_period=cc_month_number, 1, 0))</f>
        <v>1</v>
      </c>
      <c r="H71" s="95">
        <f t="shared" ref="H71" si="23">1*E$49</f>
        <v>1</v>
      </c>
      <c r="I71" s="95">
        <f t="shared" ref="I71" si="24">1*E$52</f>
        <v>1</v>
      </c>
      <c r="J71" s="98" cm="1">
        <f t="array" ref="J71">SUM( Tracking[Amount] * (Tracking[Type]=cc_type)*(YEAR(Tracking[Effective Date])=selected_year)*(MONTH(Tracking[Effective Date])=cc_month_number))</f>
        <v>0</v>
      </c>
      <c r="K71" s="98" cm="1">
        <f t="array" aca="1" ref="K71" ca="1">INDEX('Budget Planning'!$E:$IG, income_total_row, MATCH( DATE(selected_year, cc_month_number, 1), 'Budget Planning'!$E$12:$IG$12, 0))</f>
        <v>0</v>
      </c>
      <c r="L71" s="98">
        <f ca="1">cc_budget-cc_tracked</f>
        <v>0</v>
      </c>
      <c r="M71" s="100">
        <f ca="1">cc_in_focus*cc_show_type*MIN(cc_tracked, cc_budget)</f>
        <v>0</v>
      </c>
      <c r="N71" s="100">
        <f ca="1">cc_in_focus*cc_show_type*cc_show_remaining_budget*IF(cc_delta&gt;0, cc_delta, 0)</f>
        <v>0</v>
      </c>
      <c r="O71" s="100">
        <f ca="1">cc_in_focus*cc_show_type*IF(cc_delta&lt;0, ABS(cc_delta), 0)</f>
        <v>0</v>
      </c>
      <c r="P71" s="100">
        <f ca="1">NOT(cc_in_focus)*cc_show_type*MIN(cc_tracked, cc_budget)</f>
        <v>0</v>
      </c>
      <c r="Q71" s="100">
        <f ca="1">NOT(cc_in_focus)*cc_show_type*cc_show_remaining_budget*IF(cc_delta&gt;0, cc_delta, 0)</f>
        <v>0</v>
      </c>
      <c r="R71" s="100">
        <f ca="1">NOT(cc_in_focus)*cc_show_type*IF(cc_delta&lt;0, ABS(cc_delta), 0)</f>
        <v>0</v>
      </c>
    </row>
    <row r="72" spans="4:18" x14ac:dyDescent="0.2">
      <c r="D72" s="135"/>
      <c r="E72" s="96" t="s">
        <v>13</v>
      </c>
      <c r="F72" s="96">
        <f t="shared" ref="F72" si="25">MONTH(D71)</f>
        <v>5</v>
      </c>
      <c r="G72" s="96">
        <f>IF(selected_period="Total Year", 1, IF(selected_period=cc_month_number, 1, 0))</f>
        <v>1</v>
      </c>
      <c r="H72" s="96">
        <f t="shared" ref="H72" si="26">1*E$50</f>
        <v>1</v>
      </c>
      <c r="I72" s="96">
        <f t="shared" si="3"/>
        <v>1</v>
      </c>
      <c r="J72" s="99" cm="1">
        <f t="array" ref="J72">SUM( Tracking[Amount] * (Tracking[Type]=cc_type)*(YEAR(Tracking[Effective Date])=selected_year)*(MONTH(Tracking[Effective Date])=cc_month_number))</f>
        <v>0</v>
      </c>
      <c r="K72" s="99" cm="1">
        <f t="array" aca="1" ref="K72" ca="1">INDEX('Budget Planning'!$E:$IG, expenses_total_row, MATCH( DATE(selected_year, cc_month_number, 1), 'Budget Planning'!$E$12:$IG$12, 0))</f>
        <v>0</v>
      </c>
      <c r="L72" s="99">
        <f ca="1">cc_budget-cc_tracked</f>
        <v>0</v>
      </c>
      <c r="M72" s="101">
        <f ca="1">cc_in_focus*cc_show_type*MIN(cc_tracked, cc_budget)</f>
        <v>0</v>
      </c>
      <c r="N72" s="101">
        <f ca="1">cc_in_focus*cc_show_type*cc_show_remaining_budget*IF(cc_delta&gt;0, cc_delta, 0)</f>
        <v>0</v>
      </c>
      <c r="O72" s="101">
        <f ca="1">cc_in_focus*cc_show_type*IF(cc_delta&lt;0, ABS(cc_delta), 0)</f>
        <v>0</v>
      </c>
      <c r="P72" s="101">
        <f ca="1">NOT(cc_in_focus)*cc_show_type*MIN(cc_tracked, cc_budget)</f>
        <v>0</v>
      </c>
      <c r="Q72" s="101">
        <f ca="1">NOT(cc_in_focus)*cc_show_type*cc_show_remaining_budget*IF(cc_delta&gt;0, cc_delta, 0)</f>
        <v>0</v>
      </c>
      <c r="R72" s="101">
        <f ca="1">NOT(cc_in_focus)*cc_show_type*IF(cc_delta&lt;0, ABS(cc_delta), 0)</f>
        <v>0</v>
      </c>
    </row>
    <row r="73" spans="4:18" x14ac:dyDescent="0.2">
      <c r="D73" s="135"/>
      <c r="E73" s="96" t="s">
        <v>17</v>
      </c>
      <c r="F73" s="96">
        <f t="shared" ref="F73" si="27">MONTH(D71)</f>
        <v>5</v>
      </c>
      <c r="G73" s="96">
        <f>IF(selected_period="Total Year", 1, IF(selected_period=cc_month_number, 1, 0))</f>
        <v>1</v>
      </c>
      <c r="H73" s="96">
        <f t="shared" ref="H73" si="28">1*E$51</f>
        <v>1</v>
      </c>
      <c r="I73" s="96">
        <f t="shared" si="3"/>
        <v>1</v>
      </c>
      <c r="J73" s="99" cm="1">
        <f t="array" ref="J73">SUM( Tracking[Amount] * (Tracking[Type]=cc_type)*(YEAR(Tracking[Effective Date])=selected_year)*(MONTH(Tracking[Effective Date])=cc_month_number))</f>
        <v>0</v>
      </c>
      <c r="K73" s="99" cm="1">
        <f t="array" aca="1" ref="K73" ca="1">INDEX('Budget Planning'!$E:$IG, savings_total_row, MATCH( DATE(selected_year, cc_month_number, 1), 'Budget Planning'!$E$12:$IG$12, 0))</f>
        <v>0</v>
      </c>
      <c r="L73" s="99">
        <f ca="1">cc_budget-cc_tracked</f>
        <v>0</v>
      </c>
      <c r="M73" s="101">
        <f ca="1">cc_in_focus*cc_show_type*MIN(cc_tracked, cc_budget)</f>
        <v>0</v>
      </c>
      <c r="N73" s="101">
        <f ca="1">cc_in_focus*cc_show_type*cc_show_remaining_budget*IF(cc_delta&gt;0, cc_delta, 0)</f>
        <v>0</v>
      </c>
      <c r="O73" s="101">
        <f ca="1">cc_in_focus*cc_show_type*IF(cc_delta&lt;0, ABS(cc_delta), 0)</f>
        <v>0</v>
      </c>
      <c r="P73" s="101">
        <f ca="1">NOT(cc_in_focus)*cc_show_type*MIN(cc_tracked, cc_budget)</f>
        <v>0</v>
      </c>
      <c r="Q73" s="101">
        <f ca="1">NOT(cc_in_focus)*cc_show_type*cc_show_remaining_budget*IF(cc_delta&gt;0, cc_delta, 0)</f>
        <v>0</v>
      </c>
      <c r="R73" s="101">
        <f ca="1">NOT(cc_in_focus)*cc_show_type*IF(cc_delta&lt;0, ABS(cc_delta), 0)</f>
        <v>0</v>
      </c>
    </row>
    <row r="74" spans="4:18" x14ac:dyDescent="0.2">
      <c r="D74" s="136"/>
      <c r="E74" s="97"/>
      <c r="F74" s="97"/>
      <c r="G74" s="97"/>
      <c r="H74" s="97"/>
      <c r="I74" s="97"/>
      <c r="J74" s="105"/>
      <c r="K74" s="105"/>
      <c r="L74" s="105"/>
      <c r="M74" s="97"/>
      <c r="N74" s="97"/>
      <c r="O74" s="97"/>
      <c r="P74" s="97"/>
      <c r="Q74" s="97"/>
      <c r="R74" s="97"/>
    </row>
    <row r="75" spans="4:18" x14ac:dyDescent="0.2">
      <c r="D75" s="134">
        <f>DATE(selected_year, 6, 1)</f>
        <v>45809</v>
      </c>
      <c r="E75" s="95" t="s">
        <v>10</v>
      </c>
      <c r="F75" s="95">
        <f t="shared" ref="F75" si="29">MONTH(D75)</f>
        <v>6</v>
      </c>
      <c r="G75" s="95">
        <f>IF(selected_period="Total Year", 1, IF(selected_period=cc_month_number, 1, 0))</f>
        <v>1</v>
      </c>
      <c r="H75" s="95">
        <f t="shared" ref="H75" si="30">1*E$49</f>
        <v>1</v>
      </c>
      <c r="I75" s="95">
        <f t="shared" ref="I75" si="31">1*E$52</f>
        <v>1</v>
      </c>
      <c r="J75" s="98" cm="1">
        <f t="array" ref="J75">SUM( Tracking[Amount] * (Tracking[Type]=cc_type)*(YEAR(Tracking[Effective Date])=selected_year)*(MONTH(Tracking[Effective Date])=cc_month_number))</f>
        <v>0</v>
      </c>
      <c r="K75" s="98" cm="1">
        <f t="array" aca="1" ref="K75" ca="1">INDEX('Budget Planning'!$E:$IG, income_total_row, MATCH( DATE(selected_year, cc_month_number, 1), 'Budget Planning'!$E$12:$IG$12, 0))</f>
        <v>0</v>
      </c>
      <c r="L75" s="98">
        <f ca="1">cc_budget-cc_tracked</f>
        <v>0</v>
      </c>
      <c r="M75" s="100">
        <f ca="1">cc_in_focus*cc_show_type*MIN(cc_tracked, cc_budget)</f>
        <v>0</v>
      </c>
      <c r="N75" s="100">
        <f ca="1">cc_in_focus*cc_show_type*cc_show_remaining_budget*IF(cc_delta&gt;0, cc_delta, 0)</f>
        <v>0</v>
      </c>
      <c r="O75" s="100">
        <f ca="1">cc_in_focus*cc_show_type*IF(cc_delta&lt;0, ABS(cc_delta), 0)</f>
        <v>0</v>
      </c>
      <c r="P75" s="100">
        <f ca="1">NOT(cc_in_focus)*cc_show_type*MIN(cc_tracked, cc_budget)</f>
        <v>0</v>
      </c>
      <c r="Q75" s="100">
        <f ca="1">NOT(cc_in_focus)*cc_show_type*cc_show_remaining_budget*IF(cc_delta&gt;0, cc_delta, 0)</f>
        <v>0</v>
      </c>
      <c r="R75" s="100">
        <f ca="1">NOT(cc_in_focus)*cc_show_type*IF(cc_delta&lt;0, ABS(cc_delta), 0)</f>
        <v>0</v>
      </c>
    </row>
    <row r="76" spans="4:18" x14ac:dyDescent="0.2">
      <c r="D76" s="135"/>
      <c r="E76" s="96" t="s">
        <v>13</v>
      </c>
      <c r="F76" s="96">
        <f t="shared" ref="F76" si="32">MONTH(D75)</f>
        <v>6</v>
      </c>
      <c r="G76" s="96">
        <f>IF(selected_period="Total Year", 1, IF(selected_period=cc_month_number, 1, 0))</f>
        <v>1</v>
      </c>
      <c r="H76" s="96">
        <f t="shared" ref="H76" si="33">1*E$50</f>
        <v>1</v>
      </c>
      <c r="I76" s="96">
        <f t="shared" si="3"/>
        <v>1</v>
      </c>
      <c r="J76" s="99" cm="1">
        <f t="array" ref="J76">SUM( Tracking[Amount] * (Tracking[Type]=cc_type)*(YEAR(Tracking[Effective Date])=selected_year)*(MONTH(Tracking[Effective Date])=cc_month_number))</f>
        <v>0</v>
      </c>
      <c r="K76" s="99" cm="1">
        <f t="array" aca="1" ref="K76" ca="1">INDEX('Budget Planning'!$E:$IG, expenses_total_row, MATCH( DATE(selected_year, cc_month_number, 1), 'Budget Planning'!$E$12:$IG$12, 0))</f>
        <v>0</v>
      </c>
      <c r="L76" s="99">
        <f ca="1">cc_budget-cc_tracked</f>
        <v>0</v>
      </c>
      <c r="M76" s="101">
        <f ca="1">cc_in_focus*cc_show_type*MIN(cc_tracked, cc_budget)</f>
        <v>0</v>
      </c>
      <c r="N76" s="101">
        <f ca="1">cc_in_focus*cc_show_type*cc_show_remaining_budget*IF(cc_delta&gt;0, cc_delta, 0)</f>
        <v>0</v>
      </c>
      <c r="O76" s="101">
        <f ca="1">cc_in_focus*cc_show_type*IF(cc_delta&lt;0, ABS(cc_delta), 0)</f>
        <v>0</v>
      </c>
      <c r="P76" s="101">
        <f ca="1">NOT(cc_in_focus)*cc_show_type*MIN(cc_tracked, cc_budget)</f>
        <v>0</v>
      </c>
      <c r="Q76" s="101">
        <f ca="1">NOT(cc_in_focus)*cc_show_type*cc_show_remaining_budget*IF(cc_delta&gt;0, cc_delta, 0)</f>
        <v>0</v>
      </c>
      <c r="R76" s="101">
        <f ca="1">NOT(cc_in_focus)*cc_show_type*IF(cc_delta&lt;0, ABS(cc_delta), 0)</f>
        <v>0</v>
      </c>
    </row>
    <row r="77" spans="4:18" x14ac:dyDescent="0.2">
      <c r="D77" s="135"/>
      <c r="E77" s="96" t="s">
        <v>17</v>
      </c>
      <c r="F77" s="96">
        <f t="shared" ref="F77" si="34">MONTH(D75)</f>
        <v>6</v>
      </c>
      <c r="G77" s="96">
        <f>IF(selected_period="Total Year", 1, IF(selected_period=cc_month_number, 1, 0))</f>
        <v>1</v>
      </c>
      <c r="H77" s="96">
        <f t="shared" ref="H77" si="35">1*E$51</f>
        <v>1</v>
      </c>
      <c r="I77" s="96">
        <f t="shared" si="3"/>
        <v>1</v>
      </c>
      <c r="J77" s="99" cm="1">
        <f t="array" ref="J77">SUM( Tracking[Amount] * (Tracking[Type]=cc_type)*(YEAR(Tracking[Effective Date])=selected_year)*(MONTH(Tracking[Effective Date])=cc_month_number))</f>
        <v>0</v>
      </c>
      <c r="K77" s="99" cm="1">
        <f t="array" aca="1" ref="K77" ca="1">INDEX('Budget Planning'!$E:$IG, savings_total_row, MATCH( DATE(selected_year, cc_month_number, 1), 'Budget Planning'!$E$12:$IG$12, 0))</f>
        <v>0</v>
      </c>
      <c r="L77" s="99">
        <f ca="1">cc_budget-cc_tracked</f>
        <v>0</v>
      </c>
      <c r="M77" s="101">
        <f ca="1">cc_in_focus*cc_show_type*MIN(cc_tracked, cc_budget)</f>
        <v>0</v>
      </c>
      <c r="N77" s="101">
        <f ca="1">cc_in_focus*cc_show_type*cc_show_remaining_budget*IF(cc_delta&gt;0, cc_delta, 0)</f>
        <v>0</v>
      </c>
      <c r="O77" s="101">
        <f ca="1">cc_in_focus*cc_show_type*IF(cc_delta&lt;0, ABS(cc_delta), 0)</f>
        <v>0</v>
      </c>
      <c r="P77" s="101">
        <f ca="1">NOT(cc_in_focus)*cc_show_type*MIN(cc_tracked, cc_budget)</f>
        <v>0</v>
      </c>
      <c r="Q77" s="101">
        <f ca="1">NOT(cc_in_focus)*cc_show_type*cc_show_remaining_budget*IF(cc_delta&gt;0, cc_delta, 0)</f>
        <v>0</v>
      </c>
      <c r="R77" s="101">
        <f ca="1">NOT(cc_in_focus)*cc_show_type*IF(cc_delta&lt;0, ABS(cc_delta), 0)</f>
        <v>0</v>
      </c>
    </row>
    <row r="78" spans="4:18" x14ac:dyDescent="0.2">
      <c r="D78" s="136"/>
      <c r="E78" s="97"/>
      <c r="F78" s="97"/>
      <c r="G78" s="97"/>
      <c r="H78" s="97"/>
      <c r="I78" s="97"/>
      <c r="J78" s="105"/>
      <c r="K78" s="105"/>
      <c r="L78" s="105"/>
      <c r="M78" s="97"/>
      <c r="N78" s="97"/>
      <c r="O78" s="97"/>
      <c r="P78" s="97"/>
      <c r="Q78" s="97"/>
      <c r="R78" s="97"/>
    </row>
    <row r="79" spans="4:18" x14ac:dyDescent="0.2">
      <c r="D79" s="134">
        <f>DATE(selected_year, 7, 1)</f>
        <v>45839</v>
      </c>
      <c r="E79" s="95" t="s">
        <v>10</v>
      </c>
      <c r="F79" s="95">
        <f t="shared" ref="F79" si="36">MONTH(D79)</f>
        <v>7</v>
      </c>
      <c r="G79" s="95">
        <f>IF(selected_period="Total Year", 1, IF(selected_period=cc_month_number, 1, 0))</f>
        <v>1</v>
      </c>
      <c r="H79" s="95">
        <f t="shared" ref="H79" si="37">1*E$49</f>
        <v>1</v>
      </c>
      <c r="I79" s="95">
        <f t="shared" ref="I79" si="38">1*E$52</f>
        <v>1</v>
      </c>
      <c r="J79" s="98" cm="1">
        <f t="array" ref="J79">SUM( Tracking[Amount] * (Tracking[Type]=cc_type)*(YEAR(Tracking[Effective Date])=selected_year)*(MONTH(Tracking[Effective Date])=cc_month_number))</f>
        <v>0</v>
      </c>
      <c r="K79" s="98" cm="1">
        <f t="array" aca="1" ref="K79" ca="1">INDEX('Budget Planning'!$E:$IG, income_total_row, MATCH( DATE(selected_year, cc_month_number, 1), 'Budget Planning'!$E$12:$IG$12, 0))</f>
        <v>0</v>
      </c>
      <c r="L79" s="98">
        <f ca="1">cc_budget-cc_tracked</f>
        <v>0</v>
      </c>
      <c r="M79" s="100">
        <f ca="1">cc_in_focus*cc_show_type*MIN(cc_tracked, cc_budget)</f>
        <v>0</v>
      </c>
      <c r="N79" s="100">
        <f ca="1">cc_in_focus*cc_show_type*cc_show_remaining_budget*IF(cc_delta&gt;0, cc_delta, 0)</f>
        <v>0</v>
      </c>
      <c r="O79" s="100">
        <f ca="1">cc_in_focus*cc_show_type*IF(cc_delta&lt;0, ABS(cc_delta), 0)</f>
        <v>0</v>
      </c>
      <c r="P79" s="100">
        <f ca="1">NOT(cc_in_focus)*cc_show_type*MIN(cc_tracked, cc_budget)</f>
        <v>0</v>
      </c>
      <c r="Q79" s="100">
        <f ca="1">NOT(cc_in_focus)*cc_show_type*cc_show_remaining_budget*IF(cc_delta&gt;0, cc_delta, 0)</f>
        <v>0</v>
      </c>
      <c r="R79" s="100">
        <f ca="1">NOT(cc_in_focus)*cc_show_type*IF(cc_delta&lt;0, ABS(cc_delta), 0)</f>
        <v>0</v>
      </c>
    </row>
    <row r="80" spans="4:18" x14ac:dyDescent="0.2">
      <c r="D80" s="135"/>
      <c r="E80" s="96" t="s">
        <v>13</v>
      </c>
      <c r="F80" s="96">
        <f t="shared" ref="F80" si="39">MONTH(D79)</f>
        <v>7</v>
      </c>
      <c r="G80" s="96">
        <f>IF(selected_period="Total Year", 1, IF(selected_period=cc_month_number, 1, 0))</f>
        <v>1</v>
      </c>
      <c r="H80" s="96">
        <f t="shared" ref="H80" si="40">1*E$50</f>
        <v>1</v>
      </c>
      <c r="I80" s="96">
        <f t="shared" si="3"/>
        <v>1</v>
      </c>
      <c r="J80" s="99" cm="1">
        <f t="array" ref="J80">SUM( Tracking[Amount] * (Tracking[Type]=cc_type)*(YEAR(Tracking[Effective Date])=selected_year)*(MONTH(Tracking[Effective Date])=cc_month_number))</f>
        <v>0</v>
      </c>
      <c r="K80" s="99" cm="1">
        <f t="array" aca="1" ref="K80" ca="1">INDEX('Budget Planning'!$E:$IG, expenses_total_row, MATCH( DATE(selected_year, cc_month_number, 1), 'Budget Planning'!$E$12:$IG$12, 0))</f>
        <v>0</v>
      </c>
      <c r="L80" s="99">
        <f ca="1">cc_budget-cc_tracked</f>
        <v>0</v>
      </c>
      <c r="M80" s="101">
        <f ca="1">cc_in_focus*cc_show_type*MIN(cc_tracked, cc_budget)</f>
        <v>0</v>
      </c>
      <c r="N80" s="101">
        <f ca="1">cc_in_focus*cc_show_type*cc_show_remaining_budget*IF(cc_delta&gt;0, cc_delta, 0)</f>
        <v>0</v>
      </c>
      <c r="O80" s="101">
        <f ca="1">cc_in_focus*cc_show_type*IF(cc_delta&lt;0, ABS(cc_delta), 0)</f>
        <v>0</v>
      </c>
      <c r="P80" s="101">
        <f ca="1">NOT(cc_in_focus)*cc_show_type*MIN(cc_tracked, cc_budget)</f>
        <v>0</v>
      </c>
      <c r="Q80" s="101">
        <f ca="1">NOT(cc_in_focus)*cc_show_type*cc_show_remaining_budget*IF(cc_delta&gt;0, cc_delta, 0)</f>
        <v>0</v>
      </c>
      <c r="R80" s="101">
        <f ca="1">NOT(cc_in_focus)*cc_show_type*IF(cc_delta&lt;0, ABS(cc_delta), 0)</f>
        <v>0</v>
      </c>
    </row>
    <row r="81" spans="4:18" x14ac:dyDescent="0.2">
      <c r="D81" s="135"/>
      <c r="E81" s="96" t="s">
        <v>17</v>
      </c>
      <c r="F81" s="96">
        <f t="shared" ref="F81" si="41">MONTH(D79)</f>
        <v>7</v>
      </c>
      <c r="G81" s="96">
        <f>IF(selected_period="Total Year", 1, IF(selected_period=cc_month_number, 1, 0))</f>
        <v>1</v>
      </c>
      <c r="H81" s="96">
        <f t="shared" ref="H81" si="42">1*E$51</f>
        <v>1</v>
      </c>
      <c r="I81" s="96">
        <f t="shared" si="3"/>
        <v>1</v>
      </c>
      <c r="J81" s="99" cm="1">
        <f t="array" ref="J81">SUM( Tracking[Amount] * (Tracking[Type]=cc_type)*(YEAR(Tracking[Effective Date])=selected_year)*(MONTH(Tracking[Effective Date])=cc_month_number))</f>
        <v>0</v>
      </c>
      <c r="K81" s="99" cm="1">
        <f t="array" aca="1" ref="K81" ca="1">INDEX('Budget Planning'!$E:$IG, savings_total_row, MATCH( DATE(selected_year, cc_month_number, 1), 'Budget Planning'!$E$12:$IG$12, 0))</f>
        <v>0</v>
      </c>
      <c r="L81" s="99">
        <f ca="1">cc_budget-cc_tracked</f>
        <v>0</v>
      </c>
      <c r="M81" s="101">
        <f ca="1">cc_in_focus*cc_show_type*MIN(cc_tracked, cc_budget)</f>
        <v>0</v>
      </c>
      <c r="N81" s="101">
        <f ca="1">cc_in_focus*cc_show_type*cc_show_remaining_budget*IF(cc_delta&gt;0, cc_delta, 0)</f>
        <v>0</v>
      </c>
      <c r="O81" s="101">
        <f ca="1">cc_in_focus*cc_show_type*IF(cc_delta&lt;0, ABS(cc_delta), 0)</f>
        <v>0</v>
      </c>
      <c r="P81" s="101">
        <f ca="1">NOT(cc_in_focus)*cc_show_type*MIN(cc_tracked, cc_budget)</f>
        <v>0</v>
      </c>
      <c r="Q81" s="101">
        <f ca="1">NOT(cc_in_focus)*cc_show_type*cc_show_remaining_budget*IF(cc_delta&gt;0, cc_delta, 0)</f>
        <v>0</v>
      </c>
      <c r="R81" s="101">
        <f ca="1">NOT(cc_in_focus)*cc_show_type*IF(cc_delta&lt;0, ABS(cc_delta), 0)</f>
        <v>0</v>
      </c>
    </row>
    <row r="82" spans="4:18" x14ac:dyDescent="0.2">
      <c r="D82" s="136"/>
      <c r="E82" s="97"/>
      <c r="F82" s="97"/>
      <c r="G82" s="97"/>
      <c r="H82" s="97"/>
      <c r="I82" s="97"/>
      <c r="J82" s="105"/>
      <c r="K82" s="105"/>
      <c r="L82" s="105"/>
      <c r="M82" s="97"/>
      <c r="N82" s="97"/>
      <c r="O82" s="97"/>
      <c r="P82" s="97"/>
      <c r="Q82" s="97"/>
      <c r="R82" s="97"/>
    </row>
    <row r="83" spans="4:18" x14ac:dyDescent="0.2">
      <c r="D83" s="134">
        <f>DATE(selected_year, 8, 1)</f>
        <v>45870</v>
      </c>
      <c r="E83" s="95" t="s">
        <v>10</v>
      </c>
      <c r="F83" s="95">
        <f t="shared" ref="F83" si="43">MONTH(D83)</f>
        <v>8</v>
      </c>
      <c r="G83" s="95">
        <f>IF(selected_period="Total Year", 1, IF(selected_period=cc_month_number, 1, 0))</f>
        <v>1</v>
      </c>
      <c r="H83" s="95">
        <f t="shared" ref="H83" si="44">1*E$49</f>
        <v>1</v>
      </c>
      <c r="I83" s="95">
        <f t="shared" ref="I83" si="45">1*E$52</f>
        <v>1</v>
      </c>
      <c r="J83" s="98" cm="1">
        <f t="array" ref="J83">SUM( Tracking[Amount] * (Tracking[Type]=cc_type)*(YEAR(Tracking[Effective Date])=selected_year)*(MONTH(Tracking[Effective Date])=cc_month_number))</f>
        <v>8095.95</v>
      </c>
      <c r="K83" s="98" cm="1">
        <f t="array" aca="1" ref="K83" ca="1">INDEX('Budget Planning'!$E:$IG, income_total_row, MATCH( DATE(selected_year, cc_month_number, 1), 'Budget Planning'!$E$12:$IG$12, 0))</f>
        <v>8095.95</v>
      </c>
      <c r="L83" s="98">
        <f ca="1">cc_budget-cc_tracked</f>
        <v>0</v>
      </c>
      <c r="M83" s="100">
        <f ca="1">cc_in_focus*cc_show_type*MIN(cc_tracked, cc_budget)</f>
        <v>8095.95</v>
      </c>
      <c r="N83" s="100">
        <f ca="1">cc_in_focus*cc_show_type*cc_show_remaining_budget*IF(cc_delta&gt;0, cc_delta, 0)</f>
        <v>0</v>
      </c>
      <c r="O83" s="100">
        <f ca="1">cc_in_focus*cc_show_type*IF(cc_delta&lt;0, ABS(cc_delta), 0)</f>
        <v>0</v>
      </c>
      <c r="P83" s="100">
        <f ca="1">NOT(cc_in_focus)*cc_show_type*MIN(cc_tracked, cc_budget)</f>
        <v>0</v>
      </c>
      <c r="Q83" s="100">
        <f ca="1">NOT(cc_in_focus)*cc_show_type*cc_show_remaining_budget*IF(cc_delta&gt;0, cc_delta, 0)</f>
        <v>0</v>
      </c>
      <c r="R83" s="100">
        <f ca="1">NOT(cc_in_focus)*cc_show_type*IF(cc_delta&lt;0, ABS(cc_delta), 0)</f>
        <v>0</v>
      </c>
    </row>
    <row r="84" spans="4:18" x14ac:dyDescent="0.2">
      <c r="D84" s="135"/>
      <c r="E84" s="96" t="s">
        <v>13</v>
      </c>
      <c r="F84" s="96">
        <f t="shared" ref="F84" si="46">MONTH(D83)</f>
        <v>8</v>
      </c>
      <c r="G84" s="96">
        <f>IF(selected_period="Total Year", 1, IF(selected_period=cc_month_number, 1, 0))</f>
        <v>1</v>
      </c>
      <c r="H84" s="96">
        <f t="shared" ref="H84" si="47">1*E$50</f>
        <v>1</v>
      </c>
      <c r="I84" s="96">
        <f t="shared" si="3"/>
        <v>1</v>
      </c>
      <c r="J84" s="99" cm="1">
        <f t="array" ref="J84">SUM( Tracking[Amount] * (Tracking[Type]=cc_type)*(YEAR(Tracking[Effective Date])=selected_year)*(MONTH(Tracking[Effective Date])=cc_month_number))</f>
        <v>5038.8599999999997</v>
      </c>
      <c r="K84" s="99" cm="1">
        <f t="array" aca="1" ref="K84" ca="1">INDEX('Budget Planning'!$E:$IG, expenses_total_row, MATCH( DATE(selected_year, cc_month_number, 1), 'Budget Planning'!$E$12:$IG$12, 0))</f>
        <v>7313.35</v>
      </c>
      <c r="L84" s="99">
        <f ca="1">cc_budget-cc_tracked</f>
        <v>2274.4900000000007</v>
      </c>
      <c r="M84" s="101">
        <f ca="1">cc_in_focus*cc_show_type*MIN(cc_tracked, cc_budget)</f>
        <v>5038.8599999999997</v>
      </c>
      <c r="N84" s="101">
        <f ca="1">cc_in_focus*cc_show_type*cc_show_remaining_budget*IF(cc_delta&gt;0, cc_delta, 0)</f>
        <v>2274.4900000000007</v>
      </c>
      <c r="O84" s="101">
        <f ca="1">cc_in_focus*cc_show_type*IF(cc_delta&lt;0, ABS(cc_delta), 0)</f>
        <v>0</v>
      </c>
      <c r="P84" s="101">
        <f ca="1">NOT(cc_in_focus)*cc_show_type*MIN(cc_tracked, cc_budget)</f>
        <v>0</v>
      </c>
      <c r="Q84" s="101">
        <f ca="1">NOT(cc_in_focus)*cc_show_type*cc_show_remaining_budget*IF(cc_delta&gt;0, cc_delta, 0)</f>
        <v>0</v>
      </c>
      <c r="R84" s="101">
        <f ca="1">NOT(cc_in_focus)*cc_show_type*IF(cc_delta&lt;0, ABS(cc_delta), 0)</f>
        <v>0</v>
      </c>
    </row>
    <row r="85" spans="4:18" x14ac:dyDescent="0.2">
      <c r="D85" s="135"/>
      <c r="E85" s="96" t="s">
        <v>17</v>
      </c>
      <c r="F85" s="96">
        <f t="shared" ref="F85" si="48">MONTH(D83)</f>
        <v>8</v>
      </c>
      <c r="G85" s="96">
        <f>IF(selected_period="Total Year", 1, IF(selected_period=cc_month_number, 1, 0))</f>
        <v>1</v>
      </c>
      <c r="H85" s="96">
        <f t="shared" ref="H85" si="49">1*E$51</f>
        <v>1</v>
      </c>
      <c r="I85" s="96">
        <f t="shared" si="3"/>
        <v>1</v>
      </c>
      <c r="J85" s="99" cm="1">
        <f t="array" ref="J85">SUM( Tracking[Amount] * (Tracking[Type]=cc_type)*(YEAR(Tracking[Effective Date])=selected_year)*(MONTH(Tracking[Effective Date])=cc_month_number))</f>
        <v>0</v>
      </c>
      <c r="K85" s="99" cm="1">
        <f t="array" aca="1" ref="K85" ca="1">INDEX('Budget Planning'!$E:$IG, savings_total_row, MATCH( DATE(selected_year, cc_month_number, 1), 'Budget Planning'!$E$12:$IG$12, 0))</f>
        <v>0</v>
      </c>
      <c r="L85" s="99">
        <f ca="1">cc_budget-cc_tracked</f>
        <v>0</v>
      </c>
      <c r="M85" s="101">
        <f ca="1">cc_in_focus*cc_show_type*MIN(cc_tracked, cc_budget)</f>
        <v>0</v>
      </c>
      <c r="N85" s="101">
        <f ca="1">cc_in_focus*cc_show_type*cc_show_remaining_budget*IF(cc_delta&gt;0, cc_delta, 0)</f>
        <v>0</v>
      </c>
      <c r="O85" s="101">
        <f ca="1">cc_in_focus*cc_show_type*IF(cc_delta&lt;0, ABS(cc_delta), 0)</f>
        <v>0</v>
      </c>
      <c r="P85" s="101">
        <f ca="1">NOT(cc_in_focus)*cc_show_type*MIN(cc_tracked, cc_budget)</f>
        <v>0</v>
      </c>
      <c r="Q85" s="101">
        <f ca="1">NOT(cc_in_focus)*cc_show_type*cc_show_remaining_budget*IF(cc_delta&gt;0, cc_delta, 0)</f>
        <v>0</v>
      </c>
      <c r="R85" s="101">
        <f ca="1">NOT(cc_in_focus)*cc_show_type*IF(cc_delta&lt;0, ABS(cc_delta), 0)</f>
        <v>0</v>
      </c>
    </row>
    <row r="86" spans="4:18" x14ac:dyDescent="0.2">
      <c r="D86" s="136"/>
      <c r="E86" s="97"/>
      <c r="F86" s="97"/>
      <c r="G86" s="97"/>
      <c r="H86" s="97"/>
      <c r="I86" s="97"/>
      <c r="J86" s="105"/>
      <c r="K86" s="105"/>
      <c r="L86" s="105"/>
      <c r="M86" s="97"/>
      <c r="N86" s="97"/>
      <c r="O86" s="97"/>
      <c r="P86" s="97"/>
      <c r="Q86" s="97"/>
      <c r="R86" s="97"/>
    </row>
    <row r="87" spans="4:18" x14ac:dyDescent="0.2">
      <c r="D87" s="134">
        <f>DATE(selected_year, 9, 1)</f>
        <v>45901</v>
      </c>
      <c r="E87" s="95" t="s">
        <v>10</v>
      </c>
      <c r="F87" s="95">
        <f t="shared" ref="F87" si="50">MONTH(D87)</f>
        <v>9</v>
      </c>
      <c r="G87" s="95">
        <f>IF(selected_period="Total Year", 1, IF(selected_period=cc_month_number, 1, 0))</f>
        <v>1</v>
      </c>
      <c r="H87" s="95">
        <f t="shared" ref="H87" si="51">1*E$49</f>
        <v>1</v>
      </c>
      <c r="I87" s="95">
        <f t="shared" ref="I87" si="52">1*E$52</f>
        <v>1</v>
      </c>
      <c r="J87" s="98" cm="1">
        <f t="array" ref="J87">SUM( Tracking[Amount] * (Tracking[Type]=cc_type)*(YEAR(Tracking[Effective Date])=selected_year)*(MONTH(Tracking[Effective Date])=cc_month_number))</f>
        <v>9942.75</v>
      </c>
      <c r="K87" s="98" cm="1">
        <f t="array" aca="1" ref="K87" ca="1">INDEX('Budget Planning'!$E:$IG, income_total_row, MATCH( DATE(selected_year, cc_month_number, 1), 'Budget Planning'!$E$12:$IG$12, 0))</f>
        <v>9942.75</v>
      </c>
      <c r="L87" s="98">
        <f ca="1">cc_budget-cc_tracked</f>
        <v>0</v>
      </c>
      <c r="M87" s="100">
        <f ca="1">cc_in_focus*cc_show_type*MIN(cc_tracked, cc_budget)</f>
        <v>9942.75</v>
      </c>
      <c r="N87" s="100">
        <f ca="1">cc_in_focus*cc_show_type*cc_show_remaining_budget*IF(cc_delta&gt;0, cc_delta, 0)</f>
        <v>0</v>
      </c>
      <c r="O87" s="100">
        <f ca="1">cc_in_focus*cc_show_type*IF(cc_delta&lt;0, ABS(cc_delta), 0)</f>
        <v>0</v>
      </c>
      <c r="P87" s="100">
        <f ca="1">NOT(cc_in_focus)*cc_show_type*MIN(cc_tracked, cc_budget)</f>
        <v>0</v>
      </c>
      <c r="Q87" s="100">
        <f ca="1">NOT(cc_in_focus)*cc_show_type*cc_show_remaining_budget*IF(cc_delta&gt;0, cc_delta, 0)</f>
        <v>0</v>
      </c>
      <c r="R87" s="100">
        <f ca="1">NOT(cc_in_focus)*cc_show_type*IF(cc_delta&lt;0, ABS(cc_delta), 0)</f>
        <v>0</v>
      </c>
    </row>
    <row r="88" spans="4:18" x14ac:dyDescent="0.2">
      <c r="D88" s="135"/>
      <c r="E88" s="96" t="s">
        <v>13</v>
      </c>
      <c r="F88" s="96">
        <f t="shared" ref="F88" si="53">MONTH(D87)</f>
        <v>9</v>
      </c>
      <c r="G88" s="96">
        <f>IF(selected_period="Total Year", 1, IF(selected_period=cc_month_number, 1, 0))</f>
        <v>1</v>
      </c>
      <c r="H88" s="96">
        <f t="shared" ref="H88" si="54">1*E$50</f>
        <v>1</v>
      </c>
      <c r="I88" s="96">
        <f t="shared" si="3"/>
        <v>1</v>
      </c>
      <c r="J88" s="99" cm="1">
        <f t="array" ref="J88">SUM( Tracking[Amount] * (Tracking[Type]=cc_type)*(YEAR(Tracking[Effective Date])=selected_year)*(MONTH(Tracking[Effective Date])=cc_month_number))</f>
        <v>4850.0599999999986</v>
      </c>
      <c r="K88" s="99" cm="1">
        <f t="array" aca="1" ref="K88" ca="1">INDEX('Budget Planning'!$E:$IG, expenses_total_row, MATCH( DATE(selected_year, cc_month_number, 1), 'Budget Planning'!$E$12:$IG$12, 0))</f>
        <v>5868.35</v>
      </c>
      <c r="L88" s="99">
        <f ca="1">cc_budget-cc_tracked</f>
        <v>1018.2900000000018</v>
      </c>
      <c r="M88" s="101">
        <f ca="1">cc_in_focus*cc_show_type*MIN(cc_tracked, cc_budget)</f>
        <v>4850.0599999999986</v>
      </c>
      <c r="N88" s="101">
        <f ca="1">cc_in_focus*cc_show_type*cc_show_remaining_budget*IF(cc_delta&gt;0, cc_delta, 0)</f>
        <v>1018.2900000000018</v>
      </c>
      <c r="O88" s="101">
        <f ca="1">cc_in_focus*cc_show_type*IF(cc_delta&lt;0, ABS(cc_delta), 0)</f>
        <v>0</v>
      </c>
      <c r="P88" s="101">
        <f ca="1">NOT(cc_in_focus)*cc_show_type*MIN(cc_tracked, cc_budget)</f>
        <v>0</v>
      </c>
      <c r="Q88" s="101">
        <f ca="1">NOT(cc_in_focus)*cc_show_type*cc_show_remaining_budget*IF(cc_delta&gt;0, cc_delta, 0)</f>
        <v>0</v>
      </c>
      <c r="R88" s="101">
        <f ca="1">NOT(cc_in_focus)*cc_show_type*IF(cc_delta&lt;0, ABS(cc_delta), 0)</f>
        <v>0</v>
      </c>
    </row>
    <row r="89" spans="4:18" x14ac:dyDescent="0.2">
      <c r="D89" s="135"/>
      <c r="E89" s="96" t="s">
        <v>17</v>
      </c>
      <c r="F89" s="96">
        <f t="shared" ref="F89" si="55">MONTH(D87)</f>
        <v>9</v>
      </c>
      <c r="G89" s="96">
        <f>IF(selected_period="Total Year", 1, IF(selected_period=cc_month_number, 1, 0))</f>
        <v>1</v>
      </c>
      <c r="H89" s="96">
        <f t="shared" ref="H89" si="56">1*E$51</f>
        <v>1</v>
      </c>
      <c r="I89" s="96">
        <f t="shared" si="3"/>
        <v>1</v>
      </c>
      <c r="J89" s="99" cm="1">
        <f t="array" ref="J89">SUM( Tracking[Amount] * (Tracking[Type]=cc_type)*(YEAR(Tracking[Effective Date])=selected_year)*(MONTH(Tracking[Effective Date])=cc_month_number))</f>
        <v>0</v>
      </c>
      <c r="K89" s="99" cm="1">
        <f t="array" aca="1" ref="K89" ca="1">INDEX('Budget Planning'!$E:$IG, savings_total_row, MATCH( DATE(selected_year, cc_month_number, 1), 'Budget Planning'!$E$12:$IG$12, 0))</f>
        <v>0</v>
      </c>
      <c r="L89" s="99">
        <f ca="1">cc_budget-cc_tracked</f>
        <v>0</v>
      </c>
      <c r="M89" s="101">
        <f ca="1">cc_in_focus*cc_show_type*MIN(cc_tracked, cc_budget)</f>
        <v>0</v>
      </c>
      <c r="N89" s="101">
        <f ca="1">cc_in_focus*cc_show_type*cc_show_remaining_budget*IF(cc_delta&gt;0, cc_delta, 0)</f>
        <v>0</v>
      </c>
      <c r="O89" s="101">
        <f ca="1">cc_in_focus*cc_show_type*IF(cc_delta&lt;0, ABS(cc_delta), 0)</f>
        <v>0</v>
      </c>
      <c r="P89" s="101">
        <f ca="1">NOT(cc_in_focus)*cc_show_type*MIN(cc_tracked, cc_budget)</f>
        <v>0</v>
      </c>
      <c r="Q89" s="101">
        <f ca="1">NOT(cc_in_focus)*cc_show_type*cc_show_remaining_budget*IF(cc_delta&gt;0, cc_delta, 0)</f>
        <v>0</v>
      </c>
      <c r="R89" s="101">
        <f ca="1">NOT(cc_in_focus)*cc_show_type*IF(cc_delta&lt;0, ABS(cc_delta), 0)</f>
        <v>0</v>
      </c>
    </row>
    <row r="90" spans="4:18" x14ac:dyDescent="0.2">
      <c r="D90" s="136"/>
      <c r="E90" s="97"/>
      <c r="F90" s="97"/>
      <c r="G90" s="97"/>
      <c r="H90" s="97"/>
      <c r="I90" s="97"/>
      <c r="J90" s="105"/>
      <c r="K90" s="105"/>
      <c r="L90" s="105"/>
      <c r="M90" s="97"/>
      <c r="N90" s="97"/>
      <c r="O90" s="97"/>
      <c r="P90" s="97"/>
      <c r="Q90" s="97"/>
      <c r="R90" s="97"/>
    </row>
    <row r="91" spans="4:18" x14ac:dyDescent="0.2">
      <c r="D91" s="134">
        <f>DATE(selected_year, 10, 1)</f>
        <v>45931</v>
      </c>
      <c r="E91" s="95" t="s">
        <v>10</v>
      </c>
      <c r="F91" s="95">
        <f t="shared" ref="F91" si="57">MONTH(D91)</f>
        <v>10</v>
      </c>
      <c r="G91" s="95">
        <f>IF(selected_period="Total Year", 1, IF(selected_period=cc_month_number, 1, 0))</f>
        <v>1</v>
      </c>
      <c r="H91" s="95">
        <f t="shared" ref="H91" si="58">1*E$49</f>
        <v>1</v>
      </c>
      <c r="I91" s="95">
        <f t="shared" ref="I91" si="59">1*E$52</f>
        <v>1</v>
      </c>
      <c r="J91" s="98" cm="1">
        <f t="array" ref="J91">SUM( Tracking[Amount] * (Tracking[Type]=cc_type)*(YEAR(Tracking[Effective Date])=selected_year)*(MONTH(Tracking[Effective Date])=cc_month_number))</f>
        <v>8276.0500000000011</v>
      </c>
      <c r="K91" s="98" cm="1">
        <f t="array" aca="1" ref="K91" ca="1">INDEX('Budget Planning'!$E:$IG, income_total_row, MATCH( DATE(selected_year, cc_month_number, 1), 'Budget Planning'!$E$12:$IG$12, 0))</f>
        <v>8276.0500000000011</v>
      </c>
      <c r="L91" s="98">
        <f ca="1">cc_budget-cc_tracked</f>
        <v>0</v>
      </c>
      <c r="M91" s="100">
        <f ca="1">cc_in_focus*cc_show_type*MIN(cc_tracked, cc_budget)</f>
        <v>8276.0500000000011</v>
      </c>
      <c r="N91" s="100">
        <f ca="1">cc_in_focus*cc_show_type*cc_show_remaining_budget*IF(cc_delta&gt;0, cc_delta, 0)</f>
        <v>0</v>
      </c>
      <c r="O91" s="100">
        <f ca="1">cc_in_focus*cc_show_type*IF(cc_delta&lt;0, ABS(cc_delta), 0)</f>
        <v>0</v>
      </c>
      <c r="P91" s="100">
        <f ca="1">NOT(cc_in_focus)*cc_show_type*MIN(cc_tracked, cc_budget)</f>
        <v>0</v>
      </c>
      <c r="Q91" s="100">
        <f ca="1">NOT(cc_in_focus)*cc_show_type*cc_show_remaining_budget*IF(cc_delta&gt;0, cc_delta, 0)</f>
        <v>0</v>
      </c>
      <c r="R91" s="100">
        <f ca="1">NOT(cc_in_focus)*cc_show_type*IF(cc_delta&lt;0, ABS(cc_delta), 0)</f>
        <v>0</v>
      </c>
    </row>
    <row r="92" spans="4:18" x14ac:dyDescent="0.2">
      <c r="D92" s="135"/>
      <c r="E92" s="96" t="s">
        <v>13</v>
      </c>
      <c r="F92" s="96">
        <f t="shared" ref="F92" si="60">MONTH(D91)</f>
        <v>10</v>
      </c>
      <c r="G92" s="96">
        <f>IF(selected_period="Total Year", 1, IF(selected_period=cc_month_number, 1, 0))</f>
        <v>1</v>
      </c>
      <c r="H92" s="96">
        <f t="shared" ref="H92" si="61">1*E$50</f>
        <v>1</v>
      </c>
      <c r="I92" s="96">
        <f t="shared" si="3"/>
        <v>1</v>
      </c>
      <c r="J92" s="99" cm="1">
        <f t="array" ref="J92">SUM( Tracking[Amount] * (Tracking[Type]=cc_type)*(YEAR(Tracking[Effective Date])=selected_year)*(MONTH(Tracking[Effective Date])=cc_month_number))</f>
        <v>5715.6999999999962</v>
      </c>
      <c r="K92" s="99" cm="1">
        <f t="array" aca="1" ref="K92" ca="1">INDEX('Budget Planning'!$E:$IG, expenses_total_row, MATCH( DATE(selected_year, cc_month_number, 1), 'Budget Planning'!$E$12:$IG$12, 0))</f>
        <v>6758.35</v>
      </c>
      <c r="L92" s="99">
        <f ca="1">cc_budget-cc_tracked</f>
        <v>1042.6500000000042</v>
      </c>
      <c r="M92" s="101">
        <f ca="1">cc_in_focus*cc_show_type*MIN(cc_tracked, cc_budget)</f>
        <v>5715.6999999999962</v>
      </c>
      <c r="N92" s="101">
        <f ca="1">cc_in_focus*cc_show_type*cc_show_remaining_budget*IF(cc_delta&gt;0, cc_delta, 0)</f>
        <v>1042.6500000000042</v>
      </c>
      <c r="O92" s="101">
        <f ca="1">cc_in_focus*cc_show_type*IF(cc_delta&lt;0, ABS(cc_delta), 0)</f>
        <v>0</v>
      </c>
      <c r="P92" s="101">
        <f ca="1">NOT(cc_in_focus)*cc_show_type*MIN(cc_tracked, cc_budget)</f>
        <v>0</v>
      </c>
      <c r="Q92" s="101">
        <f ca="1">NOT(cc_in_focus)*cc_show_type*cc_show_remaining_budget*IF(cc_delta&gt;0, cc_delta, 0)</f>
        <v>0</v>
      </c>
      <c r="R92" s="101">
        <f ca="1">NOT(cc_in_focus)*cc_show_type*IF(cc_delta&lt;0, ABS(cc_delta), 0)</f>
        <v>0</v>
      </c>
    </row>
    <row r="93" spans="4:18" x14ac:dyDescent="0.2">
      <c r="D93" s="135"/>
      <c r="E93" s="96" t="s">
        <v>17</v>
      </c>
      <c r="F93" s="96">
        <f t="shared" ref="F93" si="62">MONTH(D91)</f>
        <v>10</v>
      </c>
      <c r="G93" s="96">
        <f>IF(selected_period="Total Year", 1, IF(selected_period=cc_month_number, 1, 0))</f>
        <v>1</v>
      </c>
      <c r="H93" s="96">
        <f t="shared" ref="H93" si="63">1*E$51</f>
        <v>1</v>
      </c>
      <c r="I93" s="96">
        <f t="shared" si="3"/>
        <v>1</v>
      </c>
      <c r="J93" s="99" cm="1">
        <f t="array" ref="J93">SUM( Tracking[Amount] * (Tracking[Type]=cc_type)*(YEAR(Tracking[Effective Date])=selected_year)*(MONTH(Tracking[Effective Date])=cc_month_number))</f>
        <v>0</v>
      </c>
      <c r="K93" s="99" cm="1">
        <f t="array" aca="1" ref="K93" ca="1">INDEX('Budget Planning'!$E:$IG, savings_total_row, MATCH( DATE(selected_year, cc_month_number, 1), 'Budget Planning'!$E$12:$IG$12, 0))</f>
        <v>0</v>
      </c>
      <c r="L93" s="99">
        <f ca="1">cc_budget-cc_tracked</f>
        <v>0</v>
      </c>
      <c r="M93" s="101">
        <f ca="1">cc_in_focus*cc_show_type*MIN(cc_tracked, cc_budget)</f>
        <v>0</v>
      </c>
      <c r="N93" s="101">
        <f ca="1">cc_in_focus*cc_show_type*cc_show_remaining_budget*IF(cc_delta&gt;0, cc_delta, 0)</f>
        <v>0</v>
      </c>
      <c r="O93" s="101">
        <f ca="1">cc_in_focus*cc_show_type*IF(cc_delta&lt;0, ABS(cc_delta), 0)</f>
        <v>0</v>
      </c>
      <c r="P93" s="101">
        <f ca="1">NOT(cc_in_focus)*cc_show_type*MIN(cc_tracked, cc_budget)</f>
        <v>0</v>
      </c>
      <c r="Q93" s="101">
        <f ca="1">NOT(cc_in_focus)*cc_show_type*cc_show_remaining_budget*IF(cc_delta&gt;0, cc_delta, 0)</f>
        <v>0</v>
      </c>
      <c r="R93" s="101">
        <f ca="1">NOT(cc_in_focus)*cc_show_type*IF(cc_delta&lt;0, ABS(cc_delta), 0)</f>
        <v>0</v>
      </c>
    </row>
    <row r="94" spans="4:18" x14ac:dyDescent="0.2">
      <c r="D94" s="136"/>
      <c r="E94" s="97"/>
      <c r="F94" s="97"/>
      <c r="G94" s="97"/>
      <c r="H94" s="97"/>
      <c r="I94" s="97"/>
      <c r="J94" s="105"/>
      <c r="K94" s="105"/>
      <c r="L94" s="105"/>
      <c r="M94" s="97"/>
      <c r="N94" s="97"/>
      <c r="O94" s="97"/>
      <c r="P94" s="97"/>
      <c r="Q94" s="97"/>
      <c r="R94" s="97"/>
    </row>
    <row r="95" spans="4:18" x14ac:dyDescent="0.2">
      <c r="D95" s="134">
        <f>DATE(selected_year, 11, 1)</f>
        <v>45962</v>
      </c>
      <c r="E95" s="95" t="s">
        <v>10</v>
      </c>
      <c r="F95" s="95">
        <f t="shared" ref="F95" si="64">MONTH(D95)</f>
        <v>11</v>
      </c>
      <c r="G95" s="95">
        <f>IF(selected_period="Total Year", 1, IF(selected_period=cc_month_number, 1, 0))</f>
        <v>1</v>
      </c>
      <c r="H95" s="95">
        <f t="shared" ref="H95" si="65">1*E$49</f>
        <v>1</v>
      </c>
      <c r="I95" s="95">
        <f t="shared" ref="I95" si="66">1*E$52</f>
        <v>1</v>
      </c>
      <c r="J95" s="98" cm="1">
        <f t="array" ref="J95">SUM( Tracking[Amount] * (Tracking[Type]=cc_type)*(YEAR(Tracking[Effective Date])=selected_year)*(MONTH(Tracking[Effective Date])=cc_month_number))</f>
        <v>12529.35</v>
      </c>
      <c r="K95" s="98" cm="1">
        <f t="array" aca="1" ref="K95" ca="1">INDEX('Budget Planning'!$E:$IG, income_total_row, MATCH( DATE(selected_year, cc_month_number, 1), 'Budget Planning'!$E$12:$IG$12, 0))</f>
        <v>12529.35</v>
      </c>
      <c r="L95" s="98">
        <f ca="1">cc_budget-cc_tracked</f>
        <v>0</v>
      </c>
      <c r="M95" s="100">
        <f ca="1">cc_in_focus*cc_show_type*MIN(cc_tracked, cc_budget)</f>
        <v>12529.35</v>
      </c>
      <c r="N95" s="100">
        <f ca="1">cc_in_focus*cc_show_type*cc_show_remaining_budget*IF(cc_delta&gt;0, cc_delta, 0)</f>
        <v>0</v>
      </c>
      <c r="O95" s="100">
        <f ca="1">cc_in_focus*cc_show_type*IF(cc_delta&lt;0, ABS(cc_delta), 0)</f>
        <v>0</v>
      </c>
      <c r="P95" s="100">
        <f ca="1">NOT(cc_in_focus)*cc_show_type*MIN(cc_tracked, cc_budget)</f>
        <v>0</v>
      </c>
      <c r="Q95" s="100">
        <f ca="1">NOT(cc_in_focus)*cc_show_type*cc_show_remaining_budget*IF(cc_delta&gt;0, cc_delta, 0)</f>
        <v>0</v>
      </c>
      <c r="R95" s="100">
        <f ca="1">NOT(cc_in_focus)*cc_show_type*IF(cc_delta&lt;0, ABS(cc_delta), 0)</f>
        <v>0</v>
      </c>
    </row>
    <row r="96" spans="4:18" x14ac:dyDescent="0.2">
      <c r="D96" s="135"/>
      <c r="E96" s="96" t="s">
        <v>13</v>
      </c>
      <c r="F96" s="96">
        <f t="shared" ref="F96" si="67">MONTH(D95)</f>
        <v>11</v>
      </c>
      <c r="G96" s="96">
        <f>IF(selected_period="Total Year", 1, IF(selected_period=cc_month_number, 1, 0))</f>
        <v>1</v>
      </c>
      <c r="H96" s="96">
        <f t="shared" ref="H96" si="68">1*E$50</f>
        <v>1</v>
      </c>
      <c r="I96" s="96">
        <f t="shared" si="3"/>
        <v>1</v>
      </c>
      <c r="J96" s="99" cm="1">
        <f t="array" ref="J96">SUM( Tracking[Amount] * (Tracking[Type]=cc_type)*(YEAR(Tracking[Effective Date])=selected_year)*(MONTH(Tracking[Effective Date])=cc_month_number))</f>
        <v>5384.6299999999992</v>
      </c>
      <c r="K96" s="99" cm="1">
        <f t="array" aca="1" ref="K96" ca="1">INDEX('Budget Planning'!$E:$IG, expenses_total_row, MATCH( DATE(selected_year, cc_month_number, 1), 'Budget Planning'!$E$12:$IG$12, 0))</f>
        <v>5313.35</v>
      </c>
      <c r="L96" s="99">
        <f ca="1">cc_budget-cc_tracked</f>
        <v>-71.279999999998836</v>
      </c>
      <c r="M96" s="101">
        <f ca="1">cc_in_focus*cc_show_type*MIN(cc_tracked, cc_budget)</f>
        <v>5313.35</v>
      </c>
      <c r="N96" s="101">
        <f ca="1">cc_in_focus*cc_show_type*cc_show_remaining_budget*IF(cc_delta&gt;0, cc_delta, 0)</f>
        <v>0</v>
      </c>
      <c r="O96" s="101">
        <f ca="1">cc_in_focus*cc_show_type*IF(cc_delta&lt;0, ABS(cc_delta), 0)</f>
        <v>71.279999999998836</v>
      </c>
      <c r="P96" s="101">
        <f ca="1">NOT(cc_in_focus)*cc_show_type*MIN(cc_tracked, cc_budget)</f>
        <v>0</v>
      </c>
      <c r="Q96" s="101">
        <f ca="1">NOT(cc_in_focus)*cc_show_type*cc_show_remaining_budget*IF(cc_delta&gt;0, cc_delta, 0)</f>
        <v>0</v>
      </c>
      <c r="R96" s="101">
        <f ca="1">NOT(cc_in_focus)*cc_show_type*IF(cc_delta&lt;0, ABS(cc_delta), 0)</f>
        <v>0</v>
      </c>
    </row>
    <row r="97" spans="4:18" x14ac:dyDescent="0.2">
      <c r="D97" s="135"/>
      <c r="E97" s="96" t="s">
        <v>17</v>
      </c>
      <c r="F97" s="96">
        <f t="shared" ref="F97" si="69">MONTH(D95)</f>
        <v>11</v>
      </c>
      <c r="G97" s="96">
        <f>IF(selected_period="Total Year", 1, IF(selected_period=cc_month_number, 1, 0))</f>
        <v>1</v>
      </c>
      <c r="H97" s="96">
        <f t="shared" ref="H97" si="70">1*E$51</f>
        <v>1</v>
      </c>
      <c r="I97" s="96">
        <f t="shared" si="3"/>
        <v>1</v>
      </c>
      <c r="J97" s="99" cm="1">
        <f t="array" ref="J97">SUM( Tracking[Amount] * (Tracking[Type]=cc_type)*(YEAR(Tracking[Effective Date])=selected_year)*(MONTH(Tracking[Effective Date])=cc_month_number))</f>
        <v>0</v>
      </c>
      <c r="K97" s="99" cm="1">
        <f t="array" aca="1" ref="K97" ca="1">INDEX('Budget Planning'!$E:$IG, savings_total_row, MATCH( DATE(selected_year, cc_month_number, 1), 'Budget Planning'!$E$12:$IG$12, 0))</f>
        <v>0</v>
      </c>
      <c r="L97" s="99">
        <f ca="1">cc_budget-cc_tracked</f>
        <v>0</v>
      </c>
      <c r="M97" s="101">
        <f ca="1">cc_in_focus*cc_show_type*MIN(cc_tracked, cc_budget)</f>
        <v>0</v>
      </c>
      <c r="N97" s="101">
        <f ca="1">cc_in_focus*cc_show_type*cc_show_remaining_budget*IF(cc_delta&gt;0, cc_delta, 0)</f>
        <v>0</v>
      </c>
      <c r="O97" s="101">
        <f ca="1">cc_in_focus*cc_show_type*IF(cc_delta&lt;0, ABS(cc_delta), 0)</f>
        <v>0</v>
      </c>
      <c r="P97" s="101">
        <f ca="1">NOT(cc_in_focus)*cc_show_type*MIN(cc_tracked, cc_budget)</f>
        <v>0</v>
      </c>
      <c r="Q97" s="101">
        <f ca="1">NOT(cc_in_focus)*cc_show_type*cc_show_remaining_budget*IF(cc_delta&gt;0, cc_delta, 0)</f>
        <v>0</v>
      </c>
      <c r="R97" s="101">
        <f ca="1">NOT(cc_in_focus)*cc_show_type*IF(cc_delta&lt;0, ABS(cc_delta), 0)</f>
        <v>0</v>
      </c>
    </row>
    <row r="98" spans="4:18" x14ac:dyDescent="0.2">
      <c r="D98" s="136"/>
      <c r="E98" s="97"/>
      <c r="F98" s="97"/>
      <c r="G98" s="97"/>
      <c r="H98" s="97"/>
      <c r="I98" s="97"/>
      <c r="J98" s="105"/>
      <c r="K98" s="105"/>
      <c r="L98" s="105"/>
      <c r="M98" s="97"/>
      <c r="N98" s="97"/>
      <c r="O98" s="97"/>
      <c r="P98" s="97"/>
      <c r="Q98" s="97"/>
      <c r="R98" s="97"/>
    </row>
    <row r="99" spans="4:18" x14ac:dyDescent="0.2">
      <c r="D99" s="134">
        <f>DATE(selected_year, 12, 1)</f>
        <v>45992</v>
      </c>
      <c r="E99" s="95" t="s">
        <v>10</v>
      </c>
      <c r="F99" s="95">
        <f t="shared" ref="F99" si="71">MONTH(D99)</f>
        <v>12</v>
      </c>
      <c r="G99" s="95">
        <f>IF(selected_period="Total Year", 1, IF(selected_period=cc_month_number, 1, 0))</f>
        <v>1</v>
      </c>
      <c r="H99" s="95">
        <f t="shared" ref="H99" si="72">1*E$49</f>
        <v>1</v>
      </c>
      <c r="I99" s="95">
        <f t="shared" ref="I99" si="73">1*E$52</f>
        <v>1</v>
      </c>
      <c r="J99" s="98" cm="1">
        <f t="array" ref="J99">SUM( Tracking[Amount] * (Tracking[Type]=cc_type)*(YEAR(Tracking[Effective Date])=selected_year)*(MONTH(Tracking[Effective Date])=cc_month_number))</f>
        <v>9075.25</v>
      </c>
      <c r="K99" s="98" cm="1">
        <f t="array" aca="1" ref="K99" ca="1">INDEX('Budget Planning'!$E:$IG, income_total_row, MATCH( DATE(selected_year, cc_month_number, 1), 'Budget Planning'!$E$12:$IG$12, 0))</f>
        <v>8735.85</v>
      </c>
      <c r="L99" s="98">
        <f ca="1">cc_budget-cc_tracked</f>
        <v>-339.39999999999964</v>
      </c>
      <c r="M99" s="100">
        <f ca="1">cc_in_focus*cc_show_type*MIN(cc_tracked, cc_budget)</f>
        <v>8735.85</v>
      </c>
      <c r="N99" s="100">
        <f ca="1">cc_in_focus*cc_show_type*cc_show_remaining_budget*IF(cc_delta&gt;0, cc_delta, 0)</f>
        <v>0</v>
      </c>
      <c r="O99" s="100">
        <f ca="1">cc_in_focus*cc_show_type*IF(cc_delta&lt;0, ABS(cc_delta), 0)</f>
        <v>339.39999999999964</v>
      </c>
      <c r="P99" s="100">
        <f ca="1">NOT(cc_in_focus)*cc_show_type*MIN(cc_tracked, cc_budget)</f>
        <v>0</v>
      </c>
      <c r="Q99" s="100">
        <f ca="1">NOT(cc_in_focus)*cc_show_type*cc_show_remaining_budget*IF(cc_delta&gt;0, cc_delta, 0)</f>
        <v>0</v>
      </c>
      <c r="R99" s="100">
        <f ca="1">NOT(cc_in_focus)*cc_show_type*IF(cc_delta&lt;0, ABS(cc_delta), 0)</f>
        <v>0</v>
      </c>
    </row>
    <row r="100" spans="4:18" x14ac:dyDescent="0.2">
      <c r="D100" s="135"/>
      <c r="E100" s="96" t="s">
        <v>13</v>
      </c>
      <c r="F100" s="96">
        <f t="shared" ref="F100" si="74">MONTH(D99)</f>
        <v>12</v>
      </c>
      <c r="G100" s="96">
        <f>IF(selected_period="Total Year", 1, IF(selected_period=cc_month_number, 1, 0))</f>
        <v>1</v>
      </c>
      <c r="H100" s="96">
        <f t="shared" ref="H100" si="75">1*E$50</f>
        <v>1</v>
      </c>
      <c r="I100" s="96">
        <f t="shared" si="3"/>
        <v>1</v>
      </c>
      <c r="J100" s="99" cm="1">
        <f t="array" ref="J100">SUM( Tracking[Amount] * (Tracking[Type]=cc_type)*(YEAR(Tracking[Effective Date])=selected_year)*(MONTH(Tracking[Effective Date])=cc_month_number))</f>
        <v>7186.85</v>
      </c>
      <c r="K100" s="99" cm="1">
        <f t="array" aca="1" ref="K100" ca="1">INDEX('Budget Planning'!$E:$IG, expenses_total_row, MATCH( DATE(selected_year, cc_month_number, 1), 'Budget Planning'!$E$12:$IG$12, 0))</f>
        <v>6411.35</v>
      </c>
      <c r="L100" s="99">
        <f ca="1">cc_budget-cc_tracked</f>
        <v>-775.5</v>
      </c>
      <c r="M100" s="101">
        <f ca="1">cc_in_focus*cc_show_type*MIN(cc_tracked, cc_budget)</f>
        <v>6411.35</v>
      </c>
      <c r="N100" s="101">
        <f ca="1">cc_in_focus*cc_show_type*cc_show_remaining_budget*IF(cc_delta&gt;0, cc_delta, 0)</f>
        <v>0</v>
      </c>
      <c r="O100" s="101">
        <f ca="1">cc_in_focus*cc_show_type*IF(cc_delta&lt;0, ABS(cc_delta), 0)</f>
        <v>775.5</v>
      </c>
      <c r="P100" s="101">
        <f ca="1">NOT(cc_in_focus)*cc_show_type*MIN(cc_tracked, cc_budget)</f>
        <v>0</v>
      </c>
      <c r="Q100" s="101">
        <f ca="1">NOT(cc_in_focus)*cc_show_type*cc_show_remaining_budget*IF(cc_delta&gt;0, cc_delta, 0)</f>
        <v>0</v>
      </c>
      <c r="R100" s="101">
        <f ca="1">NOT(cc_in_focus)*cc_show_type*IF(cc_delta&lt;0, ABS(cc_delta), 0)</f>
        <v>0</v>
      </c>
    </row>
    <row r="101" spans="4:18" x14ac:dyDescent="0.2">
      <c r="D101" s="135"/>
      <c r="E101" s="96" t="s">
        <v>17</v>
      </c>
      <c r="F101" s="96">
        <f t="shared" ref="F101" si="76">MONTH(D99)</f>
        <v>12</v>
      </c>
      <c r="G101" s="96">
        <f>IF(selected_period="Total Year", 1, IF(selected_period=cc_month_number, 1, 0))</f>
        <v>1</v>
      </c>
      <c r="H101" s="96">
        <f t="shared" ref="H101" si="77">1*E$51</f>
        <v>1</v>
      </c>
      <c r="I101" s="96">
        <f t="shared" si="3"/>
        <v>1</v>
      </c>
      <c r="J101" s="99" cm="1">
        <f t="array" ref="J101">SUM( Tracking[Amount] * (Tracking[Type]=cc_type)*(YEAR(Tracking[Effective Date])=selected_year)*(MONTH(Tracking[Effective Date])=cc_month_number))</f>
        <v>6240</v>
      </c>
      <c r="K101" s="99" cm="1">
        <f t="array" aca="1" ref="K101" ca="1">INDEX('Budget Planning'!$E:$IG, savings_total_row, MATCH( DATE(selected_year, cc_month_number, 1), 'Budget Planning'!$E$12:$IG$12, 0))</f>
        <v>0</v>
      </c>
      <c r="L101" s="99">
        <f ca="1">cc_budget-cc_tracked</f>
        <v>-6240</v>
      </c>
      <c r="M101" s="101">
        <f ca="1">cc_in_focus*cc_show_type*MIN(cc_tracked, cc_budget)</f>
        <v>0</v>
      </c>
      <c r="N101" s="101">
        <f ca="1">cc_in_focus*cc_show_type*cc_show_remaining_budget*IF(cc_delta&gt;0, cc_delta, 0)</f>
        <v>0</v>
      </c>
      <c r="O101" s="101">
        <f ca="1">cc_in_focus*cc_show_type*IF(cc_delta&lt;0, ABS(cc_delta), 0)</f>
        <v>6240</v>
      </c>
      <c r="P101" s="101">
        <f ca="1">NOT(cc_in_focus)*cc_show_type*MIN(cc_tracked, cc_budget)</f>
        <v>0</v>
      </c>
      <c r="Q101" s="101">
        <f ca="1">NOT(cc_in_focus)*cc_show_type*cc_show_remaining_budget*IF(cc_delta&gt;0, cc_delta, 0)</f>
        <v>0</v>
      </c>
      <c r="R101" s="101">
        <f ca="1">NOT(cc_in_focus)*cc_show_type*IF(cc_delta&lt;0, ABS(cc_delta), 0)</f>
        <v>0</v>
      </c>
    </row>
    <row r="102" spans="4:18" x14ac:dyDescent="0.2">
      <c r="D102" s="136"/>
      <c r="E102" s="97"/>
      <c r="F102" s="97"/>
      <c r="G102" s="97"/>
      <c r="H102" s="97"/>
      <c r="I102" s="97"/>
      <c r="J102" s="105"/>
      <c r="K102" s="105"/>
      <c r="L102" s="105"/>
      <c r="M102" s="97"/>
      <c r="N102" s="97"/>
      <c r="O102" s="97"/>
      <c r="P102" s="97"/>
      <c r="Q102" s="97"/>
      <c r="R102" s="97"/>
    </row>
    <row r="103" spans="4:18" x14ac:dyDescent="0.2">
      <c r="D103" s="134"/>
      <c r="E103" s="95"/>
      <c r="F103" s="95"/>
      <c r="G103" s="95"/>
      <c r="H103" s="95"/>
      <c r="I103" s="95"/>
      <c r="J103" s="95"/>
      <c r="K103" s="95"/>
      <c r="L103" s="95"/>
      <c r="M103" s="95"/>
      <c r="N103" s="95"/>
      <c r="O103" s="95"/>
      <c r="P103" s="95"/>
      <c r="Q103" s="95"/>
      <c r="R103" s="95"/>
    </row>
    <row r="104" spans="4:18" x14ac:dyDescent="0.2">
      <c r="D104" s="135"/>
      <c r="E104" s="96"/>
      <c r="F104" s="96"/>
      <c r="G104" s="96"/>
      <c r="H104" s="96"/>
      <c r="I104" s="96"/>
      <c r="J104" s="96"/>
      <c r="K104" s="96"/>
      <c r="L104" s="96"/>
      <c r="M104" s="96"/>
      <c r="N104" s="96"/>
      <c r="O104" s="96"/>
      <c r="P104" s="96"/>
      <c r="Q104" s="96"/>
      <c r="R104" s="96"/>
    </row>
    <row r="105" spans="4:18" x14ac:dyDescent="0.2">
      <c r="D105" s="135"/>
      <c r="E105" s="96"/>
      <c r="F105" s="96"/>
      <c r="G105" s="96"/>
      <c r="H105" s="96"/>
      <c r="I105" s="96"/>
      <c r="J105" s="96"/>
      <c r="K105" s="96"/>
      <c r="L105" s="96"/>
      <c r="M105" s="96"/>
      <c r="N105" s="96"/>
      <c r="O105" s="96"/>
      <c r="P105" s="96"/>
      <c r="Q105" s="96"/>
      <c r="R105" s="96"/>
    </row>
    <row r="106" spans="4:18" x14ac:dyDescent="0.2">
      <c r="D106" s="135"/>
      <c r="E106" s="96"/>
      <c r="F106" s="96"/>
      <c r="G106" s="96"/>
      <c r="H106" s="96"/>
      <c r="I106" s="96"/>
      <c r="J106" s="96"/>
      <c r="K106" s="96"/>
      <c r="L106" s="96"/>
      <c r="M106" s="96"/>
      <c r="N106" s="96"/>
      <c r="O106" s="96"/>
      <c r="P106" s="96"/>
      <c r="Q106" s="96"/>
      <c r="R106" s="96"/>
    </row>
    <row r="107" spans="4:18" x14ac:dyDescent="0.2">
      <c r="D107" s="135"/>
      <c r="E107" s="96"/>
      <c r="F107" s="96"/>
      <c r="G107" s="96"/>
      <c r="H107" s="96"/>
      <c r="I107" s="96"/>
      <c r="J107" s="96"/>
      <c r="K107" s="96"/>
      <c r="L107" s="96"/>
      <c r="M107" s="96"/>
      <c r="N107" s="96"/>
      <c r="O107" s="96"/>
      <c r="P107" s="96"/>
      <c r="Q107" s="96"/>
      <c r="R107" s="96"/>
    </row>
    <row r="108" spans="4:18" x14ac:dyDescent="0.2">
      <c r="D108" s="135"/>
      <c r="E108" s="96"/>
      <c r="F108" s="96"/>
      <c r="G108" s="96"/>
      <c r="H108" s="96"/>
      <c r="I108" s="96"/>
      <c r="J108" s="96"/>
      <c r="K108" s="96"/>
      <c r="L108" s="96"/>
      <c r="M108" s="96"/>
      <c r="N108" s="96"/>
      <c r="O108" s="96"/>
      <c r="P108" s="96"/>
      <c r="Q108" s="96"/>
      <c r="R108" s="96"/>
    </row>
    <row r="109" spans="4:18" x14ac:dyDescent="0.2">
      <c r="D109" s="135"/>
      <c r="E109" s="96"/>
      <c r="F109" s="96"/>
      <c r="G109" s="96"/>
      <c r="H109" s="96"/>
      <c r="I109" s="96"/>
      <c r="J109" s="96"/>
      <c r="K109" s="96"/>
      <c r="L109" s="96"/>
      <c r="M109" s="96"/>
      <c r="N109" s="96"/>
      <c r="O109" s="96"/>
      <c r="P109" s="96"/>
      <c r="Q109" s="96"/>
      <c r="R109" s="96"/>
    </row>
    <row r="110" spans="4:18" x14ac:dyDescent="0.2">
      <c r="D110" s="135"/>
      <c r="E110" s="96"/>
      <c r="F110" s="96"/>
      <c r="G110" s="96"/>
      <c r="H110" s="96"/>
      <c r="I110" s="96"/>
      <c r="J110" s="96"/>
      <c r="K110" s="96"/>
      <c r="L110" s="96"/>
      <c r="M110" s="96"/>
      <c r="N110" s="96"/>
      <c r="O110" s="96"/>
      <c r="P110" s="96"/>
      <c r="Q110" s="96"/>
      <c r="R110" s="96"/>
    </row>
    <row r="111" spans="4:18" x14ac:dyDescent="0.2">
      <c r="D111" s="135"/>
      <c r="E111" s="96"/>
      <c r="F111" s="96"/>
      <c r="G111" s="96"/>
      <c r="H111" s="96"/>
      <c r="I111" s="96"/>
      <c r="J111" s="96"/>
      <c r="K111" s="96"/>
      <c r="L111" s="96"/>
      <c r="M111" s="96"/>
      <c r="N111" s="96"/>
      <c r="O111" s="96"/>
      <c r="P111" s="96"/>
      <c r="Q111" s="96"/>
      <c r="R111" s="96"/>
    </row>
    <row r="112" spans="4:18" x14ac:dyDescent="0.2">
      <c r="D112" s="135"/>
      <c r="E112" s="96"/>
      <c r="F112" s="96"/>
      <c r="G112" s="96"/>
      <c r="H112" s="96"/>
      <c r="I112" s="96"/>
      <c r="J112" s="96"/>
      <c r="K112" s="96"/>
      <c r="L112" s="96"/>
      <c r="M112" s="96"/>
      <c r="N112" s="96"/>
      <c r="O112" s="96"/>
      <c r="P112" s="96"/>
      <c r="Q112" s="96"/>
      <c r="R112" s="96"/>
    </row>
    <row r="113" spans="4:18" x14ac:dyDescent="0.2">
      <c r="D113" s="135"/>
      <c r="E113" s="96"/>
      <c r="F113" s="96"/>
      <c r="G113" s="96"/>
      <c r="H113" s="96"/>
      <c r="I113" s="96"/>
      <c r="J113" s="96"/>
      <c r="K113" s="96"/>
      <c r="L113" s="96"/>
      <c r="M113" s="96"/>
      <c r="N113" s="96"/>
      <c r="O113" s="96"/>
      <c r="P113" s="96"/>
      <c r="Q113" s="96"/>
      <c r="R113" s="96"/>
    </row>
    <row r="114" spans="4:18" x14ac:dyDescent="0.2">
      <c r="D114" s="135"/>
      <c r="E114" s="96"/>
      <c r="F114" s="96"/>
      <c r="G114" s="96"/>
      <c r="H114" s="96"/>
      <c r="I114" s="96"/>
      <c r="J114" s="96"/>
      <c r="K114" s="96"/>
      <c r="L114" s="96"/>
      <c r="M114" s="96"/>
      <c r="N114" s="96"/>
      <c r="O114" s="96"/>
      <c r="P114" s="96"/>
      <c r="Q114" s="96"/>
      <c r="R114" s="96"/>
    </row>
    <row r="115" spans="4:18" x14ac:dyDescent="0.2">
      <c r="D115" s="135"/>
      <c r="E115" s="96"/>
      <c r="F115" s="96"/>
      <c r="G115" s="96"/>
      <c r="H115" s="96"/>
      <c r="I115" s="96"/>
      <c r="J115" s="96"/>
      <c r="K115" s="96"/>
      <c r="L115" s="96"/>
      <c r="M115" s="96"/>
      <c r="N115" s="96"/>
      <c r="O115" s="96"/>
      <c r="P115" s="96"/>
      <c r="Q115" s="96"/>
      <c r="R115" s="96"/>
    </row>
    <row r="116" spans="4:18" x14ac:dyDescent="0.2">
      <c r="D116" s="135"/>
      <c r="E116" s="96"/>
      <c r="F116" s="96"/>
      <c r="G116" s="96"/>
      <c r="H116" s="96"/>
      <c r="I116" s="96"/>
      <c r="J116" s="96"/>
      <c r="K116" s="96"/>
      <c r="L116" s="96"/>
      <c r="M116" s="96"/>
      <c r="N116" s="96"/>
      <c r="O116" s="96"/>
      <c r="P116" s="96"/>
      <c r="Q116" s="96"/>
      <c r="R116" s="96"/>
    </row>
    <row r="117" spans="4:18" x14ac:dyDescent="0.2">
      <c r="D117" s="135"/>
      <c r="E117" s="96"/>
      <c r="F117" s="96"/>
      <c r="G117" s="96"/>
      <c r="H117" s="96"/>
      <c r="I117" s="96"/>
      <c r="J117" s="96"/>
      <c r="K117" s="96"/>
      <c r="L117" s="96"/>
      <c r="M117" s="96"/>
      <c r="N117" s="96"/>
      <c r="O117" s="96"/>
      <c r="P117" s="96"/>
      <c r="Q117" s="96"/>
      <c r="R117" s="96"/>
    </row>
    <row r="118" spans="4:18" x14ac:dyDescent="0.2">
      <c r="D118" s="135"/>
      <c r="E118" s="96"/>
      <c r="F118" s="96"/>
      <c r="G118" s="96"/>
      <c r="H118" s="96"/>
      <c r="I118" s="96"/>
      <c r="J118" s="96"/>
      <c r="K118" s="96"/>
      <c r="L118" s="96"/>
      <c r="M118" s="96"/>
      <c r="N118" s="96"/>
      <c r="O118" s="96"/>
      <c r="P118" s="96"/>
      <c r="Q118" s="96"/>
      <c r="R118" s="96"/>
    </row>
    <row r="119" spans="4:18" x14ac:dyDescent="0.2">
      <c r="D119" s="135"/>
      <c r="E119" s="96"/>
      <c r="F119" s="96"/>
      <c r="G119" s="96"/>
      <c r="H119" s="96"/>
      <c r="I119" s="96"/>
      <c r="J119" s="96"/>
      <c r="K119" s="96"/>
      <c r="L119" s="96"/>
      <c r="M119" s="96"/>
      <c r="N119" s="96"/>
      <c r="O119" s="96"/>
      <c r="P119" s="96"/>
      <c r="Q119" s="96"/>
      <c r="R119" s="96"/>
    </row>
    <row r="120" spans="4:18" x14ac:dyDescent="0.2">
      <c r="D120" s="135"/>
      <c r="E120" s="96"/>
      <c r="F120" s="96"/>
      <c r="G120" s="96"/>
      <c r="H120" s="96"/>
      <c r="I120" s="96"/>
      <c r="J120" s="96"/>
      <c r="K120" s="96"/>
      <c r="L120" s="96"/>
      <c r="M120" s="96"/>
      <c r="N120" s="96"/>
      <c r="O120" s="96"/>
      <c r="P120" s="96"/>
      <c r="Q120" s="96"/>
      <c r="R120" s="96"/>
    </row>
    <row r="121" spans="4:18" x14ac:dyDescent="0.2">
      <c r="D121" s="135"/>
      <c r="E121" s="96"/>
      <c r="F121" s="96"/>
      <c r="G121" s="96"/>
      <c r="H121" s="96"/>
      <c r="I121" s="96"/>
      <c r="J121" s="96"/>
      <c r="K121" s="96"/>
      <c r="L121" s="96"/>
      <c r="M121" s="96"/>
      <c r="N121" s="96"/>
      <c r="O121" s="96"/>
      <c r="P121" s="96"/>
      <c r="Q121" s="96"/>
      <c r="R121" s="96"/>
    </row>
    <row r="122" spans="4:18" x14ac:dyDescent="0.2">
      <c r="D122" s="135"/>
      <c r="E122" s="96"/>
      <c r="F122" s="96"/>
      <c r="G122" s="96"/>
      <c r="H122" s="96"/>
      <c r="I122" s="96"/>
      <c r="J122" s="96"/>
      <c r="K122" s="96"/>
      <c r="L122" s="96"/>
      <c r="M122" s="96"/>
      <c r="N122" s="96"/>
      <c r="O122" s="96"/>
      <c r="P122" s="96"/>
      <c r="Q122" s="96"/>
      <c r="R122" s="96"/>
    </row>
    <row r="123" spans="4:18" x14ac:dyDescent="0.2">
      <c r="D123" s="135"/>
      <c r="E123" s="96"/>
      <c r="F123" s="96"/>
      <c r="G123" s="96"/>
      <c r="H123" s="96"/>
      <c r="I123" s="96"/>
      <c r="J123" s="96"/>
      <c r="K123" s="96"/>
      <c r="L123" s="96"/>
      <c r="M123" s="96"/>
      <c r="N123" s="96"/>
      <c r="O123" s="96"/>
      <c r="P123" s="96"/>
      <c r="Q123" s="96"/>
      <c r="R123" s="96"/>
    </row>
    <row r="124" spans="4:18" x14ac:dyDescent="0.2">
      <c r="D124" s="135"/>
      <c r="E124" s="96"/>
      <c r="F124" s="96"/>
      <c r="G124" s="96"/>
      <c r="H124" s="96"/>
      <c r="I124" s="96"/>
      <c r="J124" s="96"/>
      <c r="K124" s="96"/>
      <c r="L124" s="96"/>
      <c r="M124" s="96"/>
      <c r="N124" s="96"/>
      <c r="O124" s="96"/>
      <c r="P124" s="96"/>
      <c r="Q124" s="96"/>
      <c r="R124" s="96"/>
    </row>
    <row r="125" spans="4:18" x14ac:dyDescent="0.2">
      <c r="D125" s="135"/>
      <c r="E125" s="96"/>
      <c r="F125" s="96"/>
      <c r="G125" s="96"/>
      <c r="H125" s="96"/>
      <c r="I125" s="96"/>
      <c r="J125" s="96"/>
      <c r="K125" s="96"/>
      <c r="L125" s="96"/>
      <c r="M125" s="96"/>
      <c r="N125" s="96"/>
      <c r="O125" s="96"/>
      <c r="P125" s="96"/>
      <c r="Q125" s="96"/>
      <c r="R125" s="96"/>
    </row>
    <row r="126" spans="4:18" x14ac:dyDescent="0.2">
      <c r="D126" s="135"/>
      <c r="E126" s="96"/>
      <c r="F126" s="96"/>
      <c r="G126" s="96"/>
      <c r="H126" s="96"/>
      <c r="I126" s="96"/>
      <c r="J126" s="96"/>
      <c r="K126" s="96"/>
      <c r="L126" s="96"/>
      <c r="M126" s="96"/>
      <c r="N126" s="96"/>
      <c r="O126" s="96"/>
      <c r="P126" s="96"/>
      <c r="Q126" s="96"/>
      <c r="R126" s="96"/>
    </row>
    <row r="127" spans="4:18" x14ac:dyDescent="0.2">
      <c r="D127" s="135"/>
      <c r="E127" s="96"/>
      <c r="F127" s="96"/>
      <c r="G127" s="96"/>
      <c r="H127" s="96"/>
      <c r="I127" s="96"/>
      <c r="J127" s="96"/>
      <c r="K127" s="96"/>
      <c r="L127" s="96"/>
      <c r="M127" s="96"/>
      <c r="N127" s="96"/>
      <c r="O127" s="96"/>
      <c r="P127" s="96"/>
      <c r="Q127" s="96"/>
      <c r="R127" s="96"/>
    </row>
    <row r="128" spans="4:18" x14ac:dyDescent="0.2">
      <c r="D128" s="135"/>
      <c r="E128" s="96"/>
      <c r="F128" s="96"/>
      <c r="G128" s="96"/>
      <c r="H128" s="96"/>
      <c r="I128" s="96"/>
      <c r="J128" s="96"/>
      <c r="K128" s="96"/>
      <c r="L128" s="96"/>
      <c r="M128" s="96"/>
      <c r="N128" s="96"/>
      <c r="O128" s="96"/>
      <c r="P128" s="96"/>
      <c r="Q128" s="96"/>
      <c r="R128" s="96"/>
    </row>
    <row r="129" spans="4:18" x14ac:dyDescent="0.2">
      <c r="D129" s="135"/>
      <c r="E129" s="96"/>
      <c r="F129" s="96"/>
      <c r="G129" s="96"/>
      <c r="H129" s="96"/>
      <c r="I129" s="96"/>
      <c r="J129" s="96"/>
      <c r="K129" s="96"/>
      <c r="L129" s="96"/>
      <c r="M129" s="96"/>
      <c r="N129" s="96"/>
      <c r="O129" s="96"/>
      <c r="P129" s="96"/>
      <c r="Q129" s="96"/>
      <c r="R129" s="96"/>
    </row>
    <row r="130" spans="4:18" x14ac:dyDescent="0.2">
      <c r="D130" s="135"/>
      <c r="E130" s="96"/>
      <c r="F130" s="96"/>
      <c r="G130" s="96"/>
      <c r="H130" s="96"/>
      <c r="I130" s="96"/>
      <c r="J130" s="96"/>
      <c r="K130" s="96"/>
      <c r="L130" s="96"/>
      <c r="M130" s="96"/>
      <c r="N130" s="96"/>
      <c r="O130" s="96"/>
      <c r="P130" s="96"/>
      <c r="Q130" s="96"/>
      <c r="R130" s="96"/>
    </row>
    <row r="131" spans="4:18" x14ac:dyDescent="0.2">
      <c r="D131" s="135"/>
      <c r="E131" s="96"/>
      <c r="F131" s="96"/>
      <c r="G131" s="96"/>
      <c r="H131" s="96"/>
      <c r="I131" s="96"/>
      <c r="J131" s="96"/>
      <c r="K131" s="96"/>
      <c r="L131" s="96"/>
      <c r="M131" s="96"/>
      <c r="N131" s="96"/>
      <c r="O131" s="96"/>
      <c r="P131" s="96"/>
      <c r="Q131" s="96"/>
      <c r="R131" s="96"/>
    </row>
    <row r="132" spans="4:18" x14ac:dyDescent="0.2">
      <c r="D132" s="135"/>
      <c r="E132" s="96"/>
      <c r="F132" s="96"/>
      <c r="G132" s="96"/>
      <c r="H132" s="96"/>
      <c r="I132" s="96"/>
      <c r="J132" s="96"/>
      <c r="K132" s="96"/>
      <c r="L132" s="96"/>
      <c r="M132" s="96"/>
      <c r="N132" s="96"/>
      <c r="O132" s="96"/>
      <c r="P132" s="96"/>
      <c r="Q132" s="96"/>
      <c r="R132" s="96"/>
    </row>
    <row r="133" spans="4:18" x14ac:dyDescent="0.2">
      <c r="D133" s="135"/>
      <c r="E133" s="96"/>
      <c r="F133" s="96"/>
      <c r="G133" s="96"/>
      <c r="H133" s="96"/>
      <c r="I133" s="96"/>
      <c r="J133" s="96"/>
      <c r="K133" s="96"/>
      <c r="L133" s="96"/>
      <c r="M133" s="96"/>
      <c r="N133" s="96"/>
      <c r="O133" s="96"/>
      <c r="P133" s="96"/>
      <c r="Q133" s="96"/>
      <c r="R133" s="96"/>
    </row>
    <row r="134" spans="4:18" x14ac:dyDescent="0.2">
      <c r="D134" s="135"/>
      <c r="E134" s="96"/>
      <c r="F134" s="96"/>
      <c r="G134" s="96"/>
      <c r="H134" s="96"/>
      <c r="I134" s="96"/>
      <c r="J134" s="96"/>
      <c r="K134" s="96"/>
      <c r="L134" s="96"/>
      <c r="M134" s="96"/>
      <c r="N134" s="96"/>
      <c r="O134" s="96"/>
      <c r="P134" s="96"/>
      <c r="Q134" s="96"/>
      <c r="R134" s="96"/>
    </row>
    <row r="135" spans="4:18" x14ac:dyDescent="0.2">
      <c r="D135" s="135"/>
      <c r="E135" s="96"/>
      <c r="F135" s="96"/>
      <c r="G135" s="96"/>
      <c r="H135" s="96"/>
      <c r="I135" s="96"/>
      <c r="J135" s="96"/>
      <c r="K135" s="96"/>
      <c r="L135" s="96"/>
      <c r="M135" s="96"/>
      <c r="N135" s="96"/>
      <c r="O135" s="96"/>
      <c r="P135" s="96"/>
      <c r="Q135" s="96"/>
      <c r="R135" s="96"/>
    </row>
    <row r="136" spans="4:18" x14ac:dyDescent="0.2">
      <c r="D136" s="135"/>
      <c r="E136" s="96"/>
      <c r="F136" s="96"/>
      <c r="G136" s="96"/>
      <c r="H136" s="96"/>
      <c r="I136" s="96"/>
      <c r="J136" s="96"/>
      <c r="K136" s="96"/>
      <c r="L136" s="96"/>
      <c r="M136" s="96"/>
      <c r="N136" s="96"/>
      <c r="O136" s="96"/>
      <c r="P136" s="96"/>
      <c r="Q136" s="96"/>
      <c r="R136" s="96"/>
    </row>
    <row r="137" spans="4:18" x14ac:dyDescent="0.2">
      <c r="D137" s="135"/>
      <c r="E137" s="96"/>
      <c r="F137" s="96"/>
      <c r="G137" s="96"/>
      <c r="H137" s="96"/>
      <c r="I137" s="96"/>
      <c r="J137" s="96"/>
      <c r="K137" s="96"/>
      <c r="L137" s="96"/>
      <c r="M137" s="96"/>
      <c r="N137" s="96"/>
      <c r="O137" s="96"/>
      <c r="P137" s="96"/>
      <c r="Q137" s="96"/>
      <c r="R137" s="96"/>
    </row>
    <row r="138" spans="4:18" x14ac:dyDescent="0.2">
      <c r="D138" s="135"/>
      <c r="E138" s="96"/>
      <c r="F138" s="96"/>
      <c r="G138" s="96"/>
      <c r="H138" s="96"/>
      <c r="I138" s="96"/>
      <c r="J138" s="96"/>
      <c r="K138" s="96"/>
      <c r="L138" s="96"/>
      <c r="M138" s="96"/>
      <c r="N138" s="96"/>
      <c r="O138" s="96"/>
      <c r="P138" s="96"/>
      <c r="Q138" s="96"/>
      <c r="R138" s="96"/>
    </row>
    <row r="139" spans="4:18" x14ac:dyDescent="0.2">
      <c r="D139" s="135"/>
      <c r="E139" s="96"/>
      <c r="F139" s="96"/>
      <c r="G139" s="96"/>
      <c r="H139" s="96"/>
      <c r="I139" s="96"/>
      <c r="J139" s="96"/>
      <c r="K139" s="96"/>
      <c r="L139" s="96"/>
      <c r="M139" s="96"/>
      <c r="N139" s="96"/>
      <c r="O139" s="96"/>
      <c r="P139" s="96"/>
      <c r="Q139" s="96"/>
      <c r="R139" s="96"/>
    </row>
    <row r="140" spans="4:18" x14ac:dyDescent="0.2">
      <c r="D140" s="135"/>
      <c r="E140" s="96"/>
      <c r="F140" s="96"/>
      <c r="G140" s="96"/>
      <c r="H140" s="96"/>
      <c r="I140" s="96"/>
      <c r="J140" s="96"/>
      <c r="K140" s="96"/>
      <c r="L140" s="96"/>
      <c r="M140" s="96"/>
      <c r="N140" s="96"/>
      <c r="O140" s="96"/>
      <c r="P140" s="96"/>
      <c r="Q140" s="96"/>
      <c r="R140" s="96"/>
    </row>
    <row r="141" spans="4:18" x14ac:dyDescent="0.2">
      <c r="D141" s="135"/>
      <c r="E141" s="96"/>
      <c r="F141" s="96"/>
      <c r="G141" s="96"/>
      <c r="H141" s="96"/>
      <c r="I141" s="96"/>
      <c r="J141" s="96"/>
      <c r="K141" s="96"/>
      <c r="L141" s="96"/>
      <c r="M141" s="96"/>
      <c r="N141" s="96"/>
      <c r="O141" s="96"/>
      <c r="P141" s="96"/>
      <c r="Q141" s="96"/>
      <c r="R141" s="96"/>
    </row>
    <row r="142" spans="4:18" x14ac:dyDescent="0.2">
      <c r="D142" s="135"/>
      <c r="E142" s="96"/>
      <c r="F142" s="96"/>
      <c r="G142" s="96"/>
      <c r="H142" s="96"/>
      <c r="I142" s="96"/>
      <c r="J142" s="96"/>
      <c r="K142" s="96"/>
      <c r="L142" s="96"/>
      <c r="M142" s="96"/>
      <c r="N142" s="96"/>
      <c r="O142" s="96"/>
      <c r="P142" s="96"/>
      <c r="Q142" s="96"/>
      <c r="R142" s="96"/>
    </row>
    <row r="143" spans="4:18" x14ac:dyDescent="0.2">
      <c r="D143" s="135"/>
      <c r="E143" s="96"/>
      <c r="F143" s="96"/>
      <c r="G143" s="96"/>
      <c r="H143" s="96"/>
      <c r="I143" s="96"/>
      <c r="J143" s="96"/>
      <c r="K143" s="96"/>
      <c r="L143" s="96"/>
      <c r="M143" s="96"/>
      <c r="N143" s="96"/>
      <c r="O143" s="96"/>
      <c r="P143" s="96"/>
      <c r="Q143" s="96"/>
      <c r="R143" s="96"/>
    </row>
    <row r="144" spans="4:18" x14ac:dyDescent="0.2">
      <c r="D144" s="135"/>
      <c r="E144" s="96"/>
      <c r="F144" s="96"/>
      <c r="G144" s="96"/>
      <c r="H144" s="96"/>
      <c r="I144" s="96"/>
      <c r="J144" s="96"/>
      <c r="K144" s="96"/>
      <c r="L144" s="96"/>
      <c r="M144" s="96"/>
      <c r="N144" s="96"/>
      <c r="O144" s="96"/>
      <c r="P144" s="96"/>
      <c r="Q144" s="96"/>
      <c r="R144" s="96"/>
    </row>
    <row r="145" spans="4:18" x14ac:dyDescent="0.2">
      <c r="D145" s="135"/>
      <c r="E145" s="96"/>
      <c r="F145" s="96"/>
      <c r="G145" s="96"/>
      <c r="H145" s="96"/>
      <c r="I145" s="96"/>
      <c r="J145" s="96"/>
      <c r="K145" s="96"/>
      <c r="L145" s="96"/>
      <c r="M145" s="96"/>
      <c r="N145" s="96"/>
      <c r="O145" s="96"/>
      <c r="P145" s="96"/>
      <c r="Q145" s="96"/>
      <c r="R145" s="96"/>
    </row>
    <row r="146" spans="4:18" x14ac:dyDescent="0.2">
      <c r="D146" s="135"/>
      <c r="E146" s="96"/>
      <c r="F146" s="96"/>
      <c r="G146" s="96"/>
      <c r="H146" s="96"/>
      <c r="I146" s="96"/>
      <c r="J146" s="96"/>
      <c r="K146" s="96"/>
      <c r="L146" s="96"/>
      <c r="M146" s="96"/>
      <c r="N146" s="96"/>
      <c r="O146" s="96"/>
      <c r="P146" s="96"/>
      <c r="Q146" s="96"/>
      <c r="R146" s="96"/>
    </row>
    <row r="147" spans="4:18" x14ac:dyDescent="0.2">
      <c r="D147" s="135"/>
      <c r="E147" s="96"/>
      <c r="F147" s="96"/>
      <c r="G147" s="96"/>
      <c r="H147" s="96"/>
      <c r="I147" s="96"/>
      <c r="J147" s="96"/>
      <c r="K147" s="96"/>
      <c r="L147" s="96"/>
      <c r="M147" s="96"/>
      <c r="N147" s="96"/>
      <c r="O147" s="96"/>
      <c r="P147" s="96"/>
      <c r="Q147" s="96"/>
      <c r="R147" s="96"/>
    </row>
    <row r="148" spans="4:18" x14ac:dyDescent="0.2">
      <c r="D148" s="135"/>
      <c r="E148" s="96"/>
      <c r="F148" s="96"/>
      <c r="G148" s="96"/>
      <c r="H148" s="96"/>
      <c r="I148" s="96"/>
      <c r="J148" s="96"/>
      <c r="K148" s="96"/>
      <c r="L148" s="96"/>
      <c r="M148" s="96"/>
      <c r="N148" s="96"/>
      <c r="O148" s="96"/>
      <c r="P148" s="96"/>
      <c r="Q148" s="96"/>
      <c r="R148" s="96"/>
    </row>
    <row r="149" spans="4:18" x14ac:dyDescent="0.2">
      <c r="D149" s="135"/>
      <c r="E149" s="96"/>
      <c r="F149" s="96"/>
      <c r="G149" s="96"/>
      <c r="H149" s="96"/>
      <c r="I149" s="96"/>
      <c r="J149" s="96"/>
      <c r="K149" s="96"/>
      <c r="L149" s="96"/>
      <c r="M149" s="96"/>
      <c r="N149" s="96"/>
      <c r="O149" s="96"/>
      <c r="P149" s="96"/>
      <c r="Q149" s="96"/>
      <c r="R149" s="96"/>
    </row>
    <row r="150" spans="4:18" x14ac:dyDescent="0.2">
      <c r="D150" s="135"/>
      <c r="E150" s="96"/>
      <c r="F150" s="96"/>
      <c r="G150" s="96"/>
      <c r="H150" s="96"/>
      <c r="I150" s="96"/>
      <c r="J150" s="96"/>
      <c r="K150" s="96"/>
      <c r="L150" s="96"/>
      <c r="M150" s="96"/>
      <c r="N150" s="96"/>
      <c r="O150" s="96"/>
      <c r="P150" s="96"/>
      <c r="Q150" s="96"/>
      <c r="R150" s="96"/>
    </row>
  </sheetData>
  <mergeCells count="27">
    <mergeCell ref="D143:D146"/>
    <mergeCell ref="D147:D150"/>
    <mergeCell ref="D123:D126"/>
    <mergeCell ref="D127:D130"/>
    <mergeCell ref="D131:D134"/>
    <mergeCell ref="D135:D138"/>
    <mergeCell ref="D139:D142"/>
    <mergeCell ref="D103:D106"/>
    <mergeCell ref="D107:D110"/>
    <mergeCell ref="D111:D114"/>
    <mergeCell ref="D115:D118"/>
    <mergeCell ref="D119:D122"/>
    <mergeCell ref="D83:D86"/>
    <mergeCell ref="D87:D90"/>
    <mergeCell ref="D91:D94"/>
    <mergeCell ref="D95:D98"/>
    <mergeCell ref="D99:D102"/>
    <mergeCell ref="D63:D66"/>
    <mergeCell ref="D67:D70"/>
    <mergeCell ref="D71:D74"/>
    <mergeCell ref="D75:D78"/>
    <mergeCell ref="D79:D82"/>
    <mergeCell ref="B2:E2"/>
    <mergeCell ref="M53:O53"/>
    <mergeCell ref="P53:R53"/>
    <mergeCell ref="D55:D58"/>
    <mergeCell ref="D59:D62"/>
  </mergeCells>
  <phoneticPr fontId="30"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81A50-6423-D24F-BC7E-C2E518A21E5C}">
  <sheetPr>
    <tabColor theme="2"/>
  </sheetPr>
  <dimension ref="B1:I25"/>
  <sheetViews>
    <sheetView showGridLines="0" workbookViewId="0">
      <selection activeCell="G23" sqref="G23"/>
    </sheetView>
  </sheetViews>
  <sheetFormatPr baseColWidth="10" defaultRowHeight="16" x14ac:dyDescent="0.2"/>
  <cols>
    <col min="2" max="2" width="4.1640625" customWidth="1"/>
    <col min="3" max="3" width="19" customWidth="1"/>
    <col min="5" max="5" width="18.1640625" customWidth="1"/>
  </cols>
  <sheetData>
    <row r="1" spans="2:5" s="2" customFormat="1" x14ac:dyDescent="0.2"/>
    <row r="2" spans="2:5" s="2" customFormat="1" ht="38" customHeight="1" x14ac:dyDescent="0.2">
      <c r="B2" s="131" t="s">
        <v>4</v>
      </c>
      <c r="C2" s="131"/>
      <c r="D2" s="131"/>
      <c r="E2" s="131"/>
    </row>
    <row r="3" spans="2:5" s="2" customFormat="1" x14ac:dyDescent="0.2"/>
    <row r="7" spans="2:5" x14ac:dyDescent="0.2">
      <c r="C7" s="47" t="s">
        <v>51</v>
      </c>
      <c r="E7" s="47" t="s">
        <v>53</v>
      </c>
    </row>
    <row r="8" spans="2:5" x14ac:dyDescent="0.2">
      <c r="C8" s="52" t="s">
        <v>52</v>
      </c>
      <c r="E8" s="52" t="s">
        <v>54</v>
      </c>
    </row>
    <row r="9" spans="2:5" x14ac:dyDescent="0.2">
      <c r="C9" s="52">
        <f>starting_year</f>
        <v>2025</v>
      </c>
      <c r="E9" s="52" t="s">
        <v>55</v>
      </c>
    </row>
    <row r="10" spans="2:5" x14ac:dyDescent="0.2">
      <c r="C10" s="52">
        <f>C9+1</f>
        <v>2026</v>
      </c>
      <c r="E10" s="54">
        <v>36526</v>
      </c>
    </row>
    <row r="11" spans="2:5" x14ac:dyDescent="0.2">
      <c r="C11" s="52">
        <f t="shared" ref="C11:C18" si="0">C10+1</f>
        <v>2027</v>
      </c>
      <c r="E11" s="54">
        <v>36557</v>
      </c>
    </row>
    <row r="12" spans="2:5" x14ac:dyDescent="0.2">
      <c r="C12" s="52">
        <f t="shared" si="0"/>
        <v>2028</v>
      </c>
      <c r="E12" s="54">
        <v>36586</v>
      </c>
    </row>
    <row r="13" spans="2:5" x14ac:dyDescent="0.2">
      <c r="C13" s="52">
        <f t="shared" si="0"/>
        <v>2029</v>
      </c>
      <c r="E13" s="54">
        <v>36617</v>
      </c>
    </row>
    <row r="14" spans="2:5" x14ac:dyDescent="0.2">
      <c r="C14" s="52">
        <f t="shared" si="0"/>
        <v>2030</v>
      </c>
      <c r="E14" s="54">
        <v>36647</v>
      </c>
    </row>
    <row r="15" spans="2:5" x14ac:dyDescent="0.2">
      <c r="C15" s="52">
        <f t="shared" si="0"/>
        <v>2031</v>
      </c>
      <c r="E15" s="54">
        <v>36678</v>
      </c>
    </row>
    <row r="16" spans="2:5" x14ac:dyDescent="0.2">
      <c r="C16" s="52">
        <f t="shared" si="0"/>
        <v>2032</v>
      </c>
      <c r="E16" s="54">
        <v>36708</v>
      </c>
    </row>
    <row r="17" spans="3:9" x14ac:dyDescent="0.2">
      <c r="C17" s="52">
        <f t="shared" si="0"/>
        <v>2033</v>
      </c>
      <c r="E17" s="54">
        <v>36739</v>
      </c>
    </row>
    <row r="18" spans="3:9" x14ac:dyDescent="0.2">
      <c r="C18" s="53">
        <f t="shared" si="0"/>
        <v>2034</v>
      </c>
      <c r="E18" s="54">
        <v>36770</v>
      </c>
    </row>
    <row r="19" spans="3:9" x14ac:dyDescent="0.2">
      <c r="E19" s="54">
        <v>36800</v>
      </c>
    </row>
    <row r="20" spans="3:9" x14ac:dyDescent="0.2">
      <c r="E20" s="54">
        <v>36831</v>
      </c>
    </row>
    <row r="21" spans="3:9" x14ac:dyDescent="0.2">
      <c r="E21" s="55">
        <v>36861</v>
      </c>
    </row>
    <row r="25" spans="3:9" x14ac:dyDescent="0.2">
      <c r="I25" t="s">
        <v>9</v>
      </c>
    </row>
  </sheetData>
  <mergeCells count="1">
    <mergeCell ref="B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43</vt:i4>
      </vt:variant>
    </vt:vector>
  </HeadingPairs>
  <TitlesOfParts>
    <vt:vector size="52" baseType="lpstr">
      <vt:lpstr>Notes &amp; Logs</vt:lpstr>
      <vt:lpstr>SOURCE</vt:lpstr>
      <vt:lpstr>Settings</vt:lpstr>
      <vt:lpstr>Budget Planning</vt:lpstr>
      <vt:lpstr>Budget Dashboard</vt:lpstr>
      <vt:lpstr>Budget Tracking</vt:lpstr>
      <vt:lpstr>Expenses_Agg</vt:lpstr>
      <vt:lpstr>Calculations</vt:lpstr>
      <vt:lpstr>Dropdown Data</vt:lpstr>
      <vt:lpstr>'Budget Dashboard'!budget</vt:lpstr>
      <vt:lpstr>'Budget Dashboard'!budget_range</vt:lpstr>
      <vt:lpstr>'Budget Dashboard'!budget_rank</vt:lpstr>
      <vt:lpstr>SOURCE!categorized_transactions</vt:lpstr>
      <vt:lpstr>SOURCE!categorized_transactions_1</vt:lpstr>
      <vt:lpstr>SOURCE!categorized_transactions_2</vt:lpstr>
      <vt:lpstr>SOURCE!categorized_transactions_3</vt:lpstr>
      <vt:lpstr>SOURCE!categorized_transactions_4</vt:lpstr>
      <vt:lpstr>Calculations!cc_budget</vt:lpstr>
      <vt:lpstr>Calculations!cc_delta</vt:lpstr>
      <vt:lpstr>Calculations!cc_in_focus</vt:lpstr>
      <vt:lpstr>Calculations!cc_month_number</vt:lpstr>
      <vt:lpstr>Calculations!cc_show_remaining_budget</vt:lpstr>
      <vt:lpstr>Calculations!cc_show_type</vt:lpstr>
      <vt:lpstr>Calculations!cc_tracked</vt:lpstr>
      <vt:lpstr>Calculations!cc_type</vt:lpstr>
      <vt:lpstr>'Budget Dashboard'!comb_rank</vt:lpstr>
      <vt:lpstr>'Budget Dashboard'!comb_rank_norm</vt:lpstr>
      <vt:lpstr>'Budget Dashboard'!comb_rank_norm_run_range</vt:lpstr>
      <vt:lpstr>'Budget Dashboard'!comb_rank_range</vt:lpstr>
      <vt:lpstr>'Budget Dashboard'!comb_rank_unique</vt:lpstr>
      <vt:lpstr>'Budget Dashboard'!header_row_id</vt:lpstr>
      <vt:lpstr>'Budget Dashboard'!is_cat</vt:lpstr>
      <vt:lpstr>'Budget Dashboard'!is_empty</vt:lpstr>
      <vt:lpstr>'Budget Dashboard'!is_header</vt:lpstr>
      <vt:lpstr>'Budget Dashboard'!is_total</vt:lpstr>
      <vt:lpstr>'Budget Dashboard'!item</vt:lpstr>
      <vt:lpstr>'Budget Dashboard'!out_budget</vt:lpstr>
      <vt:lpstr>'Budget Dashboard'!out_percentage_completed</vt:lpstr>
      <vt:lpstr>'Budget Dashboard'!out_tracked</vt:lpstr>
      <vt:lpstr>'Budget Dashboard'!row_id</vt:lpstr>
      <vt:lpstr>selected_period</vt:lpstr>
      <vt:lpstr>selected_period_display</vt:lpstr>
      <vt:lpstr>selected_year</vt:lpstr>
      <vt:lpstr>shift_late_income_starting_date</vt:lpstr>
      <vt:lpstr>shift_late_income_status</vt:lpstr>
      <vt:lpstr>'Budget Dashboard'!sort_max_row</vt:lpstr>
      <vt:lpstr>'Budget Dashboard'!sort_min_row</vt:lpstr>
      <vt:lpstr>starting_year</vt:lpstr>
      <vt:lpstr>'Budget Dashboard'!tracked</vt:lpstr>
      <vt:lpstr>'Budget Dashboard'!tracked_range</vt:lpstr>
      <vt:lpstr>'Budget Dashboard'!tracked_rank</vt:lpstr>
      <vt:lpstr>'Budget Dashboard'!type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Yann Zosso</dc:creator>
  <cp:lastModifiedBy>Luca Zosso</cp:lastModifiedBy>
  <dcterms:created xsi:type="dcterms:W3CDTF">2025-09-27T12:24:03Z</dcterms:created>
  <dcterms:modified xsi:type="dcterms:W3CDTF">2026-01-16T16:40:55Z</dcterms:modified>
</cp:coreProperties>
</file>